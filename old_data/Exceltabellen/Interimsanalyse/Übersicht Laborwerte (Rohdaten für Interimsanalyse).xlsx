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2FF9FDCF-2292-40DD-9947-E0831106A48D}" xr6:coauthVersionLast="47" xr6:coauthVersionMax="47" xr10:uidLastSave="{00000000-0000-0000-0000-000000000000}"/>
  <bookViews>
    <workbookView xWindow="-120" yWindow="-120" windowWidth="29040" windowHeight="15840" tabRatio="556" activeTab="2" xr2:uid="{00000000-000D-0000-FFFF-FFFF00000000}"/>
  </bookViews>
  <sheets>
    <sheet name="Arbeitsmaterial Literaturfälle" sheetId="4" r:id="rId1"/>
    <sheet name="CK" sheetId="27" r:id="rId2"/>
    <sheet name="CK Table" sheetId="28" r:id="rId3"/>
  </sheets>
  <definedNames>
    <definedName name="ExterneDaten_1" localSheetId="2" hidden="1">'CK Table'!$A$1:$D$27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" i="27" l="1"/>
  <c r="D1" i="27"/>
  <c r="E1" i="27"/>
  <c r="F1" i="27"/>
  <c r="G1" i="27"/>
  <c r="H1" i="27"/>
  <c r="I1" i="27"/>
  <c r="J1" i="27"/>
  <c r="K1" i="27"/>
  <c r="L1" i="27"/>
  <c r="M1" i="27"/>
  <c r="N1" i="27"/>
  <c r="O1" i="27"/>
  <c r="P1" i="27"/>
  <c r="Q1" i="27"/>
  <c r="R1" i="27"/>
  <c r="S1" i="27"/>
  <c r="T1" i="27"/>
  <c r="U1" i="27"/>
  <c r="V1" i="27"/>
  <c r="W1" i="27"/>
  <c r="X1" i="27"/>
  <c r="Y1" i="27"/>
  <c r="Z1" i="27"/>
  <c r="AA1" i="27"/>
  <c r="B1" i="27"/>
  <c r="D29" i="28"/>
  <c r="C29" i="28"/>
  <c r="B29" i="28"/>
  <c r="A29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421DB0-1A64-485D-8E5E-39B52FBA69A4}" keepAlive="1" name="Abfrage - CK" description="Verbindung mit der Abfrage 'CK' in der Arbeitsmappe." type="5" refreshedVersion="8" background="1" saveData="1">
    <dbPr connection="Provider=Microsoft.Mashup.OleDb.1;Data Source=$Workbook$;Location=CK;Extended Properties=&quot;&quot;" command="SELECT * FROM [CK]"/>
  </connection>
</connections>
</file>

<file path=xl/sharedStrings.xml><?xml version="1.0" encoding="utf-8"?>
<sst xmlns="http://schemas.openxmlformats.org/spreadsheetml/2006/main" count="6216" uniqueCount="2741">
  <si>
    <t xml:space="preserve"> 1: 1280</t>
  </si>
  <si>
    <t>HIV</t>
  </si>
  <si>
    <t>Alter</t>
  </si>
  <si>
    <t>BMI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</si>
  <si>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</si>
  <si>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</si>
  <si>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</si>
  <si>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</si>
  <si>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</si>
  <si>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</si>
  <si>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</si>
  <si>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</si>
  <si>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</si>
  <si>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</si>
  <si>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</si>
  <si>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</si>
  <si>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</si>
  <si>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</si>
  <si>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</si>
  <si>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</si>
  <si>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</si>
  <si>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</si>
  <si>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</si>
  <si>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</si>
  <si>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</si>
  <si>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</si>
  <si>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</si>
  <si>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</si>
  <si>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</si>
  <si>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</si>
  <si>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</si>
  <si>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</si>
  <si>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</si>
  <si>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</si>
  <si>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</si>
  <si>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</si>
  <si>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</si>
  <si>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</si>
  <si>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</si>
  <si>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</si>
  <si>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</si>
  <si>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</si>
  <si>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</si>
  <si>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</si>
  <si>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</si>
  <si>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</si>
  <si>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</si>
  <si>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</si>
  <si>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</si>
  <si>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</si>
  <si>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</si>
  <si>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</si>
  <si>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</si>
  <si>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</si>
  <si>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</si>
  <si>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</si>
  <si>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</si>
  <si>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</si>
  <si>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</si>
  <si>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</si>
  <si>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</si>
  <si>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</si>
  <si>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</si>
  <si>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</si>
  <si>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</si>
  <si>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</si>
  <si>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</si>
  <si>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</si>
  <si>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</si>
  <si>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</si>
  <si>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</si>
  <si>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</si>
  <si>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</si>
  <si>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</si>
  <si>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</si>
  <si>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</si>
  <si>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</si>
  <si>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</si>
  <si>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</si>
  <si>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</si>
  <si>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</si>
  <si>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</si>
  <si>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</si>
  <si>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</si>
  <si>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</si>
  <si>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</si>
  <si>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</si>
  <si>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</si>
  <si>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</si>
  <si>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</si>
  <si>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</si>
  <si>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</si>
  <si>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</si>
  <si>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</si>
  <si>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</si>
  <si>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</si>
  <si>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</si>
  <si>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</si>
  <si>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</si>
  <si>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</si>
  <si>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</si>
  <si>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</si>
  <si>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</si>
  <si>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</si>
  <si>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</si>
  <si>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</si>
  <si>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</si>
  <si>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</si>
  <si>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</si>
  <si>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</si>
  <si>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</si>
  <si>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</si>
  <si>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</si>
  <si>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</si>
  <si>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</si>
  <si>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</si>
  <si>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</si>
  <si>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</si>
  <si>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</si>
  <si>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</si>
  <si>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</si>
  <si>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</si>
  <si>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</si>
  <si>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</si>
  <si>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</si>
  <si>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</si>
  <si>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</si>
  <si>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</si>
  <si>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</si>
  <si>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</si>
  <si>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</si>
  <si>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Paracetamol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</si>
  <si>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</si>
  <si>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</si>
  <si>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</si>
  <si>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</si>
  <si>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</si>
  <si>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</si>
  <si>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</si>
  <si>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</si>
  <si>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</si>
  <si>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</si>
  <si>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</si>
  <si>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</si>
  <si>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</si>
  <si>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</si>
  <si>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</si>
  <si>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</si>
  <si>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</si>
  <si>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</si>
  <si>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</si>
  <si>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</si>
  <si>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</si>
  <si>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</si>
  <si>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</si>
  <si>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</si>
  <si>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</si>
  <si>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</si>
  <si>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</si>
  <si>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</si>
  <si>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</si>
  <si>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</si>
  <si>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</si>
  <si>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</si>
  <si>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</si>
  <si>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</si>
  <si>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 xml:space="preserve">Hämorrhagien 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</si>
  <si>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</si>
  <si>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</si>
  <si>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</si>
  <si>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</si>
  <si>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</si>
  <si>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</si>
  <si>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</si>
  <si>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</si>
  <si>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</si>
  <si>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</si>
  <si>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</si>
  <si>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</si>
  <si>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</si>
  <si>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</si>
  <si>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</si>
  <si>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Diagnose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</si>
  <si>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</si>
  <si>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</si>
  <si>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</si>
  <si>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</si>
  <si>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</si>
  <si>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</si>
  <si>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</si>
  <si>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</si>
  <si>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</si>
  <si>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</si>
  <si>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Cholestase</t>
  </si>
  <si>
    <t>Exanthem</t>
  </si>
  <si>
    <t>Leberzirrhose</t>
  </si>
  <si>
    <t>Leberschaden</t>
  </si>
  <si>
    <t>Leberfunktionsstörung</t>
  </si>
  <si>
    <t>Leberversagen</t>
  </si>
  <si>
    <t>Hepatopathie</t>
  </si>
  <si>
    <t>Hämangiom</t>
  </si>
  <si>
    <t>Lebernekrose</t>
  </si>
  <si>
    <t>Ekzem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</si>
  <si>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</si>
  <si>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</si>
  <si>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</si>
  <si>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</si>
  <si>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</si>
  <si>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</si>
  <si>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</si>
  <si>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</si>
  <si>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</si>
  <si>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</si>
  <si>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</si>
  <si>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</si>
  <si>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</si>
  <si>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</si>
  <si>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</si>
  <si>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</si>
  <si>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</si>
  <si>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</si>
  <si>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</si>
  <si>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</si>
  <si>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</si>
  <si>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</si>
  <si>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</si>
  <si>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</si>
  <si>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</si>
  <si>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</si>
  <si>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</si>
  <si>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</si>
  <si>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</si>
  <si>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</si>
  <si>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</si>
  <si>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</si>
  <si>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</si>
  <si>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</si>
  <si>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</si>
  <si>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</si>
  <si>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Nausea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</si>
  <si>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</si>
  <si>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</si>
  <si>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</si>
  <si>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</si>
  <si>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</si>
  <si>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</si>
  <si>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</si>
  <si>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</si>
  <si>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</si>
  <si>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</si>
  <si>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</si>
  <si>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</si>
  <si>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</si>
  <si>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</si>
  <si>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</si>
  <si>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</si>
  <si>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</si>
  <si>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</si>
  <si>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</si>
  <si>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</si>
  <si>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</si>
  <si>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</si>
  <si>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</si>
  <si>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</si>
  <si>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</si>
  <si>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</si>
  <si>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</si>
  <si>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</si>
  <si>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</si>
  <si>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</si>
  <si>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</si>
  <si>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</si>
  <si>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</si>
  <si>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</si>
  <si>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</si>
  <si>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</si>
  <si>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</si>
  <si>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</si>
  <si>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</si>
  <si>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</si>
  <si>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</si>
  <si>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</si>
  <si>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</si>
  <si>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</si>
  <si>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</si>
  <si>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</si>
  <si>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</si>
  <si>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</si>
  <si>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</si>
  <si>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</si>
  <si>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</si>
  <si>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</si>
  <si>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</si>
  <si>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</si>
  <si>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</si>
  <si>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</si>
  <si>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</si>
  <si>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</si>
  <si>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</si>
  <si>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</si>
  <si>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</si>
  <si>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</si>
  <si>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</si>
  <si>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</si>
  <si>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</si>
  <si>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</si>
  <si>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</si>
  <si>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</si>
  <si>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</si>
  <si>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</si>
  <si>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</si>
  <si>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</si>
  <si>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</si>
  <si>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</si>
  <si>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</si>
  <si>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</si>
  <si>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</si>
  <si>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</si>
  <si>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</si>
  <si>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</si>
  <si>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</si>
  <si>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</si>
  <si>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</si>
  <si>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</si>
  <si>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</si>
  <si>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</si>
  <si>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</si>
  <si>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</si>
  <si>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</si>
  <si>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</si>
  <si>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</si>
  <si>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</si>
  <si>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</si>
  <si>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</si>
  <si>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</si>
  <si>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</si>
  <si>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</si>
  <si>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</si>
  <si>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</si>
  <si>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</si>
  <si>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</si>
  <si>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</si>
  <si>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</si>
  <si>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</si>
  <si>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</si>
  <si>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</si>
  <si>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</si>
  <si>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</si>
  <si>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</si>
  <si>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</si>
  <si>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</si>
  <si>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</si>
  <si>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</si>
  <si>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</si>
  <si>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</si>
  <si>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</si>
  <si>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</si>
  <si>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</si>
  <si>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</si>
  <si>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</si>
  <si>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</si>
  <si>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</si>
  <si>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</si>
  <si>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</si>
  <si>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</si>
  <si>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</si>
  <si>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</si>
  <si>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</si>
  <si>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</si>
  <si>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</si>
  <si>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</si>
  <si>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</si>
  <si>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</si>
  <si>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</si>
  <si>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</si>
  <si>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</si>
  <si>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</si>
  <si>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</si>
  <si>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</si>
  <si>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</si>
  <si>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</si>
  <si>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</si>
  <si>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</si>
  <si>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</si>
  <si>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</si>
  <si>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</si>
  <si>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</si>
  <si>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</si>
  <si>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</si>
  <si>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</si>
  <si>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</si>
  <si>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</si>
  <si>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</si>
  <si>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</si>
  <si>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</si>
  <si>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</si>
  <si>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Etilefrin, Dihydroergotaminmesilat (Sympathomimetikum)</t>
  </si>
  <si>
    <t>Dosis (Tropf/Verabreichung)</t>
  </si>
  <si>
    <t>Chlorphenoxamin (Antihistaminikum)</t>
  </si>
  <si>
    <t>6000, später noch mal mit anderer Dosierung eingenommen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</si>
  <si>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</si>
  <si>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</si>
  <si>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</si>
  <si>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</si>
  <si>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</si>
  <si>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</si>
  <si>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</si>
  <si>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</si>
  <si>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</si>
  <si>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</si>
  <si>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</si>
  <si>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</si>
  <si>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</si>
  <si>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</si>
  <si>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</si>
  <si>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</si>
  <si>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Dosis (Lotion)</t>
  </si>
  <si>
    <t>Miconazol (Antimykotikum)</t>
  </si>
  <si>
    <t>Dosis (Salbe)</t>
  </si>
  <si>
    <t>Pentoxifyllin (Durchblutungsstörung)</t>
  </si>
  <si>
    <t>0,1%, Später noch mal eingenommen in anderer Konzentration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</si>
  <si>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</si>
  <si>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</si>
  <si>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</si>
  <si>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</si>
  <si>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</si>
  <si>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</si>
  <si>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</si>
  <si>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</si>
  <si>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</si>
  <si>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</si>
  <si>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</si>
  <si>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</si>
  <si>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</si>
  <si>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</si>
  <si>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Tbl + Inj</t>
  </si>
  <si>
    <t>Atenolol, Clortalidon (Hypertonus)</t>
  </si>
  <si>
    <t>Nifedipin (Hypertonus)</t>
  </si>
  <si>
    <t>50, 2 verschiedene Med mit gleichem Wirkstoff eingenommen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</si>
  <si>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</si>
  <si>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</si>
  <si>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</si>
  <si>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</si>
  <si>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</si>
  <si>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</si>
  <si>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</si>
  <si>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</si>
  <si>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</si>
  <si>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</si>
  <si>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</si>
  <si>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</si>
  <si>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</si>
  <si>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</si>
  <si>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</si>
  <si>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</si>
  <si>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</si>
  <si>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</si>
  <si>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</si>
  <si>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</si>
  <si>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</si>
  <si>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</si>
  <si>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</si>
  <si>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</si>
  <si>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</si>
  <si>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</si>
  <si>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</si>
  <si>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</si>
  <si>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</si>
  <si>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</si>
  <si>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</si>
  <si>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</si>
  <si>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</si>
  <si>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</si>
  <si>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</si>
  <si>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</si>
  <si>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</si>
  <si>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</si>
  <si>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</si>
  <si>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</si>
  <si>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</si>
  <si>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</si>
  <si>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</si>
  <si>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</si>
  <si>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</si>
  <si>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</si>
  <si>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</si>
  <si>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</si>
  <si>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</si>
  <si>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</si>
  <si>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</si>
  <si>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</si>
  <si>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</si>
  <si>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</si>
  <si>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Aciclovir (Antimykotikum)</t>
  </si>
  <si>
    <t>später noch mal in höherer Dosierung und iv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</si>
  <si>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</si>
  <si>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</si>
  <si>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</si>
  <si>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</si>
  <si>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</si>
  <si>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</si>
  <si>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</si>
  <si>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</si>
  <si>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</si>
  <si>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</si>
  <si>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</si>
  <si>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</si>
  <si>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</si>
  <si>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</si>
  <si>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</si>
  <si>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</si>
  <si>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</si>
  <si>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</si>
  <si>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</si>
  <si>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</si>
  <si>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</si>
  <si>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</si>
  <si>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</si>
  <si>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</si>
  <si>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</si>
  <si>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</si>
  <si>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</si>
  <si>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</si>
  <si>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</si>
  <si>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</si>
  <si>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</si>
  <si>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</si>
  <si>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</si>
  <si>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</si>
  <si>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Hydroxycarbamid (Krebsmedikament)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</si>
  <si>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</si>
  <si>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</si>
  <si>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</si>
  <si>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</si>
  <si>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</si>
  <si>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</si>
  <si>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</si>
  <si>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</si>
  <si>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</si>
  <si>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</si>
  <si>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</si>
  <si>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</si>
  <si>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</si>
  <si>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</si>
  <si>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</si>
  <si>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</si>
  <si>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</si>
  <si>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</si>
  <si>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</si>
  <si>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</si>
  <si>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</si>
  <si>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</si>
  <si>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</si>
  <si>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</si>
  <si>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</si>
  <si>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</si>
  <si>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</si>
  <si>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</si>
  <si>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</si>
  <si>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</si>
  <si>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</si>
  <si>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</si>
  <si>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100 (Später noch mal in höherer Konzentration eingenommen)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</si>
  <si>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</si>
  <si>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</si>
  <si>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</si>
  <si>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</si>
  <si>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</si>
  <si>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</si>
  <si>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</si>
  <si>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</si>
  <si>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</si>
  <si>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</si>
  <si>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</si>
  <si>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</si>
  <si>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</si>
  <si>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</si>
  <si>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</si>
  <si>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</si>
  <si>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</si>
  <si>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</si>
  <si>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</si>
  <si>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</si>
  <si>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</si>
  <si>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</si>
  <si>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</si>
  <si>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</si>
  <si>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</si>
  <si>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</si>
  <si>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</si>
  <si>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</si>
  <si>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</si>
  <si>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</si>
  <si>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</si>
  <si>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</si>
  <si>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</si>
  <si>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</si>
  <si>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</si>
  <si>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</si>
  <si>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</si>
  <si>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</si>
  <si>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</si>
  <si>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</si>
  <si>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</si>
  <si>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</si>
  <si>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</si>
  <si>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</si>
  <si>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</si>
  <si>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</si>
  <si>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</si>
  <si>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</si>
  <si>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</si>
  <si>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</si>
  <si>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</si>
  <si>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</si>
  <si>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</si>
  <si>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</si>
  <si>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</si>
  <si>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</si>
  <si>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</si>
  <si>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</si>
  <si>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</si>
  <si>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</si>
  <si>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</si>
  <si>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</si>
  <si>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</si>
  <si>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</si>
  <si>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</si>
  <si>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 xml:space="preserve"> 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</si>
  <si>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</si>
  <si>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</si>
  <si>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</si>
  <si>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</si>
  <si>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</si>
  <si>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</si>
  <si>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</si>
  <si>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</si>
  <si>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</si>
  <si>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</si>
  <si>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</si>
  <si>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</si>
  <si>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</si>
  <si>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</si>
  <si>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</si>
  <si>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</si>
  <si>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</si>
  <si>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</si>
  <si>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</si>
  <si>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</si>
  <si>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</si>
  <si>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</si>
  <si>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</si>
  <si>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</si>
  <si>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</si>
  <si>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</si>
  <si>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</si>
  <si>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</si>
  <si>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</si>
  <si>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</si>
  <si>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</si>
  <si>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</si>
  <si>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</si>
  <si>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</si>
  <si>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</si>
  <si>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</si>
  <si>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</si>
  <si>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</si>
  <si>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</si>
  <si>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</si>
  <si>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</si>
  <si>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</si>
  <si>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</si>
  <si>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</si>
  <si>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</si>
  <si>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</si>
  <si>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</si>
  <si>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</si>
  <si>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</si>
  <si>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</si>
  <si>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</si>
  <si>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</si>
  <si>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</si>
  <si>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</si>
  <si>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</si>
  <si>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</si>
  <si>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</si>
  <si>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</si>
  <si>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</si>
  <si>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</si>
  <si>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</si>
  <si>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</si>
  <si>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</si>
  <si>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</si>
  <si>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</si>
  <si>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</si>
  <si>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</si>
  <si>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</si>
  <si>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</si>
  <si>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</si>
  <si>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</si>
  <si>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</si>
  <si>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</si>
  <si>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</si>
  <si>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</si>
  <si>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</si>
  <si>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</si>
  <si>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</si>
  <si>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</si>
  <si>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</si>
  <si>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</si>
  <si>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</si>
  <si>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</si>
  <si>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</si>
  <si>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</si>
  <si>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</si>
  <si>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</si>
  <si>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</si>
  <si>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</si>
  <si>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</si>
  <si>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</si>
  <si>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</si>
  <si>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</si>
  <si>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</si>
  <si>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</si>
  <si>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</si>
  <si>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</si>
  <si>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</si>
  <si>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</si>
  <si>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</si>
  <si>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</si>
  <si>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</si>
  <si>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</si>
  <si>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</si>
  <si>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</si>
  <si>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</si>
  <si>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</si>
  <si>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</si>
  <si>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</si>
  <si>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</si>
  <si>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</si>
  <si>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</si>
  <si>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</si>
  <si>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</si>
  <si>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</si>
  <si>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</si>
  <si>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</si>
  <si>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</si>
  <si>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</si>
  <si>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</si>
  <si>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</si>
  <si>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</si>
  <si>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</si>
  <si>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</si>
  <si>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</si>
  <si>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</si>
  <si>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</si>
  <si>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</si>
  <si>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</si>
  <si>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</si>
  <si>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</si>
  <si>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</si>
  <si>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</si>
  <si>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</si>
  <si>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</si>
  <si>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</si>
  <si>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</si>
  <si>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</si>
  <si>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</si>
  <si>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</si>
  <si>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</si>
  <si>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</si>
  <si>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</si>
  <si>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</si>
  <si>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</si>
  <si>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</si>
  <si>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</si>
  <si>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</si>
  <si>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</si>
  <si>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</si>
  <si>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</si>
  <si>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</si>
  <si>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</si>
  <si>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</si>
  <si>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</si>
  <si>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</si>
  <si>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</si>
  <si>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</si>
  <si>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</si>
  <si>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</si>
  <si>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</si>
  <si>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</si>
  <si>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</si>
  <si>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</si>
  <si>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</si>
  <si>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</si>
  <si>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</si>
  <si>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</si>
  <si>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</si>
  <si>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</si>
  <si>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</si>
  <si>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</si>
  <si>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</si>
  <si>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</si>
  <si>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</si>
  <si>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Erythrozyten
-d4</t>
  </si>
  <si>
    <t>Lipase-d1  (U/L)</t>
  </si>
  <si>
    <t xml:space="preserve">Lipase-d2 </t>
  </si>
  <si>
    <t>Albumin-2 Tage vor Krankheitsbeginn</t>
  </si>
  <si>
    <t>Protein
[mg/dl]-d1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</si>
  <si>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</si>
  <si>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</si>
  <si>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</si>
  <si>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</si>
  <si>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</si>
  <si>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</si>
  <si>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</si>
  <si>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</si>
  <si>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</si>
  <si>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</si>
  <si>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</si>
  <si>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</si>
  <si>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</si>
  <si>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</si>
  <si>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</si>
  <si>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</si>
  <si>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</si>
  <si>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</si>
  <si>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</si>
  <si>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</si>
  <si>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</si>
  <si>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</si>
  <si>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Ap-d6w4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</si>
  <si>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</si>
  <si>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</si>
  <si>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</si>
  <si>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</si>
  <si>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</si>
  <si>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</si>
  <si>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</si>
  <si>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</si>
  <si>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</si>
  <si>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</si>
  <si>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</si>
  <si>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</si>
  <si>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</si>
  <si>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</si>
  <si>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</si>
  <si>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</si>
  <si>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</si>
  <si>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</si>
  <si>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</si>
  <si>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</si>
  <si>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</si>
  <si>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</si>
  <si>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</si>
  <si>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</si>
  <si>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</si>
  <si>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</si>
  <si>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</si>
  <si>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</si>
  <si>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</si>
  <si>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</si>
  <si>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</si>
  <si>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</si>
  <si>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</si>
  <si>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</si>
  <si>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</si>
  <si>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</si>
  <si>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</si>
  <si>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</si>
  <si>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</si>
  <si>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</si>
  <si>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</si>
  <si>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</si>
  <si>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</si>
  <si>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</si>
  <si>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</si>
  <si>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</si>
  <si>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</si>
  <si>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</si>
  <si>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</si>
  <si>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</si>
  <si>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</si>
  <si>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</si>
  <si>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</si>
  <si>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</si>
  <si>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</si>
  <si>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</si>
  <si>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</si>
  <si>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</si>
  <si>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</si>
  <si>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</si>
  <si>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</si>
  <si>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</si>
  <si>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</si>
  <si>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</si>
  <si>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</si>
  <si>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</si>
  <si>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</si>
  <si>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</si>
  <si>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</si>
  <si>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</si>
  <si>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</si>
  <si>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</si>
  <si>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</si>
  <si>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</si>
  <si>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</si>
  <si>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</si>
  <si>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</si>
  <si>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</si>
  <si>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</si>
  <si>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</si>
  <si>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</si>
  <si>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</si>
  <si>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</si>
  <si>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</si>
  <si>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</si>
  <si>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</si>
  <si>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</si>
  <si>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</si>
  <si>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</si>
  <si>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</si>
  <si>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</si>
  <si>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</si>
  <si>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</si>
  <si>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</si>
  <si>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</si>
  <si>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</si>
  <si>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</si>
  <si>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</si>
  <si>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</si>
  <si>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</si>
  <si>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</si>
  <si>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</si>
  <si>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</si>
  <si>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</si>
  <si>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</si>
  <si>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</si>
  <si>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</si>
  <si>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</si>
  <si>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</si>
  <si>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</si>
  <si>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</si>
  <si>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</si>
  <si>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</si>
  <si>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</si>
  <si>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</si>
  <si>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</si>
  <si>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</si>
  <si>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</si>
  <si>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</si>
  <si>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</si>
  <si>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</si>
  <si>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</si>
  <si>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</si>
  <si>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</si>
  <si>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</si>
  <si>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</si>
  <si>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</si>
  <si>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</si>
  <si>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</si>
  <si>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</si>
  <si>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</si>
  <si>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</si>
  <si>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</si>
  <si>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</si>
  <si>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</si>
  <si>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</si>
  <si>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</si>
  <si>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</si>
  <si>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</si>
  <si>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</si>
  <si>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</si>
  <si>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</si>
  <si>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</si>
  <si>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</si>
  <si>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</si>
  <si>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</si>
  <si>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</si>
  <si>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</si>
  <si>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</si>
  <si>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</si>
  <si>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</si>
  <si>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</si>
  <si>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</si>
  <si>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</si>
  <si>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</si>
  <si>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</si>
  <si>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</si>
  <si>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</si>
  <si>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</si>
  <si>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</si>
  <si>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</si>
  <si>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</si>
  <si>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</si>
  <si>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</si>
  <si>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</si>
  <si>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</si>
  <si>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</si>
  <si>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</si>
  <si>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</si>
  <si>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</si>
  <si>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</si>
  <si>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</si>
  <si>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</si>
  <si>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</si>
  <si>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</si>
  <si>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</si>
  <si>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</si>
  <si>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</si>
  <si>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</si>
  <si>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</si>
  <si>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Influanca-Vaczin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</si>
  <si>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</si>
  <si>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</si>
  <si>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</si>
  <si>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</si>
  <si>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</si>
  <si>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</si>
  <si>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</si>
  <si>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</si>
  <si>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</si>
  <si>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</si>
  <si>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</si>
  <si>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</si>
  <si>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</si>
  <si>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Buflomedil Hydrochlorid (periphera arterielle Verschlusskrankheit)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</si>
  <si>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</si>
  <si>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</si>
  <si>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</si>
  <si>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</si>
  <si>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</si>
  <si>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</si>
  <si>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</si>
  <si>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12ug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</si>
  <si>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</si>
  <si>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</si>
  <si>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</si>
  <si>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</si>
  <si>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</si>
  <si>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</si>
  <si>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</si>
  <si>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</si>
  <si>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</si>
  <si>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</si>
  <si>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</si>
  <si>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</si>
  <si>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</si>
  <si>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</si>
  <si>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</si>
  <si>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</si>
  <si>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</si>
  <si>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</si>
  <si>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</si>
  <si>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</si>
  <si>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</si>
  <si>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</si>
  <si>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</si>
  <si>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</si>
  <si>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</si>
  <si>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</si>
  <si>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</si>
  <si>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</si>
  <si>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</si>
  <si>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</si>
  <si>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</si>
  <si>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</si>
  <si>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</si>
  <si>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</si>
  <si>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</si>
  <si>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</si>
  <si>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</si>
  <si>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</si>
  <si>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</si>
  <si>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Neutrophile-d2w4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</si>
  <si>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</si>
  <si>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</si>
  <si>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</si>
  <si>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</si>
  <si>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</si>
  <si>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</si>
  <si>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</si>
  <si>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</si>
  <si>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</si>
  <si>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</si>
  <si>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</si>
  <si>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</si>
  <si>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</si>
  <si>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</si>
  <si>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</si>
  <si>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</si>
  <si>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</si>
  <si>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</si>
  <si>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</si>
  <si>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</si>
  <si>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</si>
  <si>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</si>
  <si>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</si>
  <si>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</si>
  <si>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</si>
  <si>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</si>
  <si>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</si>
  <si>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</si>
  <si>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</si>
  <si>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</si>
  <si>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</si>
  <si>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</si>
  <si>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</si>
  <si>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</si>
  <si>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</si>
  <si>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</si>
  <si>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</si>
  <si>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</si>
  <si>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</si>
  <si>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</si>
  <si>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</si>
  <si>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</si>
  <si>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</si>
  <si>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</si>
  <si>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</si>
  <si>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</si>
  <si>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</si>
  <si>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</si>
  <si>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</si>
  <si>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</si>
  <si>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</si>
  <si>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</si>
  <si>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</si>
  <si>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</si>
  <si>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</si>
  <si>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</si>
  <si>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</si>
  <si>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</si>
  <si>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</si>
  <si>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</si>
  <si>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</si>
  <si>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</si>
  <si>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</si>
  <si>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</si>
  <si>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</si>
  <si>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</si>
  <si>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</si>
  <si>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</si>
  <si>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</si>
  <si>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</si>
  <si>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</si>
  <si>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</si>
  <si>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</si>
  <si>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</si>
  <si>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</si>
  <si>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</si>
  <si>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</si>
  <si>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</si>
  <si>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</si>
  <si>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</si>
  <si>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</si>
  <si>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</si>
  <si>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</si>
  <si>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</si>
  <si>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</si>
  <si>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</si>
  <si>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</si>
  <si>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</si>
  <si>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</si>
  <si>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</si>
  <si>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</si>
  <si>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</si>
  <si>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</si>
  <si>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</si>
  <si>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</si>
  <si>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</si>
  <si>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</si>
  <si>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</si>
  <si>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</si>
  <si>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</si>
  <si>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</si>
  <si>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</si>
  <si>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</si>
  <si>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</si>
  <si>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</si>
  <si>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</si>
  <si>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</si>
  <si>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</si>
  <si>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</si>
  <si>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</si>
  <si>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</si>
  <si>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</si>
  <si>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</si>
  <si>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</si>
  <si>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</si>
  <si>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</si>
  <si>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</si>
  <si>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</si>
  <si>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</si>
  <si>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</si>
  <si>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</si>
  <si>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</si>
  <si>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</si>
  <si>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</si>
  <si>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</si>
  <si>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</si>
  <si>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</si>
  <si>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</si>
  <si>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</si>
  <si>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</si>
  <si>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</si>
  <si>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</si>
  <si>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</si>
  <si>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</si>
  <si>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</si>
  <si>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</si>
  <si>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</si>
  <si>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</si>
  <si>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</si>
  <si>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</si>
  <si>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</si>
  <si>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</si>
  <si>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</si>
  <si>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</si>
  <si>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</si>
  <si>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</si>
  <si>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</si>
  <si>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</si>
  <si>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</si>
  <si>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</si>
  <si>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</si>
  <si>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</si>
  <si>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</si>
  <si>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</si>
  <si>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</si>
  <si>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</si>
  <si>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</si>
  <si>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</si>
  <si>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</si>
  <si>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</si>
  <si>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</si>
  <si>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</si>
  <si>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</si>
  <si>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</si>
  <si>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</si>
  <si>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</si>
  <si>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</si>
  <si>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</si>
  <si>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</si>
  <si>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</si>
  <si>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</si>
  <si>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</si>
  <si>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</si>
  <si>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</si>
  <si>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</si>
  <si>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</si>
  <si>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</si>
  <si>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</si>
  <si>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</si>
  <si>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</si>
  <si>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</si>
  <si>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</si>
  <si>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</si>
  <si>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</si>
  <si>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</si>
  <si>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</si>
  <si>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</si>
  <si>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</si>
  <si>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</si>
  <si>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</si>
  <si>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</si>
  <si>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</si>
  <si>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</si>
  <si>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</si>
  <si>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</si>
  <si>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</si>
  <si>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</si>
  <si>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</si>
  <si>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</si>
  <si>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</si>
  <si>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</si>
  <si>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</si>
  <si>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</si>
  <si>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</si>
  <si>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</si>
  <si>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</si>
  <si>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</si>
  <si>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</si>
  <si>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</si>
  <si>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</si>
  <si>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</si>
  <si>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</si>
  <si>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</si>
  <si>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</si>
  <si>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</si>
  <si>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</si>
  <si>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</si>
  <si>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</si>
  <si>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</si>
  <si>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</si>
  <si>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</si>
  <si>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</si>
  <si>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</si>
  <si>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</si>
  <si>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</si>
  <si>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</si>
  <si>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</si>
  <si>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</si>
  <si>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</si>
  <si>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</si>
  <si>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</si>
  <si>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</si>
  <si>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</si>
  <si>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</si>
  <si>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</si>
  <si>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</si>
  <si>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</si>
  <si>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</si>
  <si>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</si>
  <si>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</si>
  <si>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</si>
  <si>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</si>
  <si>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</si>
  <si>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</si>
  <si>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</si>
  <si>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</si>
  <si>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</si>
  <si>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</si>
  <si>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</si>
  <si>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</si>
  <si>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</si>
  <si>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</si>
  <si>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</si>
  <si>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</si>
  <si>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</si>
  <si>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</si>
  <si>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</si>
  <si>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</si>
  <si>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</si>
  <si>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</si>
  <si>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</si>
  <si>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</si>
  <si>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</si>
  <si>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</si>
  <si>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</si>
  <si>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</si>
  <si>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</si>
  <si>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</si>
  <si>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</si>
  <si>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</si>
  <si>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</si>
  <si>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</si>
  <si>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</si>
  <si>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</si>
  <si>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</si>
  <si>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</si>
  <si>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</si>
  <si>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</si>
  <si>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</si>
  <si>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</si>
  <si>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</si>
  <si>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</si>
  <si>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</si>
  <si>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</si>
  <si>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</si>
  <si>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</si>
  <si>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</si>
  <si>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</si>
  <si>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</si>
  <si>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</si>
  <si>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</si>
  <si>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</si>
  <si>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</si>
  <si>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</si>
  <si>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</si>
  <si>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</si>
  <si>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</si>
  <si>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</si>
  <si>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</si>
  <si>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</si>
  <si>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</si>
  <si>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</si>
  <si>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</si>
  <si>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</si>
  <si>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</si>
  <si>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</si>
  <si>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</si>
  <si>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</si>
  <si>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</si>
  <si>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</si>
  <si>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</si>
  <si>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</si>
  <si>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</si>
  <si>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</si>
  <si>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</si>
  <si>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</si>
  <si>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</si>
  <si>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</si>
  <si>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</si>
  <si>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</si>
  <si>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</si>
  <si>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</si>
  <si>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</si>
  <si>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</si>
  <si>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</si>
  <si>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</si>
  <si>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</si>
  <si>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</si>
  <si>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</si>
  <si>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</si>
  <si>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</si>
  <si>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</si>
  <si>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</si>
  <si>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</si>
  <si>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</si>
  <si>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</si>
  <si>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</si>
  <si>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</si>
  <si>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</si>
  <si>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</si>
  <si>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</si>
  <si>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</si>
  <si>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</si>
  <si>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</si>
  <si>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</si>
  <si>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</si>
  <si>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</si>
  <si>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</si>
  <si>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</si>
  <si>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</si>
  <si>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</si>
  <si>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</si>
  <si>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</si>
  <si>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</si>
  <si>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</si>
  <si>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</si>
  <si>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</si>
  <si>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</si>
  <si>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</si>
  <si>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</si>
  <si>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</si>
  <si>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</si>
  <si>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</si>
  <si>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</si>
  <si>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</si>
  <si>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</si>
  <si>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</si>
  <si>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</si>
  <si>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</si>
  <si>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</si>
  <si>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</si>
  <si>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</si>
  <si>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</si>
  <si>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</si>
  <si>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</si>
  <si>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</si>
  <si>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</si>
  <si>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</si>
  <si>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</si>
  <si>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</si>
  <si>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</si>
  <si>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</si>
  <si>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</si>
  <si>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</si>
  <si>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</si>
  <si>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</si>
  <si>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</si>
  <si>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</si>
  <si>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</si>
  <si>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</si>
  <si>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</si>
  <si>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</si>
  <si>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</si>
  <si>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</si>
  <si>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</si>
  <si>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</si>
  <si>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</si>
  <si>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</si>
  <si>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</si>
  <si>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</si>
  <si>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</si>
  <si>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</si>
  <si>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</si>
  <si>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</si>
  <si>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</si>
  <si>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</si>
  <si>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</si>
  <si>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</si>
  <si>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</si>
  <si>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</si>
  <si>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</si>
  <si>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</si>
  <si>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</si>
  <si>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</si>
  <si>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</si>
  <si>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</si>
  <si>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</si>
  <si>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</si>
  <si>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</si>
  <si>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</si>
  <si>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</si>
  <si>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</si>
  <si>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</si>
  <si>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</si>
  <si>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</si>
  <si>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</si>
  <si>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</si>
  <si>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</si>
  <si>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</si>
  <si>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</si>
  <si>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</si>
  <si>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</si>
  <si>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</si>
  <si>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</si>
  <si>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</si>
  <si>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</si>
  <si>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</si>
  <si>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</si>
  <si>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</si>
  <si>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</si>
  <si>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</si>
  <si>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</si>
  <si>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</si>
  <si>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</si>
  <si>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</si>
  <si>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</si>
  <si>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</si>
  <si>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</si>
  <si>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</si>
  <si>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</si>
  <si>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</si>
  <si>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</si>
  <si>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</si>
  <si>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</si>
  <si>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</si>
  <si>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</si>
  <si>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</si>
  <si>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</si>
  <si>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</si>
  <si>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</si>
  <si>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</si>
  <si>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</si>
  <si>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</si>
  <si>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</si>
  <si>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</si>
  <si>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</si>
  <si>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</si>
  <si>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</si>
  <si>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</si>
  <si>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</si>
  <si>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</si>
  <si>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</si>
  <si>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</si>
  <si>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</si>
  <si>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</si>
  <si>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</si>
  <si>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</si>
  <si>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</si>
  <si>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</si>
  <si>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</si>
  <si>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</si>
  <si>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</si>
  <si>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</si>
  <si>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</si>
  <si>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</si>
  <si>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</si>
  <si>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</si>
  <si>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</si>
  <si>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</si>
  <si>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</si>
  <si>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</si>
  <si>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</si>
  <si>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</si>
  <si>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</si>
  <si>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</si>
  <si>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</si>
  <si>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</si>
  <si>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</si>
  <si>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</si>
  <si>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</si>
  <si>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</si>
  <si>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</si>
  <si>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</si>
  <si>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</si>
  <si>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</si>
  <si>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</si>
  <si>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</si>
  <si>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</si>
  <si>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</si>
  <si>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</si>
  <si>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</si>
  <si>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</si>
  <si>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</si>
  <si>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</si>
  <si>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</si>
  <si>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</si>
  <si>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</si>
  <si>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</si>
  <si>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</si>
  <si>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</si>
  <si>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</si>
  <si>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</si>
  <si>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</si>
  <si>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</si>
  <si>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</si>
  <si>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</si>
  <si>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</si>
  <si>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</si>
  <si>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</si>
  <si>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</si>
  <si>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</si>
  <si>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</si>
  <si>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</si>
  <si>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</si>
  <si>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</si>
  <si>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</si>
  <si>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</si>
  <si>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</si>
  <si>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</si>
  <si>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</si>
  <si>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</si>
  <si>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</si>
  <si>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</si>
  <si>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</si>
  <si>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</si>
  <si>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</si>
  <si>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</si>
  <si>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</si>
  <si>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</si>
  <si>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</si>
  <si>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</si>
  <si>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</si>
  <si>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</si>
  <si>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</si>
  <si>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</si>
  <si>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</si>
  <si>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</si>
  <si>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</si>
  <si>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</si>
  <si>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</si>
  <si>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</si>
  <si>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</si>
  <si>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</si>
  <si>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</si>
  <si>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</si>
  <si>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</si>
  <si>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</si>
  <si>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</si>
  <si>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</si>
  <si>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</si>
  <si>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</si>
  <si>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</si>
  <si>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</si>
  <si>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</si>
  <si>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</si>
  <si>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</si>
  <si>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</si>
  <si>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</si>
  <si>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</si>
  <si>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</si>
  <si>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</si>
  <si>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</si>
  <si>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</si>
  <si>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</si>
  <si>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</si>
  <si>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</si>
  <si>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</si>
  <si>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</si>
  <si>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</si>
  <si>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</si>
  <si>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</si>
  <si>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</si>
  <si>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</si>
  <si>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</si>
  <si>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</si>
  <si>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</si>
  <si>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</si>
  <si>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</si>
  <si>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</si>
  <si>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</si>
  <si>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</si>
  <si>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</si>
  <si>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</si>
  <si>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</si>
  <si>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</si>
  <si>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</si>
  <si>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</si>
  <si>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</si>
  <si>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</si>
  <si>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</si>
  <si>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</si>
  <si>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</si>
  <si>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</si>
  <si>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</si>
  <si>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</si>
  <si>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</si>
  <si>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</si>
  <si>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</si>
  <si>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</si>
  <si>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</si>
  <si>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</si>
  <si>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</si>
  <si>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</si>
  <si>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</si>
  <si>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</si>
  <si>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</si>
  <si>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</si>
  <si>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</si>
  <si>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</si>
  <si>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</si>
  <si>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</si>
  <si>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</si>
  <si>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</si>
  <si>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</si>
  <si>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</si>
  <si>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</si>
  <si>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</si>
  <si>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</si>
  <si>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</si>
  <si>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</si>
  <si>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</si>
  <si>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</si>
  <si>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</si>
  <si>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</si>
  <si>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</si>
  <si>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</si>
  <si>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</si>
  <si>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</si>
  <si>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</si>
  <si>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</si>
  <si>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</si>
  <si>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</si>
  <si>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</si>
  <si>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</si>
  <si>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</si>
  <si>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</si>
  <si>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</si>
  <si>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</si>
  <si>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</si>
  <si>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</si>
  <si>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</si>
  <si>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</si>
  <si>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</si>
  <si>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</si>
  <si>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</si>
  <si>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</si>
  <si>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</si>
  <si>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</si>
  <si>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</si>
  <si>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</si>
  <si>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</si>
  <si>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</si>
  <si>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</si>
  <si>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</si>
  <si>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</si>
  <si>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</si>
  <si>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</si>
  <si>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</si>
  <si>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</si>
  <si>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</si>
  <si>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</si>
  <si>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</si>
  <si>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</si>
  <si>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</si>
  <si>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</si>
  <si>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</si>
  <si>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</si>
  <si>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</si>
  <si>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</si>
  <si>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</si>
  <si>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</si>
  <si>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</si>
  <si>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</si>
  <si>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</si>
  <si>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</si>
  <si>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</si>
  <si>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</si>
  <si>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</si>
  <si>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</si>
  <si>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</si>
  <si>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</si>
  <si>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</si>
  <si>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</si>
  <si>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</si>
  <si>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</si>
  <si>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</si>
  <si>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</si>
  <si>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</si>
  <si>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</si>
  <si>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</si>
  <si>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</si>
  <si>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</si>
  <si>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</si>
  <si>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</si>
  <si>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</si>
  <si>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</si>
  <si>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</si>
  <si>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</si>
  <si>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</si>
  <si>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</si>
  <si>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</si>
  <si>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</si>
  <si>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</si>
  <si>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</si>
  <si>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</si>
  <si>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</si>
  <si>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</si>
  <si>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</si>
  <si>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</si>
  <si>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</si>
  <si>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</si>
  <si>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</si>
  <si>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</si>
  <si>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</si>
  <si>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</si>
  <si>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</si>
  <si>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</si>
  <si>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</si>
  <si>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</si>
  <si>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</si>
  <si>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</si>
  <si>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</si>
  <si>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</si>
  <si>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</si>
  <si>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</si>
  <si>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</si>
  <si>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</si>
  <si>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</si>
  <si>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</si>
  <si>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</si>
  <si>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</si>
  <si>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</si>
  <si>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</si>
  <si>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</si>
  <si>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</si>
  <si>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</si>
  <si>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</si>
  <si>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</si>
  <si>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</si>
  <si>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</si>
  <si>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</si>
  <si>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</si>
  <si>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</si>
  <si>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</si>
  <si>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</si>
  <si>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</si>
  <si>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</si>
  <si>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</si>
  <si>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</si>
  <si>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</si>
  <si>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</si>
  <si>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</si>
  <si>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</si>
  <si>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</si>
  <si>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</si>
  <si>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</si>
  <si>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</si>
  <si>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</si>
  <si>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</si>
  <si>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</si>
  <si>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</si>
  <si>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</si>
  <si>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</si>
  <si>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</si>
  <si>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</si>
  <si>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</si>
  <si>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</si>
  <si>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</si>
  <si>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</si>
  <si>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</si>
  <si>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</si>
  <si>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</si>
  <si>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</si>
  <si>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</si>
  <si>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</si>
  <si>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</si>
  <si>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</si>
  <si>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</si>
  <si>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</si>
  <si>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</si>
  <si>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</si>
  <si>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</si>
  <si>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</si>
  <si>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</si>
  <si>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</si>
  <si>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</si>
  <si>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</si>
  <si>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</si>
  <si>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</si>
  <si>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</si>
  <si>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</si>
  <si>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</si>
  <si>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</si>
  <si>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</si>
  <si>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</si>
  <si>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</si>
  <si>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</si>
  <si>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</si>
  <si>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</si>
  <si>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</si>
  <si>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</si>
  <si>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</si>
  <si>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</si>
  <si>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</si>
  <si>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</si>
  <si>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</si>
  <si>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</si>
  <si>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</si>
  <si>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</si>
  <si>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</si>
  <si>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</si>
  <si>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</si>
  <si>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</si>
  <si>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</si>
  <si>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</si>
  <si>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</si>
  <si>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</si>
  <si>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</si>
  <si>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</si>
  <si>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</si>
  <si>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</si>
  <si>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</si>
  <si>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</si>
  <si>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</si>
  <si>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</si>
  <si>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</si>
  <si>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</si>
  <si>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</si>
  <si>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</si>
  <si>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</si>
  <si>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</si>
  <si>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</si>
  <si>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</si>
  <si>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</si>
  <si>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</si>
  <si>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</si>
  <si>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</si>
  <si>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</si>
  <si>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</si>
  <si>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</si>
  <si>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</si>
  <si>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</si>
  <si>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</si>
  <si>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</si>
  <si>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</si>
  <si>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</si>
  <si>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</si>
  <si>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</si>
  <si>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</si>
  <si>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</si>
  <si>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</si>
  <si>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</si>
  <si>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</si>
  <si>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</si>
  <si>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</si>
  <si>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</si>
  <si>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</si>
  <si>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</si>
  <si>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</si>
  <si>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</si>
  <si>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</si>
  <si>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</si>
  <si>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</si>
  <si>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</si>
  <si>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</si>
  <si>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</si>
  <si>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</si>
  <si>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</si>
  <si>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</si>
  <si>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</si>
  <si>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</si>
  <si>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</si>
  <si>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</si>
  <si>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</si>
  <si>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</si>
  <si>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</si>
  <si>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</si>
  <si>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</si>
  <si>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</si>
  <si>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</si>
  <si>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</si>
  <si>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</si>
  <si>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</si>
  <si>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</si>
  <si>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</si>
  <si>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</si>
  <si>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</si>
  <si>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</si>
  <si>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</si>
  <si>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</si>
  <si>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</si>
  <si>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</si>
  <si>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</si>
  <si>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</si>
  <si>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</si>
  <si>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</si>
  <si>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</si>
  <si>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</si>
  <si>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</si>
  <si>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</si>
  <si>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</si>
  <si>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</si>
  <si>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</si>
  <si>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</si>
  <si>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</si>
  <si>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</si>
  <si>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</si>
  <si>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</si>
  <si>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</si>
  <si>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</si>
  <si>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</si>
  <si>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</si>
  <si>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</si>
  <si>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</si>
  <si>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</si>
  <si>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</si>
  <si>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</si>
  <si>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</si>
  <si>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</si>
  <si>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</si>
  <si>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</si>
  <si>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</si>
  <si>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</si>
  <si>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</si>
  <si>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</si>
  <si>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</si>
  <si>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</si>
  <si>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</si>
  <si>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</si>
  <si>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</si>
  <si>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</si>
  <si>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</si>
  <si>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</si>
  <si>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</si>
  <si>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</si>
  <si>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</si>
  <si>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</si>
  <si>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</si>
  <si>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</si>
  <si>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</si>
  <si>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</si>
  <si>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</si>
  <si>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</si>
  <si>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</si>
  <si>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</si>
  <si>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</si>
  <si>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</si>
  <si>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</si>
  <si>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</si>
  <si>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</si>
  <si>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</si>
  <si>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</si>
  <si>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</si>
  <si>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</si>
  <si>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</si>
  <si>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</si>
  <si>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</si>
  <si>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</si>
  <si>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</si>
  <si>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</si>
  <si>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</si>
  <si>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</si>
  <si>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</si>
  <si>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</si>
  <si>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</si>
  <si>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</si>
  <si>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</si>
  <si>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</si>
  <si>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</si>
  <si>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</si>
  <si>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</si>
  <si>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</si>
  <si>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</si>
  <si>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</si>
  <si>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</si>
  <si>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</si>
  <si>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</si>
  <si>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</si>
  <si>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</si>
  <si>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</si>
  <si>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</si>
  <si>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</si>
  <si>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</si>
  <si>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</si>
  <si>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</si>
  <si>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</si>
  <si>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</si>
  <si>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</si>
  <si>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</si>
  <si>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</si>
  <si>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</si>
  <si>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</si>
  <si>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</si>
  <si>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</si>
  <si>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</si>
  <si>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</si>
  <si>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</si>
  <si>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</si>
  <si>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</si>
  <si>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</si>
  <si>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</si>
  <si>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</si>
  <si>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</si>
  <si>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</si>
  <si>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</si>
  <si>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</si>
  <si>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</si>
  <si>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</si>
  <si>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</si>
  <si>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</si>
  <si>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</si>
  <si>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</si>
  <si>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</si>
  <si>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</si>
  <si>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</si>
  <si>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</si>
  <si>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</si>
  <si>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</si>
  <si>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</si>
  <si>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</si>
  <si>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</si>
  <si>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</si>
  <si>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</si>
  <si>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</si>
  <si>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</si>
  <si>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</si>
  <si>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</si>
  <si>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</si>
  <si>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</si>
  <si>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</si>
  <si>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</si>
  <si>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</si>
  <si>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</si>
  <si>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</si>
  <si>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</si>
  <si>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</si>
  <si>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</si>
  <si>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</si>
  <si>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</si>
  <si>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</si>
  <si>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</si>
  <si>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</si>
  <si>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</si>
  <si>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</si>
  <si>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</si>
  <si>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</si>
  <si>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</si>
  <si>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</si>
  <si>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</si>
  <si>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</si>
  <si>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</si>
  <si>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</si>
  <si>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</si>
  <si>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</si>
  <si>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</si>
  <si>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</si>
  <si>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</si>
  <si>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</si>
  <si>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</si>
  <si>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</si>
  <si>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</si>
  <si>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</si>
  <si>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</si>
  <si>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</si>
  <si>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</si>
  <si>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</si>
  <si>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</si>
  <si>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</si>
  <si>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</si>
  <si>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</si>
  <si>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</si>
  <si>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</si>
  <si>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</si>
  <si>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</si>
  <si>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</si>
  <si>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</si>
  <si>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</si>
  <si>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</si>
  <si>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</si>
  <si>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</si>
  <si>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</si>
  <si>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</si>
  <si>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</si>
  <si>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</si>
  <si>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</si>
  <si>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</si>
  <si>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</si>
  <si>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</si>
  <si>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</si>
  <si>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</si>
  <si>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</si>
  <si>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</si>
  <si>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</si>
  <si>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</si>
  <si>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</si>
  <si>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</si>
  <si>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</si>
  <si>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</si>
  <si>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</si>
  <si>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</si>
  <si>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</si>
  <si>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</si>
  <si>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</si>
  <si>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</si>
  <si>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</si>
  <si>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</si>
  <si>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</si>
  <si>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</si>
  <si>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</si>
  <si>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</si>
  <si>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</si>
  <si>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</si>
  <si>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</si>
  <si>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</si>
  <si>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</si>
  <si>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</si>
  <si>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</si>
  <si>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</si>
  <si>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</si>
  <si>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</si>
  <si>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</si>
  <si>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</si>
  <si>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</si>
  <si>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</si>
  <si>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</si>
  <si>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</si>
  <si>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</si>
  <si>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</si>
  <si>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</si>
  <si>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</si>
  <si>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</si>
  <si>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</si>
  <si>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</si>
  <si>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</si>
  <si>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</si>
  <si>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</si>
  <si>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</si>
  <si>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</si>
  <si>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</si>
  <si>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</si>
  <si>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</si>
  <si>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</si>
  <si>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</si>
  <si>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</si>
  <si>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</si>
  <si>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</si>
  <si>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</si>
  <si>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</si>
  <si>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</si>
  <si>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</si>
  <si>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</si>
  <si>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</si>
  <si>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</si>
  <si>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</si>
  <si>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</si>
  <si>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</si>
  <si>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</si>
  <si>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</si>
  <si>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</si>
  <si>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</si>
  <si>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</si>
  <si>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</si>
  <si>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</si>
  <si>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</si>
  <si>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</si>
  <si>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</si>
  <si>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</si>
  <si>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</si>
  <si>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</si>
  <si>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</si>
  <si>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</si>
  <si>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</si>
  <si>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</si>
  <si>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</si>
  <si>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</si>
  <si>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</si>
  <si>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</si>
  <si>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</si>
  <si>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</si>
  <si>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</si>
  <si>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</si>
  <si>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</si>
  <si>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</si>
  <si>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</si>
  <si>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</si>
  <si>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</si>
  <si>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</si>
  <si>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</si>
  <si>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</si>
  <si>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</si>
  <si>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</si>
  <si>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</si>
  <si>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</si>
  <si>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</si>
  <si>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</si>
  <si>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</si>
  <si>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</si>
  <si>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</si>
  <si>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</si>
  <si>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</si>
  <si>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</si>
  <si>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</si>
  <si>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</si>
  <si>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</si>
  <si>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</si>
  <si>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</si>
  <si>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</si>
  <si>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</si>
  <si>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</si>
  <si>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</si>
  <si>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</si>
  <si>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</si>
  <si>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</si>
  <si>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</si>
  <si>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</si>
  <si>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</si>
  <si>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</si>
  <si>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</si>
  <si>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</si>
  <si>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</si>
  <si>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</si>
  <si>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</si>
  <si>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</si>
  <si>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</si>
  <si>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</si>
  <si>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</si>
  <si>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</si>
  <si>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</si>
  <si>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</si>
  <si>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</si>
  <si>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</si>
  <si>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</si>
  <si>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</si>
  <si>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</si>
  <si>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</si>
  <si>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</si>
  <si>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</si>
  <si>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</si>
  <si>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</si>
  <si>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</si>
  <si>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</si>
  <si>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</si>
  <si>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</si>
  <si>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</si>
  <si>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</si>
  <si>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</si>
  <si>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</si>
  <si>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</si>
  <si>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</si>
  <si>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</si>
  <si>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</si>
  <si>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</si>
  <si>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</si>
  <si>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</si>
  <si>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</si>
  <si>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</si>
  <si>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</si>
  <si>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</si>
  <si>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</si>
  <si>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</si>
  <si>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</si>
  <si>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</si>
  <si>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</si>
  <si>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</si>
  <si>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</si>
  <si>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</si>
  <si>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</si>
  <si>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</si>
  <si>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</si>
  <si>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</si>
  <si>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</si>
  <si>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</si>
  <si>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</si>
  <si>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</si>
  <si>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</si>
  <si>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</si>
  <si>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</si>
  <si>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</si>
  <si>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</si>
  <si>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</si>
  <si>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</si>
  <si>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</si>
  <si>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</si>
  <si>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</si>
  <si>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</si>
  <si>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Valproat (Antikonvulsivum)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</si>
  <si>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</si>
  <si>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</si>
  <si>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</si>
  <si>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</si>
  <si>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</si>
  <si>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</si>
  <si>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</si>
  <si>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</si>
  <si>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</si>
  <si>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</si>
  <si>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</si>
  <si>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</si>
  <si>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</si>
  <si>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</si>
  <si>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</si>
  <si>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</si>
  <si>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</si>
  <si>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</si>
  <si>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</si>
  <si>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</si>
  <si>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</si>
  <si>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</si>
  <si>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</si>
  <si>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</si>
  <si>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</si>
  <si>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</si>
  <si>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</si>
  <si>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</si>
  <si>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</si>
  <si>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</si>
  <si>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</si>
  <si>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</si>
  <si>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</si>
  <si>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</si>
  <si>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</si>
  <si>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</si>
  <si>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</si>
  <si>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</si>
  <si>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</si>
  <si>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</si>
  <si>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</si>
  <si>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</si>
  <si>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</si>
  <si>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Leberbiopsie, Sonographie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</si>
  <si>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</si>
  <si>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</si>
  <si>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</si>
  <si>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</si>
  <si>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</si>
  <si>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</si>
  <si>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</si>
  <si>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</si>
  <si>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</si>
  <si>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</si>
  <si>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</si>
  <si>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</si>
  <si>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</si>
  <si>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</si>
  <si>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</si>
  <si>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</si>
  <si>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</si>
  <si>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</si>
  <si>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</si>
  <si>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</si>
  <si>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</si>
  <si>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</si>
  <si>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</si>
  <si>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</si>
  <si>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</si>
  <si>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</si>
  <si>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</si>
  <si>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</si>
  <si>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</si>
  <si>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</si>
  <si>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</si>
  <si>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</si>
  <si>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</si>
  <si>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</si>
  <si>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</si>
  <si>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</si>
  <si>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</si>
  <si>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</si>
  <si>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</si>
  <si>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</si>
  <si>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</si>
  <si>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</si>
  <si>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</si>
  <si>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</si>
  <si>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</si>
  <si>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</si>
  <si>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</si>
  <si>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</si>
  <si>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</si>
  <si>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</si>
  <si>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</si>
  <si>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</si>
  <si>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</si>
  <si>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</si>
  <si>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>Troponin I-(mg/ml)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</si>
  <si>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</si>
  <si>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</si>
  <si>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</si>
  <si>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</si>
  <si>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</si>
  <si>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</si>
  <si>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</si>
  <si>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</si>
  <si>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</si>
  <si>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</si>
  <si>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</si>
  <si>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</si>
  <si>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</si>
  <si>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</si>
  <si>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</si>
  <si>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</si>
  <si>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</si>
  <si>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</si>
  <si>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</si>
  <si>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</si>
  <si>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</si>
  <si>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</si>
  <si>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</si>
  <si>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</si>
  <si>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</si>
  <si>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</si>
  <si>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</si>
  <si>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</si>
  <si>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</si>
  <si>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</si>
  <si>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</si>
  <si>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</si>
  <si>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</si>
  <si>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</si>
  <si>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</si>
  <si>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</si>
  <si>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</si>
  <si>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</si>
  <si>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</si>
  <si>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</si>
  <si>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</si>
  <si>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</si>
  <si>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</si>
  <si>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</si>
  <si>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</si>
  <si>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</si>
  <si>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</si>
  <si>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>0,04 ug/l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</si>
  <si>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</si>
  <si>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</si>
  <si>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</si>
  <si>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</si>
  <si>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</si>
  <si>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</si>
  <si>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</si>
  <si>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</si>
  <si>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</si>
  <si>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</si>
  <si>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</si>
  <si>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</si>
  <si>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</si>
  <si>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</si>
  <si>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</si>
  <si>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</si>
  <si>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</si>
  <si>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</si>
  <si>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</si>
  <si>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</si>
  <si>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</si>
  <si>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</si>
  <si>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</si>
  <si>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</si>
  <si>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</si>
  <si>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</si>
  <si>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</si>
  <si>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</si>
  <si>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</si>
  <si>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</si>
  <si>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</si>
  <si>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</si>
  <si>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</si>
  <si>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</si>
  <si>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</si>
  <si>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</si>
  <si>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</si>
  <si>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</si>
  <si>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</si>
  <si>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</si>
  <si>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</si>
  <si>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</si>
  <si>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</si>
  <si>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</si>
  <si>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</si>
  <si>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</si>
  <si>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</si>
  <si>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</si>
  <si>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</si>
  <si>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</si>
  <si>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</si>
  <si>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</si>
  <si>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</si>
  <si>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</si>
  <si>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</si>
  <si>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</si>
  <si>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</si>
  <si>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</si>
  <si>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</si>
  <si>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</si>
  <si>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</si>
  <si>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</si>
  <si>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</si>
  <si>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</si>
  <si>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</si>
  <si>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</si>
  <si>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</si>
  <si>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</si>
  <si>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</si>
  <si>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</si>
  <si>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</si>
  <si>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</si>
  <si>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</si>
  <si>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</si>
  <si>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</si>
  <si>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</si>
  <si>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</si>
  <si>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</si>
  <si>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</si>
  <si>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</si>
  <si>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</si>
  <si>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</si>
  <si>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</si>
  <si>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</si>
  <si>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</si>
  <si>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</si>
  <si>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</si>
  <si>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</si>
  <si>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</si>
  <si>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</si>
  <si>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400ug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</si>
  <si>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</si>
  <si>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</si>
  <si>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</si>
  <si>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</si>
  <si>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</si>
  <si>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</si>
  <si>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</si>
  <si>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</si>
  <si>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</si>
  <si>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</si>
  <si>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Dosis (Mg/Tag)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</si>
  <si>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</si>
  <si>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</si>
  <si>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</si>
  <si>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</si>
  <si>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</si>
  <si>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</si>
  <si>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</si>
  <si>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</si>
  <si>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</si>
  <si>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</si>
  <si>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</si>
  <si>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</si>
  <si>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</si>
  <si>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</si>
  <si>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</si>
  <si>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</si>
  <si>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</si>
  <si>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</si>
  <si>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</si>
  <si>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</si>
  <si>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</si>
  <si>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</si>
  <si>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</si>
  <si>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</si>
  <si>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</si>
  <si>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</si>
  <si>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</si>
  <si>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</si>
  <si>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</si>
  <si>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</si>
  <si>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</si>
  <si>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</si>
  <si>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</si>
  <si>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</si>
  <si>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</si>
  <si>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</si>
  <si>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</si>
  <si>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</si>
  <si>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</si>
  <si>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</si>
  <si>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</si>
  <si>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</si>
  <si>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</si>
  <si>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</si>
  <si>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</si>
  <si>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</si>
  <si>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</si>
  <si>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</si>
  <si>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Östrogen</t>
  </si>
  <si>
    <t>Troponin I-Datum unbekannt (ng/dL)</t>
  </si>
  <si>
    <t>Troponin I-2 Tage vor Krankheitsbeginn (ng/dl)</t>
  </si>
  <si>
    <t>Troponin I-(ng/ml) d51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</si>
  <si>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</si>
  <si>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</si>
  <si>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</si>
  <si>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</si>
  <si>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</si>
  <si>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Cholesterin-d4w3</t>
  </si>
  <si>
    <t>Cholesterin- (mg/dl) d7w3m2</t>
  </si>
  <si>
    <t>Cholesterin (Cholesterol)-d1 (mg/dl)</t>
  </si>
  <si>
    <t>Kalzium-d1w1</t>
  </si>
  <si>
    <t>Amylase-d1w1</t>
  </si>
  <si>
    <t>11,23333333333333‬</t>
  </si>
  <si>
    <t>4,56 KU/L</t>
  </si>
  <si>
    <t>5,75 KU/L</t>
  </si>
  <si>
    <t>kann man das wirklich zu Symptomen hinzuzählen?</t>
  </si>
  <si>
    <t xml:space="preserve">Diclofenac </t>
  </si>
  <si>
    <t xml:space="preserve">Ibuprofen </t>
  </si>
  <si>
    <t xml:space="preserve">Paracetamol </t>
  </si>
  <si>
    <t>CK</t>
  </si>
  <si>
    <t>Day of Observation</t>
  </si>
  <si>
    <t>Total Number of Observations</t>
  </si>
  <si>
    <t>ck-12 tage vor krankheitsbeginn</t>
  </si>
  <si>
    <t>ck-11 tage vor krankheitsbeginn</t>
  </si>
  <si>
    <t>ck-7 tage vor krankheitsbeginn</t>
  </si>
  <si>
    <t>ck-6 tage vor krankheitsbeginn</t>
  </si>
  <si>
    <t xml:space="preserve">ck-4 tage vor krankheitsbeginn </t>
  </si>
  <si>
    <t>ck-3 tage vor krankheitsbeginn</t>
  </si>
  <si>
    <t xml:space="preserve">ck-2 tage vor krankheitsbeginn  </t>
  </si>
  <si>
    <t xml:space="preserve">ck-1 tag vor krankheitsbeginn  </t>
  </si>
  <si>
    <t>ck-datum unbekannt</t>
  </si>
  <si>
    <t xml:space="preserve">ck-d1 </t>
  </si>
  <si>
    <t>ck-d2</t>
  </si>
  <si>
    <t>ck-d3</t>
  </si>
  <si>
    <t>ck-d4</t>
  </si>
  <si>
    <t>ck-  d5</t>
  </si>
  <si>
    <t>ck-d6</t>
  </si>
  <si>
    <t>ck-d7</t>
  </si>
  <si>
    <t>ck-d1w1</t>
  </si>
  <si>
    <t>ck-d2w1</t>
  </si>
  <si>
    <t xml:space="preserve">ck-d3w1 </t>
  </si>
  <si>
    <t>ck-d4w1</t>
  </si>
  <si>
    <t>ck-  d6w1</t>
  </si>
  <si>
    <t>ck-d1w2</t>
  </si>
  <si>
    <t>ck-d2w2</t>
  </si>
  <si>
    <t xml:space="preserve">ck-d4w2 </t>
  </si>
  <si>
    <t>ck-  d3w3</t>
  </si>
  <si>
    <t>ck-  d5w3m1</t>
  </si>
  <si>
    <t>ck</t>
  </si>
  <si>
    <t xml:space="preserve">ck-4 tage vor krankheitsbeginn  , ck-3 tage vor krankheitsbeginn , ck-2 tage vor krankheitsbeginn   , ck-datum unbekannt , ck-d1  , ck-d7 , ck-d4w2 </t>
  </si>
  <si>
    <t>ck-d1  , ck-d3</t>
  </si>
  <si>
    <t>ck-d1  , ck-d2 , ck-d1w1 , ck-d2w1 , ck-d3w1  , ck-d4w1</t>
  </si>
  <si>
    <t>ck-d1  , ck-d2 , ck-d3 , ck-d4 , ck-  d5 , ck-d1w1</t>
  </si>
  <si>
    <t>ck-d2 , ck-d3</t>
  </si>
  <si>
    <t>ck-d1w2 , ck-d2w2</t>
  </si>
  <si>
    <t xml:space="preserve">ck-d1  , ck-d2 , ck-d6 , ck-d7 , ck-d1w1 , ck-d3w1 </t>
  </si>
  <si>
    <t>ck-11 tage vor krankheitsbeginn , ck-d2 , ck-d3 , ck-d2w1</t>
  </si>
  <si>
    <t>ck-7 tage vor krankheitsbeginn , ck-6 tage vor krankheitsbeginn</t>
  </si>
  <si>
    <t>ck-12 tage vor krankheitsbeginn , ck-7 tage vor krankheitsbeginn</t>
  </si>
  <si>
    <t>ck-  d5 , ck-d1w1</t>
  </si>
  <si>
    <t>ck-2 tage vor krankheitsbeginn   , ck-1 tag vor krankheitsbeginn   , ck-d1  , ck-d2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</si>
</sst>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0" fontId="0" fillId="15" borderId="1" xfId="0" applyFill="1" applyBorder="1" applyAlignment="1">
      <alignment wrapText="1"/>
    </xf>
    <xf numFmtId="0" fontId="0" fillId="15" borderId="0" xfId="0" applyFill="1"/>
    <xf numFmtId="0" fontId="0" fillId="10" borderId="1" xfId="0" applyFill="1" applyBorder="1"/>
    <xf numFmtId="0" fontId="0" fillId="16" borderId="0" xfId="0" applyFill="1"/>
    <xf numFmtId="0" fontId="0" fillId="16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7" borderId="0" xfId="0" applyFill="1"/>
    <xf numFmtId="0" fontId="0" fillId="18" borderId="0" xfId="0" applyFill="1"/>
    <xf numFmtId="0" fontId="0" fillId="19" borderId="1" xfId="0" applyFill="1" applyBorder="1"/>
    <xf numFmtId="0" fontId="0" fillId="19" borderId="0" xfId="0" applyFill="1"/>
    <xf numFmtId="10" fontId="0" fillId="0" borderId="0" xfId="0" applyNumberFormat="1"/>
    <xf numFmtId="164" fontId="1" fillId="3" borderId="0" xfId="0" applyNumberFormat="1" applyFont="1" applyFill="1"/>
    <xf numFmtId="0" fontId="4" fillId="20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0" borderId="0" xfId="0" applyFill="1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5" borderId="0" xfId="0" applyFont="1" applyFill="1"/>
    <xf numFmtId="3" fontId="0" fillId="5" borderId="0" xfId="0" applyNumberFormat="1" applyFill="1"/>
    <xf numFmtId="0" fontId="0" fillId="21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  <xf numFmtId="0" fontId="1" fillId="0" borderId="0" xfId="0" applyFont="1" applyFill="1"/>
    <xf numFmtId="49" fontId="0" fillId="0" borderId="0" xfId="0" applyNumberFormat="1" applyFill="1"/>
    <xf numFmtId="0" fontId="4" fillId="0" borderId="0" xfId="0" applyFont="1" applyFill="1"/>
    <xf numFmtId="164" fontId="0" fillId="0" borderId="0" xfId="0" applyNumberFormat="1" applyFill="1"/>
    <xf numFmtId="0" fontId="3" fillId="0" borderId="0" xfId="0" applyFont="1" applyFill="1" applyAlignment="1">
      <alignment wrapText="1"/>
    </xf>
    <xf numFmtId="17" fontId="0" fillId="0" borderId="0" xfId="0" applyNumberFormat="1" applyFill="1"/>
    <xf numFmtId="3" fontId="0" fillId="0" borderId="0" xfId="0" applyNumberFormat="1" applyFill="1"/>
    <xf numFmtId="16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  <xf numFmtId="0" fontId="2" fillId="3" borderId="2" xfId="0" applyFont="1" applyFill="1" applyBorder="1" applyAlignment="1">
      <alignment vertical="top" wrapText="1"/>
    </xf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0" fontId="7" fillId="0" borderId="0" xfId="0" applyNumberFormat="1" applyFont="1" applyAlignment="1">
      <alignment horizontal="center"/>
    </xf>
    <xf numFmtId="0" fontId="0" fillId="0" borderId="0" xfId="0" applyNumberFormat="1" applyAlignment="1">
      <alignment wrapText="1"/>
    </xf>
  </cellXfs>
  <cellStyles count="1">
    <cellStyle name="Standard" xfId="0" builtinId="0"/>
  </cellStyles>
  <dxfs count="7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E654193-9498-4663-9236-9AEB0B57535B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CK" tableColumnId="2"/>
      <queryTableField id="3" name="Day of Observation" tableColumnId="3"/>
      <queryTableField id="4" name="Total Number of Observation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34868-114D-4A35-801E-928A94DBD871}" name="Tabelle1" displayName="Tabelle1" ref="A2:AA240" totalsRowShown="0" headerRowDxfId="72" headerRowBorderDxfId="71" tableBorderDxfId="70">
  <autoFilter ref="A2:AA240" xr:uid="{E7434868-114D-4A35-801E-928A94DBD871}"/>
  <tableColumns count="27">
    <tableColumn id="1" xr3:uid="{4DACC4C3-537E-4888-B027-E879F31D110D}" name="BfArM Nummer"/>
    <tableColumn id="2" xr3:uid="{7A49473A-B675-4174-BBEE-13F01D5BED14}" name="ck-12 tage vor krankheitsbeginn"/>
    <tableColumn id="3" xr3:uid="{B186E05D-DC57-48B7-B092-F12D44ECD38A}" name="ck-11 tage vor krankheitsbeginn"/>
    <tableColumn id="4" xr3:uid="{D6E53D38-E8EC-4EC8-8456-617B73B1B2FB}" name="ck-7 tage vor krankheitsbeginn"/>
    <tableColumn id="5" xr3:uid="{00BD7107-C75C-4CF6-A3AE-1FB491000E8E}" name="ck-6 tage vor krankheitsbeginn"/>
    <tableColumn id="6" xr3:uid="{07F7FBFE-FF73-4C18-AAB9-B60A7FE63A31}" name="ck-4 tage vor krankheitsbeginn "/>
    <tableColumn id="7" xr3:uid="{3FB4601D-EBE2-4C1F-B7A9-E202075DCA0D}" name="ck-3 tage vor krankheitsbeginn"/>
    <tableColumn id="8" xr3:uid="{A6FBC5C8-7194-42D6-87A4-CDB78710AF95}" name="ck-2 tage vor krankheitsbeginn  "/>
    <tableColumn id="9" xr3:uid="{52D2195B-E308-4BB5-936E-CCDFD2D45462}" name="ck-1 tag vor krankheitsbeginn  "/>
    <tableColumn id="10" xr3:uid="{383311C9-1577-4922-9428-19D25810956E}" name="ck-datum unbekannt"/>
    <tableColumn id="11" xr3:uid="{903DD4DB-A6D6-4E61-9481-29E1F0D47531}" name="ck-d1 "/>
    <tableColumn id="12" xr3:uid="{3C838263-E8E4-4BFB-99FA-6440C0E383CB}" name="ck-d2"/>
    <tableColumn id="13" xr3:uid="{81C4B750-0DE1-45C8-9098-D58C5789A0C8}" name="ck-d3"/>
    <tableColumn id="14" xr3:uid="{459E1183-0B44-4858-9300-967F6BAB7D15}" name="ck-d4"/>
    <tableColumn id="15" xr3:uid="{8425903E-CF58-48FA-980A-72E79CD62F66}" name="ck-  d5"/>
    <tableColumn id="16" xr3:uid="{3F1DAF0A-8832-4D2F-A5D1-4B8F39B1AFC2}" name="ck-d6"/>
    <tableColumn id="17" xr3:uid="{00C60D42-A27E-4757-91D0-7B46541A0885}" name="ck-d7"/>
    <tableColumn id="18" xr3:uid="{3E194EC7-EFE0-4B15-AC43-E8193CCD6E57}" name="ck-d1w1"/>
    <tableColumn id="19" xr3:uid="{8613580A-4733-4AD8-B095-8FEE973FAA0C}" name="ck-d2w1"/>
    <tableColumn id="20" xr3:uid="{EEBB7575-DE03-443A-A420-D8ADBBECC804}" name="ck-d3w1 "/>
    <tableColumn id="21" xr3:uid="{F3F971DC-3D7C-4252-B6AE-CE8E35CEDE0D}" name="ck-d4w1"/>
    <tableColumn id="22" xr3:uid="{16CFE556-820D-4777-AD9C-D5F2D3546533}" name="ck-  d6w1"/>
    <tableColumn id="23" xr3:uid="{B91A1446-56E2-4B82-894C-970C983EDC34}" name="ck-d1w2"/>
    <tableColumn id="24" xr3:uid="{7C2A8140-C729-45A3-8583-4FED203A7CFD}" name="ck-d2w2"/>
    <tableColumn id="25" xr3:uid="{69075ED4-8B5B-4952-A829-99182CB2A8C7}" name="ck-d4w2 "/>
    <tableColumn id="26" xr3:uid="{49EA2B1A-0FB7-4B87-A0CD-26577FC94B3A}" name="ck-  d3w3"/>
    <tableColumn id="27" xr3:uid="{4ADCAA38-D2F9-482C-B6C5-819302E50F42}" name="ck-  d5w3m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677194-7C57-402E-B488-547FDD23EDCA}" name="CK" displayName="CK" ref="A1:D27" tableType="queryTable" totalsRowShown="0" headerRowDxfId="69">
  <autoFilter ref="A1:D27" xr:uid="{F9677194-7C57-402E-B488-547FDD23EDCA}"/>
  <tableColumns count="4">
    <tableColumn id="5" xr3:uid="{9AD6BF5E-2BA9-441E-AC9D-E9A5EEE877B8}" uniqueName="5" name="BfArM Nummer" queryTableFieldId="1" dataDxfId="3"/>
    <tableColumn id="2" xr3:uid="{CDB62956-A195-4862-AB23-CDEAF82B12F7}" uniqueName="2" name="CK" queryTableFieldId="2" dataDxfId="2"/>
    <tableColumn id="3" xr3:uid="{4C5AACD0-6054-47BC-B320-05C44AA18EA9}" uniqueName="3" name="Day of Observation" queryTableFieldId="3" dataDxfId="1"/>
    <tableColumn id="4" xr3:uid="{BB8FE1EC-7F66-482B-83F4-EFE8DC62B58B}" uniqueName="4" name="Total Number of Observations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L240"/>
  <sheetViews>
    <sheetView zoomScale="85" zoomScaleNormal="85" zoomScaleSheetLayoutView="9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25" sqref="G25"/>
    </sheetView>
  </sheetViews>
  <sheetFormatPr baseColWidth="10" defaultRowHeight="15" x14ac:dyDescent="0.25"/>
  <cols>
    <col min="1142" max="1153" width="12.28515625" customWidth="1"/>
    <col min="1154" max="1154" width="12.28515625" bestFit="1" customWidth="1"/>
    <col min="1155" max="1162" width="12.28515625" customWidth="1"/>
  </cols>
  <sheetData>
    <row r="1" spans="1:5810" x14ac:dyDescent="0.25">
      <c r="WM1" s="1"/>
      <c r="BOE1" s="43" t="s">
        <v>605</v>
      </c>
      <c r="BYQ1" s="16" t="s">
        <v>154</v>
      </c>
      <c r="BZD1" s="16" t="s">
        <v>157</v>
      </c>
      <c r="BZP1" s="16" t="s">
        <v>131</v>
      </c>
      <c r="CAB1" s="16" t="s">
        <v>1763</v>
      </c>
      <c r="CAM1" s="16" t="s">
        <v>225</v>
      </c>
      <c r="CAX1" s="16" t="s">
        <v>701</v>
      </c>
      <c r="CBH1" s="16" t="s">
        <v>497</v>
      </c>
      <c r="CBS1" s="16" t="s">
        <v>1000</v>
      </c>
      <c r="CCC1" s="16" t="s">
        <v>2393</v>
      </c>
      <c r="CCM1" s="16" t="s">
        <v>2381</v>
      </c>
      <c r="CCW1" s="30" t="s">
        <v>297</v>
      </c>
      <c r="CDH1" s="16" t="s">
        <v>995</v>
      </c>
      <c r="CDS1" s="16" t="s">
        <v>1025</v>
      </c>
      <c r="CEC1" s="16" t="s">
        <v>1007</v>
      </c>
      <c r="CEN1" s="16" t="s">
        <v>1044</v>
      </c>
      <c r="CEY1" s="16" t="s">
        <v>433</v>
      </c>
      <c r="CFJ1" s="16" t="s">
        <v>537</v>
      </c>
      <c r="CFT1" s="16" t="s">
        <v>2630</v>
      </c>
      <c r="CGD1" s="16" t="s">
        <v>338</v>
      </c>
      <c r="CGN1" s="16" t="s">
        <v>339</v>
      </c>
      <c r="CGX1" s="16" t="s">
        <v>500</v>
      </c>
      <c r="CHH1" s="16" t="s">
        <v>286</v>
      </c>
      <c r="CHS1" s="16" t="s">
        <v>1002</v>
      </c>
      <c r="CIC1" s="16" t="s">
        <v>392</v>
      </c>
      <c r="CIM1" s="16" t="s">
        <v>440</v>
      </c>
      <c r="CIX1" s="16" t="s">
        <v>496</v>
      </c>
      <c r="CJH1" s="16" t="s">
        <v>1821</v>
      </c>
      <c r="CJR1" s="16" t="s">
        <v>441</v>
      </c>
      <c r="CKB1" s="16" t="s">
        <v>1042</v>
      </c>
      <c r="CKL1" t="s">
        <v>1052</v>
      </c>
      <c r="CKV1" t="s">
        <v>2153</v>
      </c>
      <c r="CLF1" s="16" t="s">
        <v>237</v>
      </c>
      <c r="CLQ1" s="16" t="s">
        <v>342</v>
      </c>
      <c r="CMA1" s="16" t="s">
        <v>255</v>
      </c>
      <c r="CMK1" s="16" t="s">
        <v>163</v>
      </c>
      <c r="CMU1" s="16" t="s">
        <v>1003</v>
      </c>
      <c r="CNE1" s="16" t="s">
        <v>2362</v>
      </c>
      <c r="CNO1" s="16" t="s">
        <v>2624</v>
      </c>
      <c r="CNY1" s="16" t="s">
        <v>536</v>
      </c>
      <c r="COI1" s="16" t="s">
        <v>2142</v>
      </c>
      <c r="COT1" s="16" t="s">
        <v>2141</v>
      </c>
      <c r="CPD1" s="16" t="s">
        <v>1001</v>
      </c>
      <c r="CPN1" s="16" t="s">
        <v>1009</v>
      </c>
      <c r="CPX1" s="16" t="s">
        <v>2392</v>
      </c>
      <c r="CQH1" s="16" t="s">
        <v>289</v>
      </c>
      <c r="CQR1" s="16" t="s">
        <v>351</v>
      </c>
      <c r="CRB1" s="16" t="s">
        <v>740</v>
      </c>
      <c r="CRL1" s="16" t="s">
        <v>1022</v>
      </c>
      <c r="CRV1" s="16" t="s">
        <v>443</v>
      </c>
      <c r="CSF1" s="16" t="s">
        <v>1782</v>
      </c>
      <c r="CSP1" s="16" t="s">
        <v>446</v>
      </c>
      <c r="CSZ1" s="16" t="s">
        <v>495</v>
      </c>
      <c r="CTK1" s="16" t="s">
        <v>501</v>
      </c>
      <c r="CTV1" s="16" t="s">
        <v>502</v>
      </c>
      <c r="CUF1" s="16" t="s">
        <v>1820</v>
      </c>
      <c r="CUP1" s="16" t="s">
        <v>1045</v>
      </c>
      <c r="CUZ1" s="16" t="s">
        <v>2633</v>
      </c>
      <c r="CVJ1" s="16" t="s">
        <v>555</v>
      </c>
      <c r="CVT1" s="16" t="s">
        <v>556</v>
      </c>
      <c r="CWD1" s="16" t="s">
        <v>787</v>
      </c>
      <c r="CWN1" s="16" t="s">
        <v>799</v>
      </c>
      <c r="CWY1" s="16" t="s">
        <v>798</v>
      </c>
      <c r="CXJ1" s="16" t="s">
        <v>800</v>
      </c>
      <c r="CXU1" s="16" t="s">
        <v>2635</v>
      </c>
      <c r="CYE1" s="16" t="s">
        <v>756</v>
      </c>
      <c r="CYO1" s="16" t="s">
        <v>2378</v>
      </c>
      <c r="CYY1" s="16" t="s">
        <v>291</v>
      </c>
      <c r="CZI1" s="16" t="s">
        <v>300</v>
      </c>
      <c r="CZT1" t="s">
        <v>1021</v>
      </c>
      <c r="DAD1" s="16" t="s">
        <v>2138</v>
      </c>
      <c r="DAO1" s="16" t="s">
        <v>2389</v>
      </c>
      <c r="DAY1" s="16" t="s">
        <v>387</v>
      </c>
      <c r="DBI1" s="16" t="s">
        <v>385</v>
      </c>
      <c r="DBS1" s="16" t="s">
        <v>434</v>
      </c>
      <c r="DCC1" s="16" t="s">
        <v>2144</v>
      </c>
      <c r="DCM1" s="16" t="s">
        <v>2154</v>
      </c>
      <c r="DCX1" s="16" t="s">
        <v>1809</v>
      </c>
      <c r="DDI1" s="16" t="s">
        <v>292</v>
      </c>
      <c r="DDT1" s="16" t="s">
        <v>2372</v>
      </c>
      <c r="DED1" s="16" t="s">
        <v>302</v>
      </c>
      <c r="DEN1" s="16" t="s">
        <v>561</v>
      </c>
      <c r="DEX1" s="16" t="s">
        <v>2145</v>
      </c>
      <c r="DFH1" s="16" t="s">
        <v>284</v>
      </c>
      <c r="DFR1" s="16" t="s">
        <v>1787</v>
      </c>
      <c r="DGB1" s="16" t="s">
        <v>293</v>
      </c>
      <c r="DGL1" s="16" t="s">
        <v>1031</v>
      </c>
      <c r="DGV1" s="16" t="s">
        <v>2382</v>
      </c>
      <c r="DHF1" s="16" t="s">
        <v>1048</v>
      </c>
      <c r="DHP1" s="16" t="s">
        <v>1004</v>
      </c>
      <c r="DHZ1" s="16" t="s">
        <v>1015</v>
      </c>
      <c r="DIJ1" s="16" t="s">
        <v>2377</v>
      </c>
      <c r="DIT1" s="16" t="s">
        <v>2628</v>
      </c>
      <c r="DJD1" s="16" t="s">
        <v>1005</v>
      </c>
      <c r="DJN1" s="16" t="s">
        <v>294</v>
      </c>
      <c r="DJY1" s="16" t="s">
        <v>1817</v>
      </c>
      <c r="DKI1" s="16" t="s">
        <v>2359</v>
      </c>
      <c r="DKS1" s="16" t="s">
        <v>2376</v>
      </c>
      <c r="DLC1" s="16" t="s">
        <v>2148</v>
      </c>
      <c r="DLM1" s="16" t="s">
        <v>1812</v>
      </c>
      <c r="DLW1" s="16" t="s">
        <v>530</v>
      </c>
      <c r="DMG1" s="16" t="s">
        <v>308</v>
      </c>
      <c r="DMQ1" s="16" t="s">
        <v>725</v>
      </c>
      <c r="DNA1" s="16" t="s">
        <v>499</v>
      </c>
      <c r="DNK1" s="16" t="s">
        <v>1813</v>
      </c>
      <c r="DNU1" t="s">
        <v>1027</v>
      </c>
      <c r="DOE1" s="16" t="s">
        <v>534</v>
      </c>
      <c r="DOO1" s="16" t="s">
        <v>2390</v>
      </c>
      <c r="DOY1" s="16" t="s">
        <v>307</v>
      </c>
      <c r="DPJ1" s="16" t="s">
        <v>419</v>
      </c>
      <c r="DPT1" s="16" t="s">
        <v>431</v>
      </c>
      <c r="DQD1" s="16" t="s">
        <v>432</v>
      </c>
      <c r="DQN1" s="16" t="s">
        <v>2627</v>
      </c>
      <c r="DQY1" s="16" t="s">
        <v>414</v>
      </c>
      <c r="DRI1" s="16" t="s">
        <v>482</v>
      </c>
      <c r="DRS1" s="16" t="s">
        <v>486</v>
      </c>
      <c r="DSD1" t="s">
        <v>1041</v>
      </c>
      <c r="DSN1" s="16" t="s">
        <v>1023</v>
      </c>
      <c r="DSX1" s="16" t="s">
        <v>492</v>
      </c>
      <c r="DTH1" s="16" t="s">
        <v>306</v>
      </c>
      <c r="DTR1" s="16" t="s">
        <v>378</v>
      </c>
      <c r="DUC1" t="s">
        <v>1028</v>
      </c>
      <c r="DUM1" t="s">
        <v>1029</v>
      </c>
      <c r="DUW1" s="16" t="s">
        <v>1811</v>
      </c>
      <c r="DVG1" s="16" t="s">
        <v>436</v>
      </c>
      <c r="DVQ1" s="16" t="s">
        <v>999</v>
      </c>
      <c r="DWB1" s="16" t="s">
        <v>437</v>
      </c>
      <c r="DWL1" s="16" t="s">
        <v>487</v>
      </c>
      <c r="DWV1" s="16" t="s">
        <v>1026</v>
      </c>
      <c r="DXF1" s="16" t="s">
        <v>1011</v>
      </c>
      <c r="DXQ1" s="16" t="s">
        <v>354</v>
      </c>
      <c r="DYB1" s="16" t="s">
        <v>2379</v>
      </c>
      <c r="DYM1" s="16" t="s">
        <v>2636</v>
      </c>
      <c r="DYX1" t="s">
        <v>997</v>
      </c>
      <c r="DZI1" s="16" t="s">
        <v>1040</v>
      </c>
      <c r="DZU1" s="16" t="s">
        <v>1035</v>
      </c>
      <c r="EAE1" t="s">
        <v>1038</v>
      </c>
      <c r="EAO1" s="16" t="s">
        <v>1037</v>
      </c>
      <c r="EBA1" s="16" t="s">
        <v>727</v>
      </c>
      <c r="EBK1" s="16" t="s">
        <v>1815</v>
      </c>
      <c r="EBU1" s="16" t="s">
        <v>1024</v>
      </c>
      <c r="ECE1" s="16" t="s">
        <v>1816</v>
      </c>
      <c r="ECO1" s="16" t="s">
        <v>1818</v>
      </c>
      <c r="ECZ1" s="16" t="s">
        <v>2620</v>
      </c>
      <c r="EDJ1" s="16" t="s">
        <v>2622</v>
      </c>
      <c r="EDT1" s="16" t="s">
        <v>2623</v>
      </c>
      <c r="EED1" s="30" t="s">
        <v>295</v>
      </c>
      <c r="EEO1" s="30" t="s">
        <v>296</v>
      </c>
      <c r="EEZ1" s="16" t="s">
        <v>313</v>
      </c>
      <c r="EFL1" s="16" t="s">
        <v>241</v>
      </c>
      <c r="EFX1" s="16" t="s">
        <v>288</v>
      </c>
      <c r="EGH1" t="s">
        <v>726</v>
      </c>
      <c r="EGR1" s="16" t="s">
        <v>2387</v>
      </c>
      <c r="EHB1" s="16" t="s">
        <v>303</v>
      </c>
      <c r="EHL1" s="16" t="s">
        <v>996</v>
      </c>
      <c r="EHV1" s="16" t="s">
        <v>310</v>
      </c>
      <c r="EIF1" s="16" t="s">
        <v>2146</v>
      </c>
      <c r="EIP1" s="16" t="s">
        <v>314</v>
      </c>
      <c r="EIZ1" s="16" t="s">
        <v>1806</v>
      </c>
      <c r="EJJ1" s="16" t="s">
        <v>356</v>
      </c>
      <c r="EJT1" s="16" t="s">
        <v>1785</v>
      </c>
      <c r="EKD1" s="16" t="s">
        <v>1808</v>
      </c>
      <c r="EKN1" s="16" t="s">
        <v>2625</v>
      </c>
      <c r="EKX1" s="16" t="s">
        <v>329</v>
      </c>
      <c r="ELH1" s="16" t="s">
        <v>422</v>
      </c>
      <c r="ELR1" s="16" t="s">
        <v>330</v>
      </c>
      <c r="EMB1" s="16" t="s">
        <v>752</v>
      </c>
      <c r="EMM1" s="16" t="s">
        <v>334</v>
      </c>
      <c r="EMW1" s="16" t="s">
        <v>335</v>
      </c>
      <c r="ENG1" s="16" t="s">
        <v>330</v>
      </c>
      <c r="ENQ1" s="16" t="s">
        <v>424</v>
      </c>
      <c r="EOA1" s="16" t="s">
        <v>425</v>
      </c>
      <c r="EOK1" t="s">
        <v>1013</v>
      </c>
      <c r="EOU1" s="16" t="s">
        <v>410</v>
      </c>
      <c r="EPE1" s="16" t="s">
        <v>1810</v>
      </c>
      <c r="EPP1" s="16" t="s">
        <v>560</v>
      </c>
      <c r="EQA1" s="16" t="s">
        <v>1822</v>
      </c>
      <c r="EQK1" s="16" t="s">
        <v>2637</v>
      </c>
      <c r="EQU1" s="16" t="s">
        <v>1014</v>
      </c>
      <c r="ERF1" t="s">
        <v>1016</v>
      </c>
      <c r="ERP1" s="16" t="s">
        <v>423</v>
      </c>
      <c r="ERZ1" s="16" t="s">
        <v>1019</v>
      </c>
      <c r="ESJ1" s="16" t="s">
        <v>1807</v>
      </c>
      <c r="EST1" s="16" t="s">
        <v>336</v>
      </c>
      <c r="ETB1" s="16" t="s">
        <v>301</v>
      </c>
      <c r="ETM1" s="16" t="s">
        <v>559</v>
      </c>
      <c r="ETW1" s="16" t="s">
        <v>483</v>
      </c>
      <c r="EUG1" t="s">
        <v>1043</v>
      </c>
      <c r="EUR1" s="16" t="s">
        <v>285</v>
      </c>
      <c r="EVB1" s="16" t="s">
        <v>444</v>
      </c>
      <c r="EVL1" s="16" t="s">
        <v>445</v>
      </c>
      <c r="EVV1" s="16" t="s">
        <v>532</v>
      </c>
      <c r="EWF1" t="s">
        <v>2149</v>
      </c>
      <c r="EWP1" s="16" t="s">
        <v>2364</v>
      </c>
      <c r="EXA1" s="16" t="s">
        <v>298</v>
      </c>
      <c r="EXL1" t="s">
        <v>1020</v>
      </c>
      <c r="EXV1" s="16" t="s">
        <v>2386</v>
      </c>
      <c r="EYF1" s="16" t="s">
        <v>2388</v>
      </c>
      <c r="EYP1" s="16" t="s">
        <v>2632</v>
      </c>
      <c r="EYZ1" s="16" t="s">
        <v>1017</v>
      </c>
      <c r="EZJ1" s="16" t="s">
        <v>2133</v>
      </c>
      <c r="EZU1" s="16" t="s">
        <v>318</v>
      </c>
      <c r="FAE1" t="s">
        <v>2132</v>
      </c>
      <c r="FAO1" s="16" t="s">
        <v>317</v>
      </c>
      <c r="FAY1" s="16" t="s">
        <v>411</v>
      </c>
      <c r="FBI1" s="16" t="s">
        <v>527</v>
      </c>
      <c r="FBT1" s="16" t="s">
        <v>558</v>
      </c>
      <c r="FCD1" s="16" t="s">
        <v>357</v>
      </c>
      <c r="FCN1" s="16" t="s">
        <v>750</v>
      </c>
      <c r="FCX1" t="s">
        <v>772</v>
      </c>
      <c r="FDH1" s="16" t="s">
        <v>2626</v>
      </c>
      <c r="FDR1" t="s">
        <v>771</v>
      </c>
      <c r="FEB1" s="16" t="s">
        <v>2617</v>
      </c>
      <c r="FEL1" s="16" t="s">
        <v>2641</v>
      </c>
      <c r="FEW1" s="16" t="s">
        <v>2147</v>
      </c>
      <c r="FFG1" s="16" t="s">
        <v>535</v>
      </c>
      <c r="FFQ1" s="16" t="s">
        <v>1781</v>
      </c>
      <c r="FGA1" s="16" t="s">
        <v>389</v>
      </c>
      <c r="FGK1" s="16" t="s">
        <v>1786</v>
      </c>
      <c r="FGU1" s="16" t="s">
        <v>299</v>
      </c>
      <c r="FHF1" s="16" t="s">
        <v>331</v>
      </c>
      <c r="FHP1" s="16" t="s">
        <v>312</v>
      </c>
      <c r="FHZ1" s="16" t="s">
        <v>2151</v>
      </c>
      <c r="FIJ1" s="16" t="s">
        <v>2152</v>
      </c>
      <c r="FIT1" s="16" t="s">
        <v>2137</v>
      </c>
      <c r="FJD1" s="16" t="s">
        <v>2638</v>
      </c>
      <c r="FJO1" s="16" t="s">
        <v>754</v>
      </c>
      <c r="FJY1" s="16" t="s">
        <v>755</v>
      </c>
      <c r="FKI1" t="s">
        <v>1823</v>
      </c>
      <c r="FKS1" s="16" t="s">
        <v>1825</v>
      </c>
      <c r="FLC1" s="16" t="s">
        <v>2150</v>
      </c>
      <c r="FLM1" s="16" t="s">
        <v>1030</v>
      </c>
      <c r="FLW1" s="16" t="s">
        <v>2134</v>
      </c>
      <c r="FMG1" s="16" t="s">
        <v>1819</v>
      </c>
      <c r="FMQ1" s="16" t="s">
        <v>1053</v>
      </c>
      <c r="FNB1" s="16" t="s">
        <v>2391</v>
      </c>
      <c r="FNL1" s="16" t="s">
        <v>1051</v>
      </c>
      <c r="FNV1" s="16" t="s">
        <v>1760</v>
      </c>
      <c r="FOF1" s="16" t="s">
        <v>1761</v>
      </c>
      <c r="FOP1" s="16" t="s">
        <v>1824</v>
      </c>
      <c r="FOZ1" s="16" t="s">
        <v>2613</v>
      </c>
      <c r="FPJ1" s="16" t="s">
        <v>1049</v>
      </c>
      <c r="FPT1" t="s">
        <v>2136</v>
      </c>
      <c r="FQD1" s="16" t="s">
        <v>2135</v>
      </c>
      <c r="FQN1" s="16" t="s">
        <v>332</v>
      </c>
      <c r="FQX1" s="16" t="s">
        <v>557</v>
      </c>
      <c r="FRH1" s="16" t="s">
        <v>1046</v>
      </c>
      <c r="FRR1" t="s">
        <v>1032</v>
      </c>
      <c r="FSB1" s="16" t="s">
        <v>290</v>
      </c>
      <c r="FSL1" s="16" t="s">
        <v>412</v>
      </c>
      <c r="FSV1" s="16" t="s">
        <v>417</v>
      </c>
      <c r="FTF1" s="16" t="s">
        <v>493</v>
      </c>
      <c r="FTP1" s="16" t="s">
        <v>2375</v>
      </c>
      <c r="FTZ1" s="16" t="s">
        <v>304</v>
      </c>
      <c r="FUJ1" s="16" t="s">
        <v>415</v>
      </c>
      <c r="FUR1" s="16" t="s">
        <v>421</v>
      </c>
      <c r="FVB1" t="s">
        <v>1783</v>
      </c>
      <c r="FVJ1" s="16" t="s">
        <v>1780</v>
      </c>
      <c r="FVT1" s="16" t="s">
        <v>757</v>
      </c>
      <c r="FWD1" s="16" t="s">
        <v>1762</v>
      </c>
      <c r="FWN1" s="16" t="s">
        <v>1008</v>
      </c>
      <c r="FWX1" s="38" t="s">
        <v>398</v>
      </c>
      <c r="FXH1" s="16" t="s">
        <v>2634</v>
      </c>
      <c r="FXS1" s="16" t="s">
        <v>341</v>
      </c>
      <c r="FYC1" s="16" t="s">
        <v>1805</v>
      </c>
      <c r="FYM1" s="16" t="s">
        <v>506</v>
      </c>
      <c r="FYW1" s="16" t="s">
        <v>305</v>
      </c>
      <c r="FZG1" t="s">
        <v>1764</v>
      </c>
      <c r="FZQ1" s="16" t="s">
        <v>994</v>
      </c>
      <c r="GAA1" s="16" t="s">
        <v>2619</v>
      </c>
      <c r="GAK1" s="16" t="s">
        <v>2655</v>
      </c>
      <c r="GAV1" s="16" t="s">
        <v>1039</v>
      </c>
      <c r="GBF1" s="16" t="s">
        <v>2612</v>
      </c>
      <c r="GBP1" s="16" t="s">
        <v>1047</v>
      </c>
      <c r="GBZ1" s="16" t="s">
        <v>2380</v>
      </c>
      <c r="GCJ1" s="16" t="s">
        <v>2143</v>
      </c>
      <c r="GCT1" s="16" t="s">
        <v>531</v>
      </c>
      <c r="GDE1" s="16" t="s">
        <v>2361</v>
      </c>
      <c r="GDO1" s="16" t="s">
        <v>2358</v>
      </c>
      <c r="GDY1" s="16" t="s">
        <v>2678</v>
      </c>
      <c r="GEJ1" s="16" t="s">
        <v>376</v>
      </c>
      <c r="GEU1" s="16" t="s">
        <v>1050</v>
      </c>
      <c r="GFF1" s="16" t="s">
        <v>998</v>
      </c>
      <c r="GFP1" s="16" t="s">
        <v>386</v>
      </c>
      <c r="GFZ1" s="16" t="s">
        <v>451</v>
      </c>
      <c r="GGJ1" s="16" t="s">
        <v>1765</v>
      </c>
      <c r="GGU1" t="s">
        <v>1012</v>
      </c>
      <c r="GHE1" s="16" t="s">
        <v>498</v>
      </c>
      <c r="GHO1" t="s">
        <v>452</v>
      </c>
      <c r="GHY1" s="16" t="s">
        <v>374</v>
      </c>
      <c r="GII1" t="s">
        <v>280</v>
      </c>
      <c r="GIS1" s="16" t="s">
        <v>450</v>
      </c>
      <c r="GJC1" s="16" t="s">
        <v>570</v>
      </c>
      <c r="GJM1" s="16" t="s">
        <v>571</v>
      </c>
      <c r="GJW1" s="16" t="s">
        <v>572</v>
      </c>
      <c r="GKG1" s="16" t="s">
        <v>2614</v>
      </c>
      <c r="GKQ1" s="16" t="s">
        <v>2615</v>
      </c>
      <c r="GLA1" s="16" t="s">
        <v>2616</v>
      </c>
      <c r="GLK1" s="16" t="s">
        <v>2631</v>
      </c>
      <c r="GLU1" s="16" t="s">
        <v>2363</v>
      </c>
      <c r="GMF1" s="16" t="s">
        <v>2621</v>
      </c>
      <c r="GMP1" s="16" t="s">
        <v>529</v>
      </c>
      <c r="GMZ1" t="s">
        <v>1036</v>
      </c>
      <c r="GNJ1" s="16" t="s">
        <v>1803</v>
      </c>
      <c r="GNT1" s="16" t="s">
        <v>2640</v>
      </c>
      <c r="GOE1" s="16" t="s">
        <v>2374</v>
      </c>
      <c r="GOP1" s="16" t="s">
        <v>1804</v>
      </c>
      <c r="GOZ1" s="16" t="s">
        <v>526</v>
      </c>
      <c r="GPK1" s="16" t="s">
        <v>1006</v>
      </c>
      <c r="GPV1" s="16" t="s">
        <v>333</v>
      </c>
      <c r="GQF1" s="16" t="s">
        <v>751</v>
      </c>
      <c r="GQQ1" s="16" t="s">
        <v>1010</v>
      </c>
      <c r="GRB1" s="16" t="s">
        <v>2139</v>
      </c>
      <c r="GRM1" s="16" t="s">
        <v>724</v>
      </c>
      <c r="GRW1" s="16" t="s">
        <v>282</v>
      </c>
      <c r="GSG1" s="16" t="s">
        <v>390</v>
      </c>
      <c r="GSQ1" t="s">
        <v>788</v>
      </c>
      <c r="GTA1" s="16" t="s">
        <v>2365</v>
      </c>
      <c r="GTK1" s="16" t="s">
        <v>2383</v>
      </c>
      <c r="GTV1" s="38" t="s">
        <v>396</v>
      </c>
      <c r="GUF1" t="s">
        <v>1784</v>
      </c>
      <c r="GUP1" s="16" t="s">
        <v>287</v>
      </c>
      <c r="GVA1" s="16" t="s">
        <v>226</v>
      </c>
      <c r="GVL1" s="16" t="s">
        <v>309</v>
      </c>
      <c r="GVV1" s="16" t="s">
        <v>236</v>
      </c>
      <c r="GWF1" t="s">
        <v>1814</v>
      </c>
      <c r="GWG1" t="s">
        <v>372</v>
      </c>
      <c r="GWH1" t="s">
        <v>373</v>
      </c>
      <c r="GWI1" t="s">
        <v>406</v>
      </c>
      <c r="GWJ1" t="s">
        <v>388</v>
      </c>
      <c r="GWL1" s="37" t="s">
        <v>391</v>
      </c>
      <c r="GWM1" s="38" t="s">
        <v>552</v>
      </c>
      <c r="GWN1" s="38" t="s">
        <v>553</v>
      </c>
      <c r="GWO1" t="s">
        <v>383</v>
      </c>
      <c r="GWP1" t="s">
        <v>384</v>
      </c>
      <c r="GYT1" s="19" t="s">
        <v>455</v>
      </c>
      <c r="HDS1" s="1" t="s">
        <v>2695</v>
      </c>
      <c r="HDT1" s="1"/>
      <c r="HDU1" s="18" t="s">
        <v>568</v>
      </c>
      <c r="HFF1" s="22" t="s">
        <v>194</v>
      </c>
      <c r="HFP1" s="20" t="s">
        <v>139</v>
      </c>
      <c r="HFZ1" s="22" t="s">
        <v>202</v>
      </c>
      <c r="HGH1" s="21" t="s">
        <v>209</v>
      </c>
      <c r="HGV1" s="22" t="s">
        <v>144</v>
      </c>
      <c r="HHI1" s="22" t="s">
        <v>742</v>
      </c>
      <c r="HHM1" s="22" t="s">
        <v>265</v>
      </c>
      <c r="HHR1" s="22" t="s">
        <v>802</v>
      </c>
      <c r="HHW1" s="22" t="s">
        <v>741</v>
      </c>
      <c r="HIB1" s="22" t="s">
        <v>253</v>
      </c>
      <c r="HID1" s="22" t="s">
        <v>266</v>
      </c>
      <c r="HIG1" s="22" t="s">
        <v>268</v>
      </c>
      <c r="HIM1" s="22" t="s">
        <v>523</v>
      </c>
      <c r="HIR1" s="22" t="s">
        <v>466</v>
      </c>
      <c r="HIX1" s="22" t="s">
        <v>166</v>
      </c>
      <c r="HJC1" s="22" t="s">
        <v>147</v>
      </c>
      <c r="HJF1" s="22" t="s">
        <v>267</v>
      </c>
      <c r="HJO1" s="22" t="s">
        <v>763</v>
      </c>
      <c r="HJU1" s="21" t="s">
        <v>204</v>
      </c>
      <c r="HKA1" s="21" t="s">
        <v>235</v>
      </c>
      <c r="HKE1" s="22" t="s">
        <v>468</v>
      </c>
      <c r="HKH1" s="22" t="s">
        <v>733</v>
      </c>
      <c r="HKM1" s="22" t="s">
        <v>1767</v>
      </c>
      <c r="HMO1" s="24" t="s">
        <v>2424</v>
      </c>
      <c r="HNJ1" s="32" t="s">
        <v>269</v>
      </c>
    </row>
    <row r="2" spans="1:5810" ht="105" x14ac:dyDescent="0.25">
      <c r="A2" s="9" t="s">
        <v>63</v>
      </c>
      <c r="B2" s="9" t="s">
        <v>182</v>
      </c>
      <c r="C2" s="4" t="s">
        <v>2110</v>
      </c>
      <c r="D2" s="4" t="s">
        <v>2010</v>
      </c>
      <c r="E2" s="4" t="s">
        <v>2081</v>
      </c>
      <c r="F2" s="4" t="s">
        <v>2082</v>
      </c>
      <c r="G2" s="4" t="s">
        <v>1417</v>
      </c>
      <c r="H2" s="4" t="s">
        <v>508</v>
      </c>
      <c r="I2" s="4" t="s">
        <v>1418</v>
      </c>
      <c r="J2" s="4" t="s">
        <v>2525</v>
      </c>
      <c r="K2" s="4" t="s">
        <v>65</v>
      </c>
      <c r="L2" s="45" t="s">
        <v>4</v>
      </c>
      <c r="M2" s="4" t="s">
        <v>1193</v>
      </c>
      <c r="N2" s="4" t="s">
        <v>5</v>
      </c>
      <c r="O2" s="4" t="s">
        <v>6</v>
      </c>
      <c r="P2" s="4" t="s">
        <v>1398</v>
      </c>
      <c r="Q2" s="4" t="s">
        <v>7</v>
      </c>
      <c r="R2" s="4" t="s">
        <v>509</v>
      </c>
      <c r="S2" s="4" t="s">
        <v>92</v>
      </c>
      <c r="T2" s="4" t="s">
        <v>1194</v>
      </c>
      <c r="U2" s="4" t="s">
        <v>1397</v>
      </c>
      <c r="V2" s="4" t="s">
        <v>1195</v>
      </c>
      <c r="W2" s="4" t="s">
        <v>1399</v>
      </c>
      <c r="X2" s="4" t="s">
        <v>1382</v>
      </c>
      <c r="Y2" s="4" t="s">
        <v>1383</v>
      </c>
      <c r="Z2" s="4" t="s">
        <v>1396</v>
      </c>
      <c r="AA2" s="4" t="s">
        <v>1400</v>
      </c>
      <c r="AB2" s="4" t="s">
        <v>2476</v>
      </c>
      <c r="AC2" s="4" t="s">
        <v>1419</v>
      </c>
      <c r="AD2" s="4" t="s">
        <v>510</v>
      </c>
      <c r="AE2" s="4" t="s">
        <v>1420</v>
      </c>
      <c r="AF2" s="46" t="s">
        <v>511</v>
      </c>
      <c r="AG2" s="5" t="s">
        <v>1401</v>
      </c>
      <c r="AH2" s="5" t="s">
        <v>1402</v>
      </c>
      <c r="AI2" s="5" t="s">
        <v>1409</v>
      </c>
      <c r="AJ2" s="5" t="s">
        <v>1403</v>
      </c>
      <c r="AK2" s="5" t="s">
        <v>1404</v>
      </c>
      <c r="AL2" s="5" t="s">
        <v>1410</v>
      </c>
      <c r="AM2" s="5" t="s">
        <v>1405</v>
      </c>
      <c r="AN2" s="5" t="s">
        <v>1406</v>
      </c>
      <c r="AO2" s="5" t="s">
        <v>1407</v>
      </c>
      <c r="AP2" s="5" t="s">
        <v>1411</v>
      </c>
      <c r="AQ2" s="5" t="s">
        <v>1408</v>
      </c>
      <c r="AR2" s="5" t="s">
        <v>1412</v>
      </c>
      <c r="AS2" s="5" t="s">
        <v>2477</v>
      </c>
      <c r="AT2" s="5" t="s">
        <v>2607</v>
      </c>
      <c r="AU2" s="5" t="s">
        <v>2103</v>
      </c>
      <c r="AV2" s="5" t="s">
        <v>1421</v>
      </c>
      <c r="AW2" s="5" t="s">
        <v>2013</v>
      </c>
      <c r="AX2" s="5" t="s">
        <v>2073</v>
      </c>
      <c r="AY2" s="5" t="s">
        <v>2551</v>
      </c>
      <c r="AZ2" s="5" t="s">
        <v>1208</v>
      </c>
      <c r="BA2" s="5" t="s">
        <v>2447</v>
      </c>
      <c r="BB2" s="5" t="s">
        <v>1422</v>
      </c>
      <c r="BC2" s="45" t="s">
        <v>1329</v>
      </c>
      <c r="BD2" s="4" t="s">
        <v>8</v>
      </c>
      <c r="BE2" s="4" t="s">
        <v>9</v>
      </c>
      <c r="BF2" s="4" t="s">
        <v>907</v>
      </c>
      <c r="BG2" s="4" t="s">
        <v>1413</v>
      </c>
      <c r="BH2" s="4" t="s">
        <v>10</v>
      </c>
      <c r="BI2" s="4" t="s">
        <v>1327</v>
      </c>
      <c r="BJ2" s="4" t="s">
        <v>1293</v>
      </c>
      <c r="BK2" s="4" t="s">
        <v>1182</v>
      </c>
      <c r="BL2" s="4" t="s">
        <v>1414</v>
      </c>
      <c r="BM2" s="4" t="s">
        <v>1183</v>
      </c>
      <c r="BN2" s="4" t="s">
        <v>1899</v>
      </c>
      <c r="BO2" s="4" t="s">
        <v>1922</v>
      </c>
      <c r="BP2" s="4" t="s">
        <v>1357</v>
      </c>
      <c r="BQ2" s="4" t="s">
        <v>1115</v>
      </c>
      <c r="BR2" s="4" t="s">
        <v>1415</v>
      </c>
      <c r="BS2" s="4" t="s">
        <v>916</v>
      </c>
      <c r="BT2" s="4" t="s">
        <v>892</v>
      </c>
      <c r="BU2" s="4" t="s">
        <v>902</v>
      </c>
      <c r="BV2" s="4" t="s">
        <v>1416</v>
      </c>
      <c r="BW2" s="4" t="s">
        <v>1923</v>
      </c>
      <c r="BX2" s="4" t="s">
        <v>2237</v>
      </c>
      <c r="BY2" s="4" t="s">
        <v>2238</v>
      </c>
      <c r="BZ2" s="4" t="s">
        <v>2463</v>
      </c>
      <c r="CA2" s="4" t="s">
        <v>2492</v>
      </c>
      <c r="CB2" s="4" t="s">
        <v>2239</v>
      </c>
      <c r="CC2" s="4" t="s">
        <v>1220</v>
      </c>
      <c r="CD2" s="4" t="s">
        <v>2240</v>
      </c>
      <c r="CE2" s="5" t="s">
        <v>2104</v>
      </c>
      <c r="CF2" s="5" t="s">
        <v>1110</v>
      </c>
      <c r="CG2" s="5" t="s">
        <v>2014</v>
      </c>
      <c r="CH2" s="5" t="s">
        <v>2074</v>
      </c>
      <c r="CI2" s="5" t="s">
        <v>2552</v>
      </c>
      <c r="CJ2" s="5" t="s">
        <v>2310</v>
      </c>
      <c r="CK2" s="5" t="s">
        <v>2553</v>
      </c>
      <c r="CL2" s="5" t="s">
        <v>680</v>
      </c>
      <c r="CM2" s="46" t="s">
        <v>865</v>
      </c>
      <c r="CN2" s="5" t="s">
        <v>888</v>
      </c>
      <c r="CO2" s="5" t="s">
        <v>906</v>
      </c>
      <c r="CP2" s="5" t="s">
        <v>908</v>
      </c>
      <c r="CQ2" s="5" t="s">
        <v>889</v>
      </c>
      <c r="CR2" s="5" t="s">
        <v>992</v>
      </c>
      <c r="CS2" s="5" t="s">
        <v>2075</v>
      </c>
      <c r="CT2" s="5" t="s">
        <v>1295</v>
      </c>
      <c r="CU2" s="5" t="s">
        <v>1184</v>
      </c>
      <c r="CV2" s="5" t="s">
        <v>1185</v>
      </c>
      <c r="CW2" s="5" t="s">
        <v>993</v>
      </c>
      <c r="CX2" s="5" t="s">
        <v>2206</v>
      </c>
      <c r="CY2" s="5" t="s">
        <v>1116</v>
      </c>
      <c r="CZ2" s="5" t="s">
        <v>836</v>
      </c>
      <c r="DA2" s="5" t="s">
        <v>903</v>
      </c>
      <c r="DB2" s="5" t="s">
        <v>2242</v>
      </c>
      <c r="DC2" s="5" t="s">
        <v>2241</v>
      </c>
      <c r="DD2" s="5" t="s">
        <v>2243</v>
      </c>
      <c r="DE2" s="5" t="s">
        <v>2464</v>
      </c>
      <c r="DF2" s="5" t="s">
        <v>2244</v>
      </c>
      <c r="DG2" s="5" t="s">
        <v>1221</v>
      </c>
      <c r="DH2" s="5" t="s">
        <v>2245</v>
      </c>
      <c r="DI2" s="4" t="s">
        <v>2680</v>
      </c>
      <c r="DJ2" s="4" t="s">
        <v>2526</v>
      </c>
      <c r="DK2" s="4" t="s">
        <v>2679</v>
      </c>
      <c r="DL2" s="4" t="s">
        <v>2681</v>
      </c>
      <c r="DM2" s="4" t="s">
        <v>2479</v>
      </c>
      <c r="DN2" s="4" t="s">
        <v>2308</v>
      </c>
      <c r="DO2" s="4" t="s">
        <v>2307</v>
      </c>
      <c r="DP2" s="4" t="s">
        <v>2554</v>
      </c>
      <c r="DQ2" s="4" t="s">
        <v>2555</v>
      </c>
      <c r="DR2" s="4" t="s">
        <v>2556</v>
      </c>
      <c r="DS2" s="4" t="s">
        <v>66</v>
      </c>
      <c r="DT2" s="45" t="s">
        <v>2304</v>
      </c>
      <c r="DU2" s="4" t="s">
        <v>2305</v>
      </c>
      <c r="DV2" s="4" t="s">
        <v>2500</v>
      </c>
      <c r="DW2" s="4" t="s">
        <v>1423</v>
      </c>
      <c r="DX2" s="4" t="s">
        <v>2094</v>
      </c>
      <c r="DY2" s="4" t="s">
        <v>1111</v>
      </c>
      <c r="DZ2" s="4" t="s">
        <v>2015</v>
      </c>
      <c r="EA2" s="4" t="s">
        <v>1891</v>
      </c>
      <c r="EB2" s="4" t="s">
        <v>1890</v>
      </c>
      <c r="EC2" s="4" t="s">
        <v>1887</v>
      </c>
      <c r="ED2" s="4" t="s">
        <v>1888</v>
      </c>
      <c r="EE2" s="4" t="s">
        <v>2129</v>
      </c>
      <c r="EF2" s="4" t="s">
        <v>1424</v>
      </c>
      <c r="EG2" s="45" t="s">
        <v>108</v>
      </c>
      <c r="EH2" s="4" t="s">
        <v>579</v>
      </c>
      <c r="EI2" s="4" t="s">
        <v>11</v>
      </c>
      <c r="EJ2" s="4" t="s">
        <v>1425</v>
      </c>
      <c r="EK2" s="4" t="s">
        <v>1889</v>
      </c>
      <c r="EL2" s="4" t="s">
        <v>12</v>
      </c>
      <c r="EM2" s="4" t="s">
        <v>875</v>
      </c>
      <c r="EN2" s="4" t="s">
        <v>1294</v>
      </c>
      <c r="EO2" s="4" t="s">
        <v>1426</v>
      </c>
      <c r="EP2" s="4" t="s">
        <v>1186</v>
      </c>
      <c r="EQ2" s="4" t="s">
        <v>1187</v>
      </c>
      <c r="ER2" s="4" t="s">
        <v>1885</v>
      </c>
      <c r="ES2" s="4" t="s">
        <v>1358</v>
      </c>
      <c r="ET2" s="4" t="s">
        <v>1427</v>
      </c>
      <c r="EU2" s="4" t="s">
        <v>1886</v>
      </c>
      <c r="EV2" s="4" t="s">
        <v>893</v>
      </c>
      <c r="EW2" s="4" t="s">
        <v>904</v>
      </c>
      <c r="EX2" s="4" t="s">
        <v>1910</v>
      </c>
      <c r="EY2" s="4" t="s">
        <v>2246</v>
      </c>
      <c r="EZ2" s="4" t="s">
        <v>2247</v>
      </c>
      <c r="FA2" s="4" t="s">
        <v>2465</v>
      </c>
      <c r="FB2" s="4" t="s">
        <v>2248</v>
      </c>
      <c r="FC2" s="4" t="s">
        <v>2249</v>
      </c>
      <c r="FD2" s="4" t="s">
        <v>2558</v>
      </c>
      <c r="FE2" s="45" t="s">
        <v>2038</v>
      </c>
      <c r="FF2" s="4" t="s">
        <v>1297</v>
      </c>
      <c r="FG2" s="4" t="s">
        <v>1296</v>
      </c>
      <c r="FH2" s="4" t="s">
        <v>909</v>
      </c>
      <c r="FI2" s="4" t="s">
        <v>1428</v>
      </c>
      <c r="FJ2" s="4" t="s">
        <v>1188</v>
      </c>
      <c r="FK2" s="4" t="s">
        <v>1189</v>
      </c>
      <c r="FL2" s="4" t="s">
        <v>1429</v>
      </c>
      <c r="FM2" s="4" t="s">
        <v>1209</v>
      </c>
      <c r="FN2" s="45" t="s">
        <v>1210</v>
      </c>
      <c r="FO2" s="4" t="s">
        <v>2018</v>
      </c>
      <c r="FP2" s="4" t="s">
        <v>1924</v>
      </c>
      <c r="FQ2" s="4" t="s">
        <v>2559</v>
      </c>
      <c r="FR2" s="4" t="s">
        <v>2560</v>
      </c>
      <c r="FS2" s="4" t="s">
        <v>67</v>
      </c>
      <c r="FT2" s="45" t="s">
        <v>1482</v>
      </c>
      <c r="FU2" s="4" t="s">
        <v>991</v>
      </c>
      <c r="FV2" s="4" t="s">
        <v>1430</v>
      </c>
      <c r="FW2" s="4" t="s">
        <v>1384</v>
      </c>
      <c r="FX2" s="4" t="s">
        <v>68</v>
      </c>
      <c r="FY2" s="45" t="s">
        <v>1480</v>
      </c>
      <c r="FZ2" s="4" t="s">
        <v>1481</v>
      </c>
      <c r="GA2" s="4" t="s">
        <v>2565</v>
      </c>
      <c r="GB2" s="45" t="s">
        <v>69</v>
      </c>
      <c r="GC2" s="4" t="s">
        <v>2106</v>
      </c>
      <c r="GD2" s="4" t="s">
        <v>1112</v>
      </c>
      <c r="GE2" s="4" t="s">
        <v>2016</v>
      </c>
      <c r="GF2" s="4" t="s">
        <v>2076</v>
      </c>
      <c r="GG2" s="4" t="s">
        <v>2130</v>
      </c>
      <c r="GH2" s="4" t="s">
        <v>2557</v>
      </c>
      <c r="GI2" s="4" t="s">
        <v>894</v>
      </c>
      <c r="GJ2" s="45" t="s">
        <v>1431</v>
      </c>
      <c r="GK2" s="4" t="s">
        <v>1192</v>
      </c>
      <c r="GL2" s="4" t="s">
        <v>2017</v>
      </c>
      <c r="GM2" s="4" t="s">
        <v>2301</v>
      </c>
      <c r="GN2" s="4" t="s">
        <v>2077</v>
      </c>
      <c r="GO2" s="4" t="s">
        <v>1190</v>
      </c>
      <c r="GP2" s="4" t="s">
        <v>1432</v>
      </c>
      <c r="GQ2" s="4" t="s">
        <v>1191</v>
      </c>
      <c r="GR2" s="4" t="s">
        <v>1925</v>
      </c>
      <c r="GS2" s="4" t="s">
        <v>1926</v>
      </c>
      <c r="GT2" s="4" t="s">
        <v>1359</v>
      </c>
      <c r="GU2" s="4" t="s">
        <v>1117</v>
      </c>
      <c r="GV2" s="4" t="s">
        <v>1433</v>
      </c>
      <c r="GW2" s="4" t="s">
        <v>2466</v>
      </c>
      <c r="GX2" s="45" t="s">
        <v>129</v>
      </c>
      <c r="GY2" s="4" t="s">
        <v>2504</v>
      </c>
      <c r="GZ2" s="4" t="s">
        <v>2588</v>
      </c>
      <c r="HA2" s="4" t="s">
        <v>327</v>
      </c>
      <c r="HB2" s="4" t="s">
        <v>1436</v>
      </c>
      <c r="HC2" s="4" t="s">
        <v>2589</v>
      </c>
      <c r="HD2" s="4" t="s">
        <v>1119</v>
      </c>
      <c r="HE2" s="4" t="s">
        <v>120</v>
      </c>
      <c r="HF2" s="4" t="s">
        <v>1943</v>
      </c>
      <c r="HG2" s="4" t="s">
        <v>1435</v>
      </c>
      <c r="HH2" s="4" t="s">
        <v>923</v>
      </c>
      <c r="HI2" s="4" t="s">
        <v>884</v>
      </c>
      <c r="HJ2" s="4" t="s">
        <v>2309</v>
      </c>
      <c r="HK2" s="4" t="s">
        <v>2019</v>
      </c>
      <c r="HL2" s="4" t="s">
        <v>1434</v>
      </c>
      <c r="HM2" s="4" t="s">
        <v>2540</v>
      </c>
      <c r="HN2" s="4" t="s">
        <v>885</v>
      </c>
      <c r="HO2" s="4" t="s">
        <v>924</v>
      </c>
      <c r="HP2" s="4" t="s">
        <v>1437</v>
      </c>
      <c r="HQ2" s="45" t="s">
        <v>1308</v>
      </c>
      <c r="HR2" s="4" t="s">
        <v>13</v>
      </c>
      <c r="HS2" s="4" t="s">
        <v>1438</v>
      </c>
      <c r="HT2" s="4" t="s">
        <v>14</v>
      </c>
      <c r="HU2" s="4" t="s">
        <v>15</v>
      </c>
      <c r="HV2" s="4" t="s">
        <v>16</v>
      </c>
      <c r="HW2" s="4" t="s">
        <v>1439</v>
      </c>
      <c r="HX2" s="4" t="s">
        <v>127</v>
      </c>
      <c r="HY2" s="4" t="s">
        <v>98</v>
      </c>
      <c r="HZ2" s="4" t="s">
        <v>93</v>
      </c>
      <c r="IA2" s="4" t="s">
        <v>128</v>
      </c>
      <c r="IB2" s="4" t="s">
        <v>1440</v>
      </c>
      <c r="IC2" s="4" t="s">
        <v>123</v>
      </c>
      <c r="ID2" s="4" t="s">
        <v>99</v>
      </c>
      <c r="IE2" s="4" t="s">
        <v>674</v>
      </c>
      <c r="IF2" s="4" t="s">
        <v>1149</v>
      </c>
      <c r="IG2" s="4" t="s">
        <v>1441</v>
      </c>
      <c r="IH2" s="4" t="s">
        <v>17</v>
      </c>
      <c r="II2" s="4" t="s">
        <v>126</v>
      </c>
      <c r="IJ2" s="4" t="s">
        <v>675</v>
      </c>
      <c r="IK2" s="4" t="s">
        <v>1365</v>
      </c>
      <c r="IL2" s="4" t="s">
        <v>2265</v>
      </c>
      <c r="IM2" s="4" t="s">
        <v>1442</v>
      </c>
      <c r="IN2" s="4" t="s">
        <v>1443</v>
      </c>
      <c r="IO2" s="4" t="s">
        <v>1372</v>
      </c>
      <c r="IP2" s="4" t="s">
        <v>2471</v>
      </c>
      <c r="IQ2" s="4" t="s">
        <v>1273</v>
      </c>
      <c r="IR2" s="4" t="s">
        <v>1475</v>
      </c>
      <c r="IS2" s="4" t="s">
        <v>1476</v>
      </c>
      <c r="IT2" s="4" t="s">
        <v>2600</v>
      </c>
      <c r="IU2" s="4" t="s">
        <v>2581</v>
      </c>
      <c r="IV2" s="4" t="s">
        <v>2582</v>
      </c>
      <c r="IW2" s="4" t="s">
        <v>1444</v>
      </c>
      <c r="IX2" s="4" t="s">
        <v>2336</v>
      </c>
      <c r="IY2" s="4" t="s">
        <v>1138</v>
      </c>
      <c r="IZ2" s="4" t="s">
        <v>2351</v>
      </c>
      <c r="JA2" s="4" t="s">
        <v>1056</v>
      </c>
      <c r="JB2" s="4" t="s">
        <v>1139</v>
      </c>
      <c r="JC2" s="4" t="s">
        <v>1445</v>
      </c>
      <c r="JD2" s="4" t="s">
        <v>1893</v>
      </c>
      <c r="JE2" s="4" t="s">
        <v>1894</v>
      </c>
      <c r="JF2" s="4" t="s">
        <v>1966</v>
      </c>
      <c r="JG2" s="4" t="s">
        <v>1243</v>
      </c>
      <c r="JH2" s="4" t="s">
        <v>2112</v>
      </c>
      <c r="JI2" s="4" t="s">
        <v>1446</v>
      </c>
      <c r="JJ2" s="4" t="s">
        <v>1932</v>
      </c>
      <c r="JK2" s="4" t="s">
        <v>2036</v>
      </c>
      <c r="JL2" s="4" t="s">
        <v>1895</v>
      </c>
      <c r="JM2" s="4" t="s">
        <v>521</v>
      </c>
      <c r="JN2" s="4" t="s">
        <v>522</v>
      </c>
      <c r="JO2" s="4" t="s">
        <v>2277</v>
      </c>
      <c r="JP2" s="4" t="s">
        <v>1447</v>
      </c>
      <c r="JQ2" s="45" t="s">
        <v>682</v>
      </c>
      <c r="JR2" s="4" t="s">
        <v>1448</v>
      </c>
      <c r="JS2" s="4" t="s">
        <v>19</v>
      </c>
      <c r="JT2" s="4" t="s">
        <v>1449</v>
      </c>
      <c r="JU2" s="4" t="s">
        <v>20</v>
      </c>
      <c r="JV2" s="4" t="s">
        <v>21</v>
      </c>
      <c r="JW2" s="4" t="s">
        <v>1450</v>
      </c>
      <c r="JX2" s="4" t="s">
        <v>172</v>
      </c>
      <c r="JY2" s="4" t="s">
        <v>96</v>
      </c>
      <c r="JZ2" s="4" t="s">
        <v>1451</v>
      </c>
      <c r="KA2" s="4" t="s">
        <v>78</v>
      </c>
      <c r="KB2" s="4" t="s">
        <v>86</v>
      </c>
      <c r="KC2" s="4" t="s">
        <v>1452</v>
      </c>
      <c r="KD2" s="4" t="s">
        <v>1057</v>
      </c>
      <c r="KE2" s="4" t="s">
        <v>18</v>
      </c>
      <c r="KF2" s="4" t="s">
        <v>1453</v>
      </c>
      <c r="KG2" s="4" t="s">
        <v>59</v>
      </c>
      <c r="KH2" s="4" t="s">
        <v>676</v>
      </c>
      <c r="KI2" s="4" t="s">
        <v>813</v>
      </c>
      <c r="KJ2" s="4" t="s">
        <v>1454</v>
      </c>
      <c r="KK2" s="4" t="s">
        <v>1302</v>
      </c>
      <c r="KL2" s="4" t="s">
        <v>832</v>
      </c>
      <c r="KM2" s="4" t="s">
        <v>1351</v>
      </c>
      <c r="KN2" s="4" t="s">
        <v>1455</v>
      </c>
      <c r="KO2" s="4" t="s">
        <v>1892</v>
      </c>
      <c r="KP2" s="4" t="s">
        <v>1146</v>
      </c>
      <c r="KQ2" s="4" t="s">
        <v>2280</v>
      </c>
      <c r="KR2" s="4" t="s">
        <v>1088</v>
      </c>
      <c r="KS2" s="4" t="s">
        <v>1268</v>
      </c>
      <c r="KT2" s="4" t="s">
        <v>1456</v>
      </c>
      <c r="KU2" s="4" t="s">
        <v>1370</v>
      </c>
      <c r="KV2" s="4" t="s">
        <v>1477</v>
      </c>
      <c r="KW2" s="4" t="s">
        <v>1903</v>
      </c>
      <c r="KX2" s="4" t="s">
        <v>1478</v>
      </c>
      <c r="KY2" s="4" t="s">
        <v>2573</v>
      </c>
      <c r="KZ2" s="4" t="s">
        <v>2353</v>
      </c>
      <c r="LA2" s="4" t="s">
        <v>2321</v>
      </c>
      <c r="LB2" s="4" t="s">
        <v>2317</v>
      </c>
      <c r="LC2" s="4" t="s">
        <v>1214</v>
      </c>
      <c r="LD2" s="4" t="s">
        <v>2312</v>
      </c>
      <c r="LE2" s="4" t="s">
        <v>2290</v>
      </c>
      <c r="LF2" s="4" t="s">
        <v>2332</v>
      </c>
      <c r="LG2" s="4" t="s">
        <v>2215</v>
      </c>
      <c r="LH2" s="4" t="s">
        <v>2291</v>
      </c>
      <c r="LI2" s="4" t="s">
        <v>2198</v>
      </c>
      <c r="LJ2" s="4" t="s">
        <v>2292</v>
      </c>
      <c r="LK2" s="4" t="s">
        <v>2451</v>
      </c>
      <c r="LL2" s="4" t="s">
        <v>2452</v>
      </c>
      <c r="LM2" s="4" t="s">
        <v>2293</v>
      </c>
      <c r="LN2" s="4" t="s">
        <v>2453</v>
      </c>
      <c r="LO2" s="4" t="s">
        <v>2322</v>
      </c>
      <c r="LP2" s="4" t="s">
        <v>1102</v>
      </c>
      <c r="LQ2" s="4" t="s">
        <v>1457</v>
      </c>
      <c r="LR2" s="4" t="s">
        <v>2485</v>
      </c>
      <c r="LS2" s="4" t="s">
        <v>2262</v>
      </c>
      <c r="LT2" s="4" t="s">
        <v>1479</v>
      </c>
      <c r="LU2" s="4" t="s">
        <v>1904</v>
      </c>
      <c r="LV2" s="4" t="s">
        <v>2216</v>
      </c>
      <c r="LW2" s="4" t="s">
        <v>1458</v>
      </c>
      <c r="LX2" s="4" t="s">
        <v>1222</v>
      </c>
      <c r="LY2" s="4" t="s">
        <v>1223</v>
      </c>
      <c r="LZ2" s="4" t="s">
        <v>2348</v>
      </c>
      <c r="MA2" s="4" t="s">
        <v>1459</v>
      </c>
      <c r="MB2" s="4" t="s">
        <v>2217</v>
      </c>
      <c r="MC2" s="4" t="s">
        <v>2199</v>
      </c>
      <c r="MD2" s="4" t="s">
        <v>2354</v>
      </c>
      <c r="ME2" s="4" t="s">
        <v>2200</v>
      </c>
      <c r="MF2" s="4" t="s">
        <v>2601</v>
      </c>
      <c r="MG2" s="4" t="s">
        <v>2578</v>
      </c>
      <c r="MH2" s="4" t="s">
        <v>2579</v>
      </c>
      <c r="MI2" s="4" t="s">
        <v>1460</v>
      </c>
      <c r="MJ2" s="4" t="s">
        <v>2610</v>
      </c>
      <c r="MK2" s="4" t="s">
        <v>2335</v>
      </c>
      <c r="ML2" s="4" t="s">
        <v>2602</v>
      </c>
      <c r="MM2" s="4" t="s">
        <v>1140</v>
      </c>
      <c r="MN2" s="4" t="s">
        <v>2608</v>
      </c>
      <c r="MO2" s="4" t="s">
        <v>2350</v>
      </c>
      <c r="MP2" s="4" t="s">
        <v>1054</v>
      </c>
      <c r="MQ2" s="4" t="s">
        <v>1141</v>
      </c>
      <c r="MR2" s="4" t="s">
        <v>1461</v>
      </c>
      <c r="MS2" s="4" t="s">
        <v>1896</v>
      </c>
      <c r="MT2" s="4" t="s">
        <v>2113</v>
      </c>
      <c r="MU2" s="4" t="s">
        <v>1967</v>
      </c>
      <c r="MV2" s="4" t="s">
        <v>1244</v>
      </c>
      <c r="MW2" s="4" t="s">
        <v>2114</v>
      </c>
      <c r="MX2" s="4" t="s">
        <v>877</v>
      </c>
      <c r="MY2" s="4" t="s">
        <v>1933</v>
      </c>
      <c r="MZ2" s="4" t="s">
        <v>1897</v>
      </c>
      <c r="NA2" s="4" t="s">
        <v>1898</v>
      </c>
      <c r="NB2" s="4" t="s">
        <v>1462</v>
      </c>
      <c r="NC2" s="4" t="s">
        <v>876</v>
      </c>
      <c r="ND2" s="4" t="s">
        <v>2276</v>
      </c>
      <c r="NE2" s="4" t="s">
        <v>61</v>
      </c>
      <c r="NF2" s="45" t="s">
        <v>827</v>
      </c>
      <c r="NG2" s="4" t="s">
        <v>23</v>
      </c>
      <c r="NH2" s="4" t="s">
        <v>25</v>
      </c>
      <c r="NI2" s="4" t="s">
        <v>1464</v>
      </c>
      <c r="NJ2" s="4" t="s">
        <v>1463</v>
      </c>
      <c r="NK2" s="4" t="s">
        <v>26</v>
      </c>
      <c r="NL2" s="4" t="s">
        <v>1465</v>
      </c>
      <c r="NM2" s="4" t="s">
        <v>87</v>
      </c>
      <c r="NN2" s="4" t="s">
        <v>597</v>
      </c>
      <c r="NO2" s="4" t="s">
        <v>1466</v>
      </c>
      <c r="NP2" s="4" t="s">
        <v>79</v>
      </c>
      <c r="NQ2" s="4" t="s">
        <v>88</v>
      </c>
      <c r="NR2" s="4" t="s">
        <v>1467</v>
      </c>
      <c r="NS2" s="4" t="s">
        <v>173</v>
      </c>
      <c r="NT2" s="4" t="s">
        <v>22</v>
      </c>
      <c r="NU2" s="4" t="s">
        <v>24</v>
      </c>
      <c r="NV2" s="4" t="s">
        <v>1468</v>
      </c>
      <c r="NW2" s="4" t="s">
        <v>815</v>
      </c>
      <c r="NX2" s="4" t="s">
        <v>1352</v>
      </c>
      <c r="NY2" s="4" t="s">
        <v>914</v>
      </c>
      <c r="NZ2" s="4" t="s">
        <v>1469</v>
      </c>
      <c r="OA2" s="4" t="s">
        <v>830</v>
      </c>
      <c r="OB2" s="4" t="s">
        <v>1353</v>
      </c>
      <c r="OC2" s="4" t="s">
        <v>1375</v>
      </c>
      <c r="OD2" s="4" t="s">
        <v>2263</v>
      </c>
      <c r="OE2" s="4" t="s">
        <v>1470</v>
      </c>
      <c r="OF2" s="4" t="s">
        <v>2279</v>
      </c>
      <c r="OG2" s="4" t="s">
        <v>1089</v>
      </c>
      <c r="OH2" s="4" t="s">
        <v>1269</v>
      </c>
      <c r="OI2" s="4" t="s">
        <v>1471</v>
      </c>
      <c r="OJ2" s="4" t="s">
        <v>1484</v>
      </c>
      <c r="OK2" s="4" t="s">
        <v>1905</v>
      </c>
      <c r="OL2" s="4" t="s">
        <v>1485</v>
      </c>
      <c r="OM2" s="4" t="s">
        <v>2572</v>
      </c>
      <c r="ON2" s="4" t="s">
        <v>2315</v>
      </c>
      <c r="OO2" s="4" t="s">
        <v>1055</v>
      </c>
      <c r="OP2" s="4" t="s">
        <v>2319</v>
      </c>
      <c r="OQ2" s="4" t="s">
        <v>2316</v>
      </c>
      <c r="OR2" s="4" t="s">
        <v>934</v>
      </c>
      <c r="OS2" s="4" t="s">
        <v>1472</v>
      </c>
      <c r="OT2" s="4" t="s">
        <v>2331</v>
      </c>
      <c r="OU2" s="4" t="s">
        <v>2294</v>
      </c>
      <c r="OV2" s="4" t="s">
        <v>2300</v>
      </c>
      <c r="OW2" s="4" t="s">
        <v>2218</v>
      </c>
      <c r="OX2" s="4" t="s">
        <v>2295</v>
      </c>
      <c r="OY2" s="4" t="s">
        <v>2195</v>
      </c>
      <c r="OZ2" s="4" t="s">
        <v>2296</v>
      </c>
      <c r="PA2" s="4" t="s">
        <v>2454</v>
      </c>
      <c r="PB2" s="4" t="s">
        <v>2455</v>
      </c>
      <c r="PC2" s="4" t="s">
        <v>2297</v>
      </c>
      <c r="PD2" s="4" t="s">
        <v>2456</v>
      </c>
      <c r="PE2" s="4" t="s">
        <v>2320</v>
      </c>
      <c r="PF2" s="4" t="s">
        <v>1103</v>
      </c>
      <c r="PG2" s="4" t="s">
        <v>1270</v>
      </c>
      <c r="PH2" s="4" t="s">
        <v>2355</v>
      </c>
      <c r="PI2" s="4" t="s">
        <v>2486</v>
      </c>
      <c r="PJ2" s="4" t="s">
        <v>2264</v>
      </c>
      <c r="PK2" s="4" t="s">
        <v>1483</v>
      </c>
      <c r="PL2" s="4" t="s">
        <v>1906</v>
      </c>
      <c r="PM2" s="4" t="s">
        <v>2219</v>
      </c>
      <c r="PN2" s="4" t="s">
        <v>1473</v>
      </c>
      <c r="PO2" s="4" t="s">
        <v>1224</v>
      </c>
      <c r="PP2" s="4" t="s">
        <v>1225</v>
      </c>
      <c r="PQ2" s="4" t="s">
        <v>2347</v>
      </c>
      <c r="PR2" s="4" t="s">
        <v>1474</v>
      </c>
      <c r="PS2" s="4" t="s">
        <v>2220</v>
      </c>
      <c r="PT2" s="4" t="s">
        <v>2196</v>
      </c>
      <c r="PU2" s="4" t="s">
        <v>2356</v>
      </c>
      <c r="PV2" s="4" t="s">
        <v>2197</v>
      </c>
      <c r="PW2" s="4" t="s">
        <v>2357</v>
      </c>
      <c r="PX2" s="4" t="s">
        <v>2604</v>
      </c>
      <c r="PY2" s="4" t="s">
        <v>2584</v>
      </c>
      <c r="PZ2" s="4" t="s">
        <v>1486</v>
      </c>
      <c r="QA2" s="4" t="s">
        <v>1350</v>
      </c>
      <c r="QB2" s="4" t="s">
        <v>2611</v>
      </c>
      <c r="QC2" s="4" t="s">
        <v>2605</v>
      </c>
      <c r="QD2" s="4" t="s">
        <v>1142</v>
      </c>
      <c r="QE2" s="4" t="s">
        <v>1487</v>
      </c>
      <c r="QF2" s="4" t="s">
        <v>1143</v>
      </c>
      <c r="QG2" s="4" t="s">
        <v>1108</v>
      </c>
      <c r="QH2" s="4" t="s">
        <v>1882</v>
      </c>
      <c r="QI2" s="4" t="s">
        <v>1968</v>
      </c>
      <c r="QJ2" s="4" t="s">
        <v>1930</v>
      </c>
      <c r="QK2" s="4" t="s">
        <v>1488</v>
      </c>
      <c r="QL2" s="4" t="s">
        <v>121</v>
      </c>
      <c r="QM2" s="4" t="s">
        <v>1881</v>
      </c>
      <c r="QN2" s="4" t="s">
        <v>1880</v>
      </c>
      <c r="QO2" s="4" t="s">
        <v>2115</v>
      </c>
      <c r="QP2" s="4" t="s">
        <v>1332</v>
      </c>
      <c r="QQ2" s="4" t="s">
        <v>1489</v>
      </c>
      <c r="QR2" s="4" t="s">
        <v>171</v>
      </c>
      <c r="QS2" s="4" t="s">
        <v>1490</v>
      </c>
      <c r="QT2" s="45" t="s">
        <v>683</v>
      </c>
      <c r="QU2" s="4" t="s">
        <v>684</v>
      </c>
      <c r="QV2" s="4" t="s">
        <v>28</v>
      </c>
      <c r="QW2" s="4" t="s">
        <v>29</v>
      </c>
      <c r="QX2" s="4" t="s">
        <v>1491</v>
      </c>
      <c r="QY2" s="4" t="s">
        <v>30</v>
      </c>
      <c r="QZ2" s="4" t="s">
        <v>600</v>
      </c>
      <c r="RA2" s="4" t="s">
        <v>1492</v>
      </c>
      <c r="RB2" s="4" t="s">
        <v>97</v>
      </c>
      <c r="RC2" s="4" t="s">
        <v>1163</v>
      </c>
      <c r="RD2" s="4" t="s">
        <v>80</v>
      </c>
      <c r="RE2" s="4" t="s">
        <v>1493</v>
      </c>
      <c r="RF2" s="4" t="s">
        <v>125</v>
      </c>
      <c r="RG2" s="4" t="s">
        <v>174</v>
      </c>
      <c r="RH2" s="4" t="s">
        <v>27</v>
      </c>
      <c r="RI2" s="4" t="s">
        <v>1494</v>
      </c>
      <c r="RJ2" s="4" t="s">
        <v>60</v>
      </c>
      <c r="RK2" s="4" t="s">
        <v>816</v>
      </c>
      <c r="RL2" s="4" t="s">
        <v>814</v>
      </c>
      <c r="RM2" s="4" t="s">
        <v>1495</v>
      </c>
      <c r="RN2" s="4" t="s">
        <v>1064</v>
      </c>
      <c r="RO2" s="4" t="s">
        <v>834</v>
      </c>
      <c r="RP2" s="4" t="s">
        <v>1356</v>
      </c>
      <c r="RQ2" s="4" t="s">
        <v>2267</v>
      </c>
      <c r="RR2" s="4" t="s">
        <v>1496</v>
      </c>
      <c r="RS2" s="4" t="s">
        <v>1090</v>
      </c>
      <c r="RT2" s="4" t="s">
        <v>1266</v>
      </c>
      <c r="RU2" s="4" t="s">
        <v>1247</v>
      </c>
      <c r="RV2" s="4" t="s">
        <v>1497</v>
      </c>
      <c r="RW2" s="4" t="s">
        <v>1501</v>
      </c>
      <c r="RX2" s="4" t="s">
        <v>1909</v>
      </c>
      <c r="RY2" s="4" t="s">
        <v>1502</v>
      </c>
      <c r="RZ2" s="4" t="s">
        <v>2574</v>
      </c>
      <c r="SA2" s="4" t="s">
        <v>2326</v>
      </c>
      <c r="SB2" s="4" t="s">
        <v>935</v>
      </c>
      <c r="SC2" s="4" t="s">
        <v>1213</v>
      </c>
      <c r="SD2" s="4" t="s">
        <v>2334</v>
      </c>
      <c r="SE2" s="4" t="s">
        <v>2288</v>
      </c>
      <c r="SF2" s="4" t="s">
        <v>2255</v>
      </c>
      <c r="SG2" s="4" t="s">
        <v>2225</v>
      </c>
      <c r="SH2" s="4" t="s">
        <v>1498</v>
      </c>
      <c r="SI2" s="4" t="s">
        <v>2460</v>
      </c>
      <c r="SJ2" s="4" t="s">
        <v>2461</v>
      </c>
      <c r="SK2" s="4" t="s">
        <v>2289</v>
      </c>
      <c r="SL2" s="4" t="s">
        <v>2462</v>
      </c>
      <c r="SM2" s="4" t="s">
        <v>2325</v>
      </c>
      <c r="SN2" s="4" t="s">
        <v>1100</v>
      </c>
      <c r="SO2" s="4" t="s">
        <v>1267</v>
      </c>
      <c r="SP2" s="4" t="s">
        <v>2489</v>
      </c>
      <c r="SQ2" s="4" t="s">
        <v>2256</v>
      </c>
      <c r="SR2" s="4" t="s">
        <v>936</v>
      </c>
      <c r="SS2" s="4" t="s">
        <v>2226</v>
      </c>
      <c r="ST2" s="4" t="s">
        <v>1499</v>
      </c>
      <c r="SU2" s="4" t="s">
        <v>1226</v>
      </c>
      <c r="SV2" s="4" t="s">
        <v>1227</v>
      </c>
      <c r="SW2" s="4" t="s">
        <v>1500</v>
      </c>
      <c r="SX2" s="4" t="s">
        <v>2227</v>
      </c>
      <c r="SY2" s="4" t="s">
        <v>2352</v>
      </c>
      <c r="SZ2" s="5" t="s">
        <v>2506</v>
      </c>
      <c r="TA2" s="5" t="s">
        <v>1884</v>
      </c>
      <c r="TB2" s="5" t="s">
        <v>2116</v>
      </c>
      <c r="TC2" s="5" t="s">
        <v>1504</v>
      </c>
      <c r="TD2" s="5" t="s">
        <v>122</v>
      </c>
      <c r="TE2" s="5" t="s">
        <v>2084</v>
      </c>
      <c r="TF2" s="5" t="s">
        <v>2037</v>
      </c>
      <c r="TG2" s="5" t="s">
        <v>512</v>
      </c>
      <c r="TH2" s="5" t="s">
        <v>1505</v>
      </c>
      <c r="TI2" s="5" t="s">
        <v>513</v>
      </c>
      <c r="TJ2" s="5" t="s">
        <v>2524</v>
      </c>
      <c r="TK2" s="5" t="s">
        <v>1506</v>
      </c>
      <c r="TL2" s="45" t="s">
        <v>514</v>
      </c>
      <c r="TM2" s="4" t="s">
        <v>1503</v>
      </c>
      <c r="TN2" s="4" t="s">
        <v>32</v>
      </c>
      <c r="TO2" s="4" t="s">
        <v>33</v>
      </c>
      <c r="TP2" s="4" t="s">
        <v>1507</v>
      </c>
      <c r="TQ2" s="4" t="s">
        <v>34</v>
      </c>
      <c r="TR2" s="4" t="s">
        <v>35</v>
      </c>
      <c r="TS2" s="4" t="s">
        <v>1508</v>
      </c>
      <c r="TT2" s="4" t="s">
        <v>1196</v>
      </c>
      <c r="TU2" s="4" t="s">
        <v>1169</v>
      </c>
      <c r="TV2" s="4" t="s">
        <v>1509</v>
      </c>
      <c r="TW2" s="4" t="s">
        <v>1883</v>
      </c>
      <c r="TX2" s="4" t="s">
        <v>90</v>
      </c>
      <c r="TY2" s="4" t="s">
        <v>31</v>
      </c>
      <c r="TZ2" s="4" t="s">
        <v>1510</v>
      </c>
      <c r="UA2" s="4" t="s">
        <v>81</v>
      </c>
      <c r="UB2" s="4" t="s">
        <v>515</v>
      </c>
      <c r="UC2" s="4" t="s">
        <v>1511</v>
      </c>
      <c r="UD2" s="4" t="s">
        <v>91</v>
      </c>
      <c r="UE2" s="4" t="s">
        <v>1097</v>
      </c>
      <c r="UF2" s="4" t="s">
        <v>1512</v>
      </c>
      <c r="UG2" s="4" t="s">
        <v>1371</v>
      </c>
      <c r="UH2" s="4" t="s">
        <v>1513</v>
      </c>
      <c r="UI2" s="4" t="s">
        <v>2493</v>
      </c>
      <c r="UJ2" s="4" t="s">
        <v>2478</v>
      </c>
      <c r="UK2" s="4" t="s">
        <v>2491</v>
      </c>
      <c r="UL2" s="4" t="s">
        <v>2606</v>
      </c>
      <c r="UM2" s="4" t="s">
        <v>1514</v>
      </c>
      <c r="UN2" s="45" t="s">
        <v>809</v>
      </c>
      <c r="UO2" s="4" t="s">
        <v>1290</v>
      </c>
      <c r="UP2" s="4" t="s">
        <v>2031</v>
      </c>
      <c r="UQ2" s="4" t="s">
        <v>2032</v>
      </c>
      <c r="UR2" s="4" t="s">
        <v>2501</v>
      </c>
      <c r="US2" s="4" t="s">
        <v>2575</v>
      </c>
      <c r="UT2" s="4" t="s">
        <v>1248</v>
      </c>
      <c r="UU2" s="4" t="s">
        <v>1515</v>
      </c>
      <c r="UV2" s="4" t="s">
        <v>1386</v>
      </c>
      <c r="UW2" s="4" t="s">
        <v>1387</v>
      </c>
      <c r="UX2" s="4" t="s">
        <v>1516</v>
      </c>
      <c r="UY2" s="4" t="s">
        <v>1249</v>
      </c>
      <c r="UZ2" s="4" t="s">
        <v>1291</v>
      </c>
      <c r="VA2" s="4" t="s">
        <v>1517</v>
      </c>
      <c r="VB2" s="4" t="s">
        <v>2221</v>
      </c>
      <c r="VC2" s="4" t="s">
        <v>2222</v>
      </c>
      <c r="VD2" s="4" t="s">
        <v>2487</v>
      </c>
      <c r="VE2" s="4" t="s">
        <v>1292</v>
      </c>
      <c r="VF2" s="4" t="s">
        <v>2488</v>
      </c>
      <c r="VG2" s="4" t="s">
        <v>2223</v>
      </c>
      <c r="VH2" s="4" t="s">
        <v>1518</v>
      </c>
      <c r="VI2" s="4" t="s">
        <v>2224</v>
      </c>
      <c r="VJ2" s="4" t="s">
        <v>1060</v>
      </c>
      <c r="VK2" s="4" t="s">
        <v>2537</v>
      </c>
      <c r="VL2" s="4" t="s">
        <v>2538</v>
      </c>
      <c r="VM2" s="4" t="s">
        <v>588</v>
      </c>
      <c r="VN2" s="45" t="s">
        <v>1174</v>
      </c>
      <c r="VO2" s="4" t="s">
        <v>2539</v>
      </c>
      <c r="VP2" s="4" t="s">
        <v>1173</v>
      </c>
      <c r="VQ2" s="4" t="s">
        <v>1061</v>
      </c>
      <c r="VR2" s="4" t="s">
        <v>1519</v>
      </c>
      <c r="VS2" s="4" t="s">
        <v>665</v>
      </c>
      <c r="VT2" s="4" t="s">
        <v>2034</v>
      </c>
      <c r="VU2" s="4" t="s">
        <v>1393</v>
      </c>
      <c r="VV2" s="4" t="s">
        <v>1062</v>
      </c>
      <c r="VW2" s="4" t="s">
        <v>1520</v>
      </c>
      <c r="VX2" s="4" t="s">
        <v>1093</v>
      </c>
      <c r="VY2" s="4" t="s">
        <v>1063</v>
      </c>
      <c r="VZ2" s="4" t="s">
        <v>2470</v>
      </c>
      <c r="WA2" s="4" t="s">
        <v>1521</v>
      </c>
      <c r="WB2" s="4" t="s">
        <v>2682</v>
      </c>
      <c r="WC2" s="4" t="s">
        <v>2683</v>
      </c>
      <c r="WD2" s="4" t="s">
        <v>1083</v>
      </c>
      <c r="WE2" s="45" t="s">
        <v>2689</v>
      </c>
      <c r="WF2" s="4" t="s">
        <v>2569</v>
      </c>
      <c r="WG2" s="4" t="s">
        <v>2684</v>
      </c>
      <c r="WH2" s="4" t="s">
        <v>2570</v>
      </c>
      <c r="WI2" s="4" t="s">
        <v>2571</v>
      </c>
      <c r="WJ2" s="4" t="s">
        <v>2685</v>
      </c>
      <c r="WK2" s="4" t="s">
        <v>2686</v>
      </c>
      <c r="WL2" s="4" t="s">
        <v>1936</v>
      </c>
      <c r="WM2" s="44" t="s">
        <v>2687</v>
      </c>
      <c r="WN2" s="4" t="s">
        <v>2688</v>
      </c>
      <c r="WO2" s="4" t="s">
        <v>1979</v>
      </c>
      <c r="WP2" s="45" t="s">
        <v>1084</v>
      </c>
      <c r="WQ2" s="4" t="s">
        <v>1522</v>
      </c>
      <c r="WR2" s="4" t="s">
        <v>1523</v>
      </c>
      <c r="WS2" s="4" t="s">
        <v>1524</v>
      </c>
      <c r="WT2" s="4" t="s">
        <v>2480</v>
      </c>
      <c r="WU2" s="4" t="s">
        <v>1241</v>
      </c>
      <c r="WV2" s="4" t="s">
        <v>590</v>
      </c>
      <c r="WW2" s="45" t="s">
        <v>1085</v>
      </c>
      <c r="WX2" s="4" t="s">
        <v>1525</v>
      </c>
      <c r="WY2" s="4" t="s">
        <v>1526</v>
      </c>
      <c r="WZ2" s="4" t="s">
        <v>2481</v>
      </c>
      <c r="XA2" s="4" t="s">
        <v>1527</v>
      </c>
      <c r="XB2" s="45" t="s">
        <v>589</v>
      </c>
      <c r="XC2" s="45" t="s">
        <v>591</v>
      </c>
      <c r="XD2" s="4" t="s">
        <v>1528</v>
      </c>
      <c r="XE2" s="4" t="s">
        <v>1066</v>
      </c>
      <c r="XF2" s="4" t="s">
        <v>1130</v>
      </c>
      <c r="XG2" s="4" t="s">
        <v>2096</v>
      </c>
      <c r="XH2" s="4" t="s">
        <v>1945</v>
      </c>
      <c r="XI2" s="4" t="s">
        <v>2061</v>
      </c>
      <c r="XJ2" s="4" t="s">
        <v>2062</v>
      </c>
      <c r="XK2" s="4" t="s">
        <v>1529</v>
      </c>
      <c r="XL2" s="4" t="s">
        <v>1530</v>
      </c>
      <c r="XM2" s="45" t="s">
        <v>36</v>
      </c>
      <c r="XN2" s="4" t="s">
        <v>37</v>
      </c>
      <c r="XO2" s="4" t="s">
        <v>58</v>
      </c>
      <c r="XP2" s="4" t="s">
        <v>95</v>
      </c>
      <c r="XQ2" s="4" t="s">
        <v>1531</v>
      </c>
      <c r="XR2" s="4" t="s">
        <v>94</v>
      </c>
      <c r="XS2" s="4" t="s">
        <v>1349</v>
      </c>
      <c r="XT2" s="4" t="s">
        <v>1131</v>
      </c>
      <c r="XU2" s="4" t="s">
        <v>1532</v>
      </c>
      <c r="XV2" s="4" t="s">
        <v>124</v>
      </c>
      <c r="XW2" s="4" t="s">
        <v>1067</v>
      </c>
      <c r="XX2" s="4" t="s">
        <v>75</v>
      </c>
      <c r="XY2" s="4" t="s">
        <v>1533</v>
      </c>
      <c r="XZ2" s="4" t="s">
        <v>1274</v>
      </c>
      <c r="YA2" s="4" t="s">
        <v>1374</v>
      </c>
      <c r="YB2" s="4" t="s">
        <v>1068</v>
      </c>
      <c r="YC2" s="4" t="s">
        <v>1534</v>
      </c>
      <c r="YD2" s="4" t="s">
        <v>1275</v>
      </c>
      <c r="YE2" s="4" t="s">
        <v>1535</v>
      </c>
      <c r="YF2" s="4" t="s">
        <v>1218</v>
      </c>
      <c r="YG2" s="4" t="s">
        <v>1536</v>
      </c>
      <c r="YH2" s="4" t="s">
        <v>1071</v>
      </c>
      <c r="YI2" s="4" t="s">
        <v>1537</v>
      </c>
      <c r="YJ2" s="4" t="s">
        <v>2097</v>
      </c>
      <c r="YK2" s="4" t="s">
        <v>2063</v>
      </c>
      <c r="YL2" s="4" t="s">
        <v>2064</v>
      </c>
      <c r="YM2" s="4" t="s">
        <v>1538</v>
      </c>
      <c r="YN2" s="45" t="s">
        <v>1069</v>
      </c>
      <c r="YO2" s="4" t="s">
        <v>1285</v>
      </c>
      <c r="YP2" s="4" t="s">
        <v>1975</v>
      </c>
      <c r="YQ2" s="4" t="s">
        <v>1070</v>
      </c>
      <c r="YR2" s="4" t="s">
        <v>1077</v>
      </c>
      <c r="YS2" s="4" t="s">
        <v>1539</v>
      </c>
      <c r="YT2" s="4" t="s">
        <v>1072</v>
      </c>
      <c r="YU2" s="4" t="s">
        <v>1132</v>
      </c>
      <c r="YV2" s="4" t="s">
        <v>1540</v>
      </c>
      <c r="YW2" s="4" t="s">
        <v>1286</v>
      </c>
      <c r="YX2" s="4" t="s">
        <v>1541</v>
      </c>
      <c r="YY2" s="4" t="s">
        <v>867</v>
      </c>
      <c r="YZ2" s="4" t="s">
        <v>2512</v>
      </c>
      <c r="ZA2" s="4" t="s">
        <v>1542</v>
      </c>
      <c r="ZB2" s="4" t="s">
        <v>817</v>
      </c>
      <c r="ZC2" s="4" t="s">
        <v>821</v>
      </c>
      <c r="ZD2" s="4" t="s">
        <v>1543</v>
      </c>
      <c r="ZE2" s="4" t="s">
        <v>1211</v>
      </c>
      <c r="ZF2" s="4" t="s">
        <v>1065</v>
      </c>
      <c r="ZG2" s="4" t="s">
        <v>1544</v>
      </c>
      <c r="ZH2" s="4" t="s">
        <v>1118</v>
      </c>
      <c r="ZI2" s="4" t="s">
        <v>2306</v>
      </c>
      <c r="ZJ2" s="4" t="s">
        <v>2089</v>
      </c>
      <c r="ZK2" s="4" t="s">
        <v>1950</v>
      </c>
      <c r="ZL2" s="4" t="s">
        <v>919</v>
      </c>
      <c r="ZM2" s="4" t="s">
        <v>1545</v>
      </c>
      <c r="ZN2" s="4" t="s">
        <v>2049</v>
      </c>
      <c r="ZO2" s="4" t="s">
        <v>2050</v>
      </c>
      <c r="ZP2" s="4" t="s">
        <v>1333</v>
      </c>
      <c r="ZQ2" s="4" t="s">
        <v>2125</v>
      </c>
      <c r="ZR2" s="4" t="s">
        <v>1546</v>
      </c>
      <c r="ZS2" s="4" t="s">
        <v>1561</v>
      </c>
      <c r="ZT2" s="45" t="s">
        <v>1562</v>
      </c>
      <c r="ZU2" s="4" t="s">
        <v>1547</v>
      </c>
      <c r="ZV2" s="4" t="s">
        <v>101</v>
      </c>
      <c r="ZW2" s="4" t="s">
        <v>102</v>
      </c>
      <c r="ZX2" s="4" t="s">
        <v>1548</v>
      </c>
      <c r="ZY2" s="4" t="s">
        <v>73</v>
      </c>
      <c r="ZZ2" s="4" t="s">
        <v>1250</v>
      </c>
      <c r="AAA2" s="4" t="s">
        <v>1298</v>
      </c>
      <c r="AAB2" s="4" t="s">
        <v>1549</v>
      </c>
      <c r="AAC2" s="4" t="s">
        <v>625</v>
      </c>
      <c r="AAD2" s="4" t="s">
        <v>1304</v>
      </c>
      <c r="AAE2" s="4" t="s">
        <v>103</v>
      </c>
      <c r="AAF2" s="4" t="s">
        <v>1550</v>
      </c>
      <c r="AAG2" s="4" t="s">
        <v>175</v>
      </c>
      <c r="AAH2" s="4" t="s">
        <v>944</v>
      </c>
      <c r="AAI2" s="4" t="s">
        <v>822</v>
      </c>
      <c r="AAJ2" s="4" t="s">
        <v>1551</v>
      </c>
      <c r="AAK2" s="4" t="s">
        <v>1934</v>
      </c>
      <c r="AAL2" s="4" t="s">
        <v>818</v>
      </c>
      <c r="AAM2" s="4" t="s">
        <v>835</v>
      </c>
      <c r="AAN2" s="4" t="s">
        <v>1360</v>
      </c>
      <c r="AAO2" s="4" t="s">
        <v>1552</v>
      </c>
      <c r="AAP2" s="4" t="s">
        <v>1271</v>
      </c>
      <c r="AAQ2" s="4" t="s">
        <v>2474</v>
      </c>
      <c r="AAR2" s="4" t="s">
        <v>1553</v>
      </c>
      <c r="AAS2" s="4" t="s">
        <v>1107</v>
      </c>
      <c r="AAT2" s="4" t="s">
        <v>1272</v>
      </c>
      <c r="AAU2" s="4" t="s">
        <v>2495</v>
      </c>
      <c r="AAV2" s="4" t="s">
        <v>1555</v>
      </c>
      <c r="AAW2" s="4" t="s">
        <v>1554</v>
      </c>
      <c r="AAX2" s="4" t="s">
        <v>1556</v>
      </c>
      <c r="AAY2" s="4" t="s">
        <v>677</v>
      </c>
      <c r="AAZ2" s="4" t="s">
        <v>871</v>
      </c>
      <c r="ABA2" s="4" t="s">
        <v>872</v>
      </c>
      <c r="ABB2" s="45" t="s">
        <v>1559</v>
      </c>
      <c r="ABC2" s="4" t="s">
        <v>933</v>
      </c>
      <c r="ABD2" s="4" t="s">
        <v>1229</v>
      </c>
      <c r="ABE2" s="4" t="s">
        <v>1230</v>
      </c>
      <c r="ABF2" s="4" t="s">
        <v>1563</v>
      </c>
      <c r="ABG2" s="4" t="s">
        <v>1232</v>
      </c>
      <c r="ABH2" s="4" t="s">
        <v>1233</v>
      </c>
      <c r="ABI2" s="4" t="s">
        <v>1348</v>
      </c>
      <c r="ABJ2" s="4" t="s">
        <v>1564</v>
      </c>
      <c r="ABK2" s="4" t="s">
        <v>828</v>
      </c>
      <c r="ABL2" s="4" t="s">
        <v>113</v>
      </c>
      <c r="ABM2" s="4" t="s">
        <v>829</v>
      </c>
      <c r="ABN2" s="4" t="s">
        <v>1565</v>
      </c>
      <c r="ABO2" s="4" t="s">
        <v>38</v>
      </c>
      <c r="ABP2" s="4" t="s">
        <v>1557</v>
      </c>
      <c r="ABQ2" s="4" t="s">
        <v>1558</v>
      </c>
      <c r="ABR2" s="4" t="s">
        <v>1566</v>
      </c>
      <c r="ABS2" s="4" t="s">
        <v>2583</v>
      </c>
      <c r="ABT2" s="4" t="s">
        <v>2502</v>
      </c>
      <c r="ABU2" s="4" t="s">
        <v>1567</v>
      </c>
      <c r="ABV2" s="4" t="s">
        <v>1875</v>
      </c>
      <c r="ABW2" s="4" t="s">
        <v>1965</v>
      </c>
      <c r="ABX2" s="4" t="s">
        <v>2006</v>
      </c>
      <c r="ABY2" s="4" t="s">
        <v>871</v>
      </c>
      <c r="ABZ2" s="4" t="s">
        <v>2086</v>
      </c>
      <c r="ACA2" s="4" t="s">
        <v>2035</v>
      </c>
      <c r="ACB2" s="4" t="s">
        <v>2117</v>
      </c>
      <c r="ACC2" s="4" t="s">
        <v>1568</v>
      </c>
      <c r="ACD2" s="4" t="s">
        <v>872</v>
      </c>
      <c r="ACE2" s="4" t="s">
        <v>2445</v>
      </c>
      <c r="ACF2" s="4" t="s">
        <v>677</v>
      </c>
      <c r="ACG2" s="45" t="s">
        <v>1560</v>
      </c>
      <c r="ACH2" s="4" t="s">
        <v>878</v>
      </c>
      <c r="ACI2" s="4" t="s">
        <v>1229</v>
      </c>
      <c r="ACJ2" s="4" t="s">
        <v>1569</v>
      </c>
      <c r="ACK2" s="4" t="s">
        <v>1231</v>
      </c>
      <c r="ACL2" s="4" t="s">
        <v>1232</v>
      </c>
      <c r="ACM2" s="4" t="s">
        <v>1233</v>
      </c>
      <c r="ACN2" s="4" t="s">
        <v>1570</v>
      </c>
      <c r="ACO2" s="4" t="s">
        <v>112</v>
      </c>
      <c r="ACP2" s="4" t="s">
        <v>828</v>
      </c>
      <c r="ACQ2" s="4" t="s">
        <v>1234</v>
      </c>
      <c r="ACR2" s="4" t="s">
        <v>1571</v>
      </c>
      <c r="ACS2" s="4" t="s">
        <v>829</v>
      </c>
      <c r="ACT2" s="4" t="s">
        <v>176</v>
      </c>
      <c r="ACU2" s="4" t="s">
        <v>1235</v>
      </c>
      <c r="ACV2" s="4" t="s">
        <v>1572</v>
      </c>
      <c r="ACW2" s="4" t="s">
        <v>38</v>
      </c>
      <c r="ACX2" s="4" t="s">
        <v>1557</v>
      </c>
      <c r="ACY2" s="4" t="s">
        <v>1368</v>
      </c>
      <c r="ACZ2" s="4" t="s">
        <v>1236</v>
      </c>
      <c r="ADA2" s="4" t="s">
        <v>1573</v>
      </c>
      <c r="ADB2" s="4" t="s">
        <v>1558</v>
      </c>
      <c r="ADC2" s="4" t="s">
        <v>1369</v>
      </c>
      <c r="ADD2" s="4" t="s">
        <v>1376</v>
      </c>
      <c r="ADE2" s="4" t="s">
        <v>1238</v>
      </c>
      <c r="ADF2" s="4" t="s">
        <v>1574</v>
      </c>
      <c r="ADG2" s="4" t="s">
        <v>1256</v>
      </c>
      <c r="ADH2" s="4" t="s">
        <v>2333</v>
      </c>
      <c r="ADI2" s="4" t="s">
        <v>1575</v>
      </c>
      <c r="ADJ2" s="4" t="s">
        <v>1919</v>
      </c>
      <c r="ADK2" s="4" t="s">
        <v>1920</v>
      </c>
      <c r="ADL2" s="4" t="s">
        <v>2597</v>
      </c>
      <c r="ADM2" s="4" t="s">
        <v>1258</v>
      </c>
      <c r="ADN2" s="4" t="s">
        <v>2283</v>
      </c>
      <c r="ADO2" s="4" t="s">
        <v>2598</v>
      </c>
      <c r="ADP2" s="4" t="s">
        <v>2284</v>
      </c>
      <c r="ADQ2" s="4" t="s">
        <v>2593</v>
      </c>
      <c r="ADR2" s="4" t="s">
        <v>2209</v>
      </c>
      <c r="ADS2" s="4" t="s">
        <v>2285</v>
      </c>
      <c r="ADT2" s="4" t="s">
        <v>2203</v>
      </c>
      <c r="ADU2" s="4" t="s">
        <v>2286</v>
      </c>
      <c r="ADV2" s="4" t="s">
        <v>2484</v>
      </c>
      <c r="ADW2" s="4" t="s">
        <v>2599</v>
      </c>
      <c r="ADX2" s="4" t="s">
        <v>2287</v>
      </c>
      <c r="ADY2" s="4" t="s">
        <v>1239</v>
      </c>
      <c r="ADZ2" s="4" t="s">
        <v>1257</v>
      </c>
      <c r="AEA2" s="4" t="s">
        <v>1921</v>
      </c>
      <c r="AEB2" s="4" t="s">
        <v>2211</v>
      </c>
      <c r="AEC2" s="4" t="s">
        <v>1576</v>
      </c>
      <c r="AED2" s="4" t="s">
        <v>1240</v>
      </c>
      <c r="AEE2" s="4" t="s">
        <v>2349</v>
      </c>
      <c r="AEF2" s="4" t="s">
        <v>2212</v>
      </c>
      <c r="AEG2" s="4" t="s">
        <v>2204</v>
      </c>
      <c r="AEH2" s="4" t="s">
        <v>2503</v>
      </c>
      <c r="AEI2" s="4" t="s">
        <v>1578</v>
      </c>
      <c r="AEJ2" s="45" t="s">
        <v>1577</v>
      </c>
      <c r="AEK2" s="4" t="s">
        <v>878</v>
      </c>
      <c r="AEL2" s="4" t="s">
        <v>1229</v>
      </c>
      <c r="AEM2" s="4" t="s">
        <v>1230</v>
      </c>
      <c r="AEN2" s="4" t="s">
        <v>1563</v>
      </c>
      <c r="AEO2" s="4" t="s">
        <v>1232</v>
      </c>
      <c r="AEP2" s="4" t="s">
        <v>2253</v>
      </c>
      <c r="AEQ2" s="4" t="s">
        <v>1348</v>
      </c>
      <c r="AER2" s="4" t="s">
        <v>828</v>
      </c>
      <c r="AES2" s="4" t="s">
        <v>1234</v>
      </c>
      <c r="AET2" s="4" t="s">
        <v>113</v>
      </c>
      <c r="AEU2" s="4" t="s">
        <v>1235</v>
      </c>
      <c r="AEV2" s="4" t="s">
        <v>1385</v>
      </c>
      <c r="AEW2" s="4" t="s">
        <v>1579</v>
      </c>
      <c r="AEX2" s="4" t="s">
        <v>1557</v>
      </c>
      <c r="AEY2" s="4" t="s">
        <v>1368</v>
      </c>
      <c r="AEZ2" s="4" t="s">
        <v>1237</v>
      </c>
      <c r="AFA2" s="4" t="s">
        <v>1369</v>
      </c>
      <c r="AFB2" s="4" t="s">
        <v>1580</v>
      </c>
      <c r="AFC2" s="4" t="s">
        <v>1238</v>
      </c>
      <c r="AFD2" s="4" t="s">
        <v>1256</v>
      </c>
      <c r="AFE2" s="4" t="s">
        <v>1920</v>
      </c>
      <c r="AFF2" s="4" t="s">
        <v>2209</v>
      </c>
      <c r="AFG2" s="4" t="s">
        <v>2484</v>
      </c>
      <c r="AFH2" s="4" t="s">
        <v>1581</v>
      </c>
      <c r="AFI2" s="4" t="s">
        <v>2210</v>
      </c>
      <c r="AFJ2" s="4" t="s">
        <v>1963</v>
      </c>
      <c r="AFK2" s="4" t="s">
        <v>2120</v>
      </c>
      <c r="AFL2" s="4" t="s">
        <v>64</v>
      </c>
      <c r="AFM2" s="45" t="s">
        <v>1206</v>
      </c>
      <c r="AFN2" s="4" t="s">
        <v>1582</v>
      </c>
      <c r="AFO2" s="4" t="s">
        <v>1583</v>
      </c>
      <c r="AFP2" s="4" t="s">
        <v>1585</v>
      </c>
      <c r="AFQ2" s="4" t="s">
        <v>1584</v>
      </c>
      <c r="AFR2" s="4" t="s">
        <v>1207</v>
      </c>
      <c r="AFS2" s="4" t="s">
        <v>1586</v>
      </c>
      <c r="AFT2" s="4" t="s">
        <v>2273</v>
      </c>
      <c r="AFU2" s="4" t="s">
        <v>104</v>
      </c>
      <c r="AFV2" s="4" t="s">
        <v>1391</v>
      </c>
      <c r="AFW2" s="4" t="s">
        <v>1168</v>
      </c>
      <c r="AFX2" s="4" t="s">
        <v>2274</v>
      </c>
      <c r="AFY2" s="4" t="s">
        <v>1587</v>
      </c>
      <c r="AFZ2" s="4" t="s">
        <v>1588</v>
      </c>
      <c r="AGA2" s="4" t="s">
        <v>2580</v>
      </c>
      <c r="AGB2" s="4" t="s">
        <v>2603</v>
      </c>
      <c r="AGC2" s="4" t="s">
        <v>1144</v>
      </c>
      <c r="AGD2" s="4" t="s">
        <v>2609</v>
      </c>
      <c r="AGE2" s="4" t="s">
        <v>1058</v>
      </c>
      <c r="AGF2" s="4" t="s">
        <v>1589</v>
      </c>
      <c r="AGG2" s="4" t="s">
        <v>1109</v>
      </c>
      <c r="AGH2" s="4" t="s">
        <v>1874</v>
      </c>
      <c r="AGI2" s="4" t="s">
        <v>1873</v>
      </c>
      <c r="AGJ2" s="4" t="s">
        <v>2111</v>
      </c>
      <c r="AGK2" s="4" t="s">
        <v>2011</v>
      </c>
      <c r="AGL2" s="4" t="s">
        <v>1109</v>
      </c>
      <c r="AGM2" s="4" t="s">
        <v>1590</v>
      </c>
      <c r="AGN2" s="4" t="s">
        <v>2083</v>
      </c>
      <c r="AGO2" s="4" t="s">
        <v>1871</v>
      </c>
      <c r="AGP2" s="4" t="s">
        <v>1868</v>
      </c>
      <c r="AGQ2" s="4" t="s">
        <v>1331</v>
      </c>
      <c r="AGR2" s="4" t="s">
        <v>2121</v>
      </c>
      <c r="AGS2" s="4" t="s">
        <v>2498</v>
      </c>
      <c r="AGT2" s="4" t="s">
        <v>1591</v>
      </c>
      <c r="AGU2" s="45" t="s">
        <v>1394</v>
      </c>
      <c r="AGV2" s="4" t="s">
        <v>681</v>
      </c>
      <c r="AGW2" s="4" t="s">
        <v>39</v>
      </c>
      <c r="AGX2" s="4" t="s">
        <v>40</v>
      </c>
      <c r="AGY2" s="4" t="s">
        <v>1592</v>
      </c>
      <c r="AGZ2" s="4" t="s">
        <v>41</v>
      </c>
      <c r="AHA2" s="4" t="s">
        <v>1319</v>
      </c>
      <c r="AHB2" s="4" t="s">
        <v>1347</v>
      </c>
      <c r="AHC2" s="4" t="s">
        <v>1593</v>
      </c>
      <c r="AHD2" s="4" t="s">
        <v>1164</v>
      </c>
      <c r="AHE2" s="4" t="s">
        <v>1113</v>
      </c>
      <c r="AHF2" s="4" t="s">
        <v>109</v>
      </c>
      <c r="AHG2" s="4" t="s">
        <v>1594</v>
      </c>
      <c r="AHH2" s="4" t="s">
        <v>177</v>
      </c>
      <c r="AHI2" s="4" t="s">
        <v>928</v>
      </c>
      <c r="AHJ2" s="4" t="s">
        <v>1114</v>
      </c>
      <c r="AHK2" s="4" t="s">
        <v>1595</v>
      </c>
      <c r="AHL2" s="4" t="s">
        <v>1872</v>
      </c>
      <c r="AHM2" s="4" t="s">
        <v>1354</v>
      </c>
      <c r="AHN2" s="4" t="s">
        <v>915</v>
      </c>
      <c r="AHO2" s="4" t="s">
        <v>1059</v>
      </c>
      <c r="AHP2" s="4" t="s">
        <v>1596</v>
      </c>
      <c r="AHQ2" s="4" t="s">
        <v>1355</v>
      </c>
      <c r="AHR2" s="4" t="s">
        <v>1377</v>
      </c>
      <c r="AHS2" s="4" t="s">
        <v>1870</v>
      </c>
      <c r="AHT2" s="4" t="s">
        <v>1869</v>
      </c>
      <c r="AHU2" s="4" t="s">
        <v>1092</v>
      </c>
      <c r="AHV2" s="4" t="s">
        <v>1597</v>
      </c>
      <c r="AHW2" s="4" t="s">
        <v>1301</v>
      </c>
      <c r="AHX2" s="4" t="s">
        <v>831</v>
      </c>
      <c r="AHY2" s="4" t="s">
        <v>1598</v>
      </c>
      <c r="AHZ2" s="4" t="s">
        <v>2330</v>
      </c>
      <c r="AIA2" s="4" t="s">
        <v>1908</v>
      </c>
      <c r="AIB2" s="4" t="s">
        <v>1907</v>
      </c>
      <c r="AIC2" s="4" t="s">
        <v>2323</v>
      </c>
      <c r="AID2" s="4" t="s">
        <v>2318</v>
      </c>
      <c r="AIE2" s="4" t="s">
        <v>1215</v>
      </c>
      <c r="AIF2" s="4" t="s">
        <v>2281</v>
      </c>
      <c r="AIG2" s="4" t="s">
        <v>2596</v>
      </c>
      <c r="AIH2" s="4" t="s">
        <v>2228</v>
      </c>
      <c r="AII2" s="4" t="s">
        <v>2201</v>
      </c>
      <c r="AIJ2" s="4" t="s">
        <v>2457</v>
      </c>
      <c r="AIK2" s="4" t="s">
        <v>2458</v>
      </c>
      <c r="AIL2" s="4" t="s">
        <v>2282</v>
      </c>
      <c r="AIM2" s="4" t="s">
        <v>2459</v>
      </c>
      <c r="AIN2" s="4" t="s">
        <v>2324</v>
      </c>
      <c r="AIO2" s="4" t="s">
        <v>1255</v>
      </c>
      <c r="AIP2" s="4" t="s">
        <v>2490</v>
      </c>
      <c r="AIQ2" s="4" t="s">
        <v>2229</v>
      </c>
      <c r="AIR2" s="4" t="s">
        <v>1599</v>
      </c>
      <c r="AIS2" s="4" t="s">
        <v>1228</v>
      </c>
      <c r="AIT2" s="4" t="s">
        <v>1600</v>
      </c>
      <c r="AIU2" s="4" t="s">
        <v>2230</v>
      </c>
      <c r="AIV2" s="4" t="s">
        <v>2202</v>
      </c>
      <c r="AIW2" s="4" t="s">
        <v>1969</v>
      </c>
      <c r="AIX2" s="4" t="s">
        <v>1601</v>
      </c>
      <c r="AIY2" s="45" t="s">
        <v>1978</v>
      </c>
      <c r="AIZ2" s="4" t="s">
        <v>1879</v>
      </c>
      <c r="AJA2" s="4" t="s">
        <v>1602</v>
      </c>
      <c r="AJB2" s="4" t="s">
        <v>1171</v>
      </c>
      <c r="AJC2" s="4" t="s">
        <v>1603</v>
      </c>
      <c r="AJD2" s="4" t="s">
        <v>1172</v>
      </c>
      <c r="AJE2" s="4" t="s">
        <v>1876</v>
      </c>
      <c r="AJF2" s="4" t="s">
        <v>2033</v>
      </c>
      <c r="AJG2" s="4" t="s">
        <v>2012</v>
      </c>
      <c r="AJH2" s="4" t="s">
        <v>1877</v>
      </c>
      <c r="AJI2" s="4" t="s">
        <v>1878</v>
      </c>
      <c r="AJJ2" s="4" t="s">
        <v>2254</v>
      </c>
      <c r="AJK2" s="4" t="s">
        <v>1604</v>
      </c>
      <c r="AJL2" s="4" t="s">
        <v>1091</v>
      </c>
      <c r="AJM2" s="4" t="s">
        <v>2231</v>
      </c>
      <c r="AJN2" s="4" t="s">
        <v>2232</v>
      </c>
      <c r="AJO2" s="4" t="s">
        <v>1605</v>
      </c>
      <c r="AJP2" s="4" t="s">
        <v>2233</v>
      </c>
      <c r="AJQ2" s="4" t="s">
        <v>2234</v>
      </c>
      <c r="AJR2" s="4" t="s">
        <v>2507</v>
      </c>
      <c r="AJS2" s="4" t="s">
        <v>1606</v>
      </c>
      <c r="AJT2" s="4" t="s">
        <v>1145</v>
      </c>
      <c r="AJU2" s="4" t="s">
        <v>2109</v>
      </c>
      <c r="AJV2" s="4" t="s">
        <v>1961</v>
      </c>
      <c r="AJW2" s="4" t="s">
        <v>1607</v>
      </c>
      <c r="AJX2" s="4" t="s">
        <v>873</v>
      </c>
      <c r="AJY2" s="4" t="s">
        <v>2079</v>
      </c>
      <c r="AJZ2" s="4" t="s">
        <v>2000</v>
      </c>
      <c r="AKA2" s="4" t="s">
        <v>1608</v>
      </c>
      <c r="AKB2" s="4" t="s">
        <v>516</v>
      </c>
      <c r="AKC2" s="4" t="s">
        <v>517</v>
      </c>
      <c r="AKD2" s="4" t="s">
        <v>2001</v>
      </c>
      <c r="AKE2" s="4" t="s">
        <v>1609</v>
      </c>
      <c r="AKF2" s="45" t="s">
        <v>518</v>
      </c>
      <c r="AKG2" s="4" t="s">
        <v>937</v>
      </c>
      <c r="AKH2" s="4" t="s">
        <v>938</v>
      </c>
      <c r="AKI2" s="4" t="s">
        <v>43</v>
      </c>
      <c r="AKJ2" s="4" t="s">
        <v>1610</v>
      </c>
      <c r="AKK2" s="4" t="s">
        <v>44</v>
      </c>
      <c r="AKL2" s="4" t="s">
        <v>519</v>
      </c>
      <c r="AKM2" s="4" t="s">
        <v>1611</v>
      </c>
      <c r="AKN2" s="4" t="s">
        <v>939</v>
      </c>
      <c r="AKO2" s="4" t="s">
        <v>1205</v>
      </c>
      <c r="AKP2" s="4" t="s">
        <v>77</v>
      </c>
      <c r="AKQ2" s="4" t="s">
        <v>85</v>
      </c>
      <c r="AKR2" s="4" t="s">
        <v>1612</v>
      </c>
      <c r="AKS2" s="4" t="s">
        <v>2497</v>
      </c>
      <c r="AKT2" s="4" t="s">
        <v>42</v>
      </c>
      <c r="AKU2" s="4" t="s">
        <v>1613</v>
      </c>
      <c r="AKV2" s="4" t="s">
        <v>520</v>
      </c>
      <c r="AKW2" s="4" t="s">
        <v>2337</v>
      </c>
      <c r="AKX2" s="4" t="s">
        <v>833</v>
      </c>
      <c r="AKY2" s="4" t="s">
        <v>89</v>
      </c>
      <c r="AKZ2" s="4" t="s">
        <v>1614</v>
      </c>
      <c r="ALA2" s="4" t="s">
        <v>1094</v>
      </c>
      <c r="ALB2" s="4" t="s">
        <v>1902</v>
      </c>
      <c r="ALC2" s="4" t="s">
        <v>1901</v>
      </c>
      <c r="ALD2" s="4" t="s">
        <v>1900</v>
      </c>
      <c r="ALE2" s="4" t="s">
        <v>2207</v>
      </c>
      <c r="ALF2" s="4" t="s">
        <v>2449</v>
      </c>
      <c r="ALG2" s="4" t="s">
        <v>2213</v>
      </c>
      <c r="ALH2" s="4" t="s">
        <v>1615</v>
      </c>
      <c r="ALI2" s="4" t="s">
        <v>2046</v>
      </c>
      <c r="ALJ2" s="45" t="s">
        <v>2045</v>
      </c>
      <c r="ALK2" s="4" t="s">
        <v>2047</v>
      </c>
      <c r="ALL2" s="4" t="s">
        <v>2528</v>
      </c>
      <c r="ALM2" s="4" t="s">
        <v>2122</v>
      </c>
      <c r="ALN2" s="4" t="s">
        <v>2529</v>
      </c>
      <c r="ALO2" s="4" t="s">
        <v>72</v>
      </c>
      <c r="ALP2" s="45" t="s">
        <v>1087</v>
      </c>
      <c r="ALQ2" s="4" t="s">
        <v>1616</v>
      </c>
      <c r="ALR2" s="4" t="s">
        <v>45</v>
      </c>
      <c r="ALS2" s="4" t="s">
        <v>46</v>
      </c>
      <c r="ALT2" s="4" t="s">
        <v>1617</v>
      </c>
      <c r="ALU2" s="4" t="s">
        <v>47</v>
      </c>
      <c r="ALV2" s="4" t="s">
        <v>2691</v>
      </c>
      <c r="ALW2" s="4" t="s">
        <v>110</v>
      </c>
      <c r="ALX2" s="4" t="s">
        <v>1618</v>
      </c>
      <c r="ALY2" s="4" t="s">
        <v>111</v>
      </c>
      <c r="ALZ2" s="4" t="s">
        <v>178</v>
      </c>
      <c r="AMA2" s="4" t="s">
        <v>1388</v>
      </c>
      <c r="AMB2" s="4" t="s">
        <v>1619</v>
      </c>
      <c r="AMC2" s="4" t="s">
        <v>2340</v>
      </c>
      <c r="AMD2" s="4" t="s">
        <v>1253</v>
      </c>
      <c r="AME2" s="4" t="s">
        <v>1917</v>
      </c>
      <c r="AMF2" s="4" t="s">
        <v>1254</v>
      </c>
      <c r="AMG2" s="4" t="s">
        <v>1620</v>
      </c>
      <c r="AMH2" s="4" t="s">
        <v>1621</v>
      </c>
      <c r="AMI2" s="4" t="s">
        <v>2085</v>
      </c>
      <c r="AMJ2" s="4" t="s">
        <v>2530</v>
      </c>
      <c r="AMK2" s="4" t="s">
        <v>870</v>
      </c>
      <c r="AML2" s="4" t="s">
        <v>2446</v>
      </c>
      <c r="AMM2" s="4" t="s">
        <v>1622</v>
      </c>
      <c r="AMN2" s="45" t="s">
        <v>805</v>
      </c>
      <c r="AMO2" s="4" t="s">
        <v>806</v>
      </c>
      <c r="AMP2" s="4" t="s">
        <v>48</v>
      </c>
      <c r="AMQ2" s="4" t="s">
        <v>2028</v>
      </c>
      <c r="AMR2" s="4" t="s">
        <v>1623</v>
      </c>
      <c r="AMS2" s="4" t="s">
        <v>49</v>
      </c>
      <c r="AMT2" s="4" t="s">
        <v>2029</v>
      </c>
      <c r="AMU2" s="4" t="s">
        <v>1320</v>
      </c>
      <c r="AMV2" s="4" t="s">
        <v>2367</v>
      </c>
      <c r="AMW2" s="4" t="s">
        <v>2040</v>
      </c>
      <c r="AMX2" s="4" t="s">
        <v>2341</v>
      </c>
      <c r="AMY2" s="4" t="s">
        <v>1624</v>
      </c>
      <c r="AMZ2" s="4" t="s">
        <v>1389</v>
      </c>
      <c r="ANA2" s="4" t="s">
        <v>1390</v>
      </c>
      <c r="ANB2" s="4" t="s">
        <v>1321</v>
      </c>
      <c r="ANC2" s="4" t="s">
        <v>1935</v>
      </c>
      <c r="AND2" s="4" t="s">
        <v>2342</v>
      </c>
      <c r="ANE2" s="4" t="s">
        <v>1625</v>
      </c>
      <c r="ANF2" s="4" t="s">
        <v>1276</v>
      </c>
      <c r="ANG2" s="4" t="s">
        <v>2594</v>
      </c>
      <c r="ANH2" s="4" t="s">
        <v>1918</v>
      </c>
      <c r="ANI2" s="4" t="s">
        <v>2595</v>
      </c>
      <c r="ANJ2" s="4" t="s">
        <v>2298</v>
      </c>
      <c r="ANK2" s="4" t="s">
        <v>2299</v>
      </c>
      <c r="ANL2" s="4" t="s">
        <v>1277</v>
      </c>
      <c r="ANM2" s="4" t="s">
        <v>1101</v>
      </c>
      <c r="ANN2" s="4" t="s">
        <v>1626</v>
      </c>
      <c r="ANO2" s="4" t="s">
        <v>2101</v>
      </c>
      <c r="ANP2" s="4" t="s">
        <v>1944</v>
      </c>
      <c r="ANQ2" s="4" t="s">
        <v>2102</v>
      </c>
      <c r="ANR2" s="4" t="s">
        <v>1628</v>
      </c>
      <c r="ANS2" s="4" t="s">
        <v>2071</v>
      </c>
      <c r="ANT2" s="4" t="s">
        <v>2027</v>
      </c>
      <c r="ANU2" s="4" t="s">
        <v>2072</v>
      </c>
      <c r="ANV2" s="4" t="s">
        <v>874</v>
      </c>
      <c r="ANW2" s="4" t="s">
        <v>2448</v>
      </c>
      <c r="ANX2" s="4" t="s">
        <v>1627</v>
      </c>
      <c r="ANY2" s="45" t="s">
        <v>595</v>
      </c>
      <c r="ANZ2" s="4" t="s">
        <v>1147</v>
      </c>
      <c r="AOA2" s="4" t="s">
        <v>603</v>
      </c>
      <c r="AOB2" s="4" t="s">
        <v>604</v>
      </c>
      <c r="AOC2" s="4" t="s">
        <v>1629</v>
      </c>
      <c r="AOD2" s="4" t="s">
        <v>187</v>
      </c>
      <c r="AOE2" s="4" t="s">
        <v>598</v>
      </c>
      <c r="AOF2" s="4" t="s">
        <v>179</v>
      </c>
      <c r="AOG2" s="4" t="s">
        <v>1630</v>
      </c>
      <c r="AOH2" s="4" t="s">
        <v>623</v>
      </c>
      <c r="AOI2" s="4" t="s">
        <v>599</v>
      </c>
      <c r="AOJ2" s="4" t="s">
        <v>84</v>
      </c>
      <c r="AOK2" s="4" t="s">
        <v>2339</v>
      </c>
      <c r="AOL2" s="4" t="s">
        <v>1631</v>
      </c>
      <c r="AOM2" s="4" t="s">
        <v>932</v>
      </c>
      <c r="AON2" s="4" t="s">
        <v>1170</v>
      </c>
      <c r="AOO2" s="4" t="s">
        <v>917</v>
      </c>
      <c r="AOP2" s="4" t="s">
        <v>2303</v>
      </c>
      <c r="AOQ2" s="4" t="s">
        <v>1632</v>
      </c>
      <c r="AOR2" s="4" t="s">
        <v>2327</v>
      </c>
      <c r="AOS2" s="4" t="s">
        <v>2328</v>
      </c>
      <c r="AOT2" s="4" t="s">
        <v>1379</v>
      </c>
      <c r="AOU2" s="4" t="s">
        <v>2329</v>
      </c>
      <c r="AOV2" s="4" t="s">
        <v>1634</v>
      </c>
      <c r="AOW2" s="4" t="s">
        <v>1633</v>
      </c>
      <c r="AOX2" s="4" t="s">
        <v>2208</v>
      </c>
      <c r="AOY2" s="4" t="s">
        <v>1105</v>
      </c>
      <c r="AOZ2" s="4" t="s">
        <v>1636</v>
      </c>
      <c r="APA2" s="4" t="s">
        <v>2214</v>
      </c>
      <c r="APB2" s="4" t="s">
        <v>1635</v>
      </c>
      <c r="APC2" s="4" t="s">
        <v>1996</v>
      </c>
      <c r="APD2" s="4" t="s">
        <v>1997</v>
      </c>
      <c r="APE2" s="4" t="s">
        <v>1637</v>
      </c>
      <c r="APF2" s="4" t="s">
        <v>2080</v>
      </c>
      <c r="APG2" s="4" t="s">
        <v>1998</v>
      </c>
      <c r="APH2" s="4" t="s">
        <v>2563</v>
      </c>
      <c r="API2" s="4" t="s">
        <v>879</v>
      </c>
      <c r="APJ2" s="4" t="s">
        <v>2564</v>
      </c>
      <c r="APK2" s="4" t="s">
        <v>1638</v>
      </c>
      <c r="APL2" s="45" t="s">
        <v>1203</v>
      </c>
      <c r="APM2" s="4" t="s">
        <v>940</v>
      </c>
      <c r="APN2" s="4" t="s">
        <v>880</v>
      </c>
      <c r="APO2" s="4" t="s">
        <v>1330</v>
      </c>
      <c r="APP2" s="4" t="s">
        <v>1639</v>
      </c>
      <c r="APQ2" s="4" t="s">
        <v>1999</v>
      </c>
      <c r="APR2" s="4" t="s">
        <v>941</v>
      </c>
      <c r="APS2" s="4" t="s">
        <v>1204</v>
      </c>
      <c r="APT2" s="4" t="s">
        <v>1640</v>
      </c>
      <c r="APU2" s="4" t="s">
        <v>942</v>
      </c>
      <c r="APV2" s="4" t="s">
        <v>666</v>
      </c>
      <c r="APW2" s="4" t="s">
        <v>82</v>
      </c>
      <c r="APX2" s="4" t="s">
        <v>1641</v>
      </c>
      <c r="APY2" s="4" t="s">
        <v>83</v>
      </c>
      <c r="APZ2" s="4" t="s">
        <v>901</v>
      </c>
      <c r="AQA2" s="4" t="s">
        <v>1642</v>
      </c>
      <c r="AQB2" s="4" t="s">
        <v>1095</v>
      </c>
      <c r="AQC2" s="4" t="s">
        <v>1927</v>
      </c>
      <c r="AQD2" s="4" t="s">
        <v>1928</v>
      </c>
      <c r="AQE2" s="4" t="s">
        <v>2450</v>
      </c>
      <c r="AQF2" s="4" t="s">
        <v>1643</v>
      </c>
      <c r="AQG2" s="4" t="s">
        <v>2508</v>
      </c>
      <c r="AQH2" s="4" t="s">
        <v>1964</v>
      </c>
      <c r="AQI2" s="4" t="s">
        <v>2002</v>
      </c>
      <c r="AQJ2" s="4" t="s">
        <v>2003</v>
      </c>
      <c r="AQK2" s="4" t="s">
        <v>2536</v>
      </c>
      <c r="AQL2" s="4" t="s">
        <v>659</v>
      </c>
      <c r="AQM2" s="45" t="s">
        <v>1086</v>
      </c>
      <c r="AQN2" s="4" t="s">
        <v>1644</v>
      </c>
      <c r="AQO2" s="4" t="s">
        <v>1645</v>
      </c>
      <c r="AQP2" s="4" t="s">
        <v>1646</v>
      </c>
      <c r="AQQ2" s="4" t="s">
        <v>2004</v>
      </c>
      <c r="AQR2" s="4" t="s">
        <v>2005</v>
      </c>
      <c r="AQS2" s="4" t="s">
        <v>1649</v>
      </c>
      <c r="AQT2" s="4" t="s">
        <v>1647</v>
      </c>
      <c r="AQU2" s="4" t="s">
        <v>1648</v>
      </c>
      <c r="AQV2" s="4" t="s">
        <v>1648</v>
      </c>
      <c r="AQW2" s="4" t="s">
        <v>1650</v>
      </c>
      <c r="AQX2" s="4" t="s">
        <v>1651</v>
      </c>
      <c r="AQY2" s="4" t="s">
        <v>1076</v>
      </c>
      <c r="AQZ2" s="4" t="s">
        <v>1652</v>
      </c>
      <c r="ARA2" s="4" t="s">
        <v>2088</v>
      </c>
      <c r="ARB2" s="4" t="s">
        <v>1949</v>
      </c>
      <c r="ARC2" s="4" t="s">
        <v>922</v>
      </c>
      <c r="ARD2" s="4" t="s">
        <v>882</v>
      </c>
      <c r="ARE2" s="4" t="s">
        <v>2048</v>
      </c>
      <c r="ARF2" s="4" t="s">
        <v>2020</v>
      </c>
      <c r="ARG2" s="4" t="s">
        <v>2541</v>
      </c>
      <c r="ARH2" s="4" t="s">
        <v>1653</v>
      </c>
      <c r="ARI2" s="4" t="s">
        <v>921</v>
      </c>
      <c r="ARJ2" s="4" t="s">
        <v>1654</v>
      </c>
      <c r="ARK2" s="45" t="s">
        <v>1303</v>
      </c>
      <c r="ARL2" s="4" t="s">
        <v>823</v>
      </c>
      <c r="ARM2" s="4" t="s">
        <v>883</v>
      </c>
      <c r="ARN2" s="4" t="s">
        <v>804</v>
      </c>
      <c r="ARO2" s="4" t="s">
        <v>1655</v>
      </c>
      <c r="ARP2" s="4" t="s">
        <v>1078</v>
      </c>
      <c r="ARQ2" s="4" t="s">
        <v>2021</v>
      </c>
      <c r="ARR2" s="4" t="s">
        <v>1175</v>
      </c>
      <c r="ARS2" s="4" t="s">
        <v>1656</v>
      </c>
      <c r="ART2" s="4" t="s">
        <v>1150</v>
      </c>
      <c r="ARU2" s="4" t="s">
        <v>1176</v>
      </c>
      <c r="ARV2" s="4" t="s">
        <v>890</v>
      </c>
      <c r="ARW2" s="4" t="s">
        <v>1657</v>
      </c>
      <c r="ARX2" s="4" t="s">
        <v>671</v>
      </c>
      <c r="ARY2" s="4" t="s">
        <v>951</v>
      </c>
      <c r="ARZ2" s="4" t="s">
        <v>1151</v>
      </c>
      <c r="ASA2" s="4" t="s">
        <v>1658</v>
      </c>
      <c r="ASB2" s="4" t="s">
        <v>672</v>
      </c>
      <c r="ASC2" s="4" t="s">
        <v>1261</v>
      </c>
      <c r="ASD2" s="4" t="s">
        <v>1659</v>
      </c>
      <c r="ASE2" s="4" t="s">
        <v>1262</v>
      </c>
      <c r="ASF2" s="4" t="s">
        <v>2494</v>
      </c>
      <c r="ASG2" s="45" t="s">
        <v>679</v>
      </c>
      <c r="ASH2" s="4" t="s">
        <v>2592</v>
      </c>
      <c r="ASI2" s="4" t="s">
        <v>1660</v>
      </c>
      <c r="ASJ2" s="4" t="s">
        <v>1127</v>
      </c>
      <c r="ASK2" s="4" t="s">
        <v>2105</v>
      </c>
      <c r="ASL2" s="4" t="s">
        <v>1955</v>
      </c>
      <c r="ASM2" s="4" t="s">
        <v>1242</v>
      </c>
      <c r="ASN2" s="4" t="s">
        <v>1661</v>
      </c>
      <c r="ASO2" s="4" t="s">
        <v>881</v>
      </c>
      <c r="ASP2" s="4" t="s">
        <v>2058</v>
      </c>
      <c r="ASQ2" s="5" t="s">
        <v>2026</v>
      </c>
      <c r="ASR2" s="5" t="s">
        <v>2550</v>
      </c>
      <c r="ASS2" s="5" t="s">
        <v>1662</v>
      </c>
      <c r="AST2" s="5" t="s">
        <v>920</v>
      </c>
      <c r="ASU2" s="5" t="s">
        <v>1663</v>
      </c>
      <c r="ASV2" s="45" t="s">
        <v>1309</v>
      </c>
      <c r="ASW2" s="4" t="s">
        <v>50</v>
      </c>
      <c r="ASX2" s="4" t="s">
        <v>51</v>
      </c>
      <c r="ASY2" s="4" t="s">
        <v>52</v>
      </c>
      <c r="ASZ2" s="4" t="s">
        <v>1664</v>
      </c>
      <c r="ATA2" s="4" t="s">
        <v>53</v>
      </c>
      <c r="ATB2" s="4" t="s">
        <v>1310</v>
      </c>
      <c r="ATC2" s="4" t="s">
        <v>1246</v>
      </c>
      <c r="ATD2" s="4" t="s">
        <v>1665</v>
      </c>
      <c r="ATE2" s="4" t="s">
        <v>624</v>
      </c>
      <c r="ATF2" s="4" t="s">
        <v>1181</v>
      </c>
      <c r="ATG2" s="4" t="s">
        <v>188</v>
      </c>
      <c r="ATH2" s="4" t="s">
        <v>943</v>
      </c>
      <c r="ATI2" s="4" t="s">
        <v>1666</v>
      </c>
      <c r="ATJ2" s="4" t="s">
        <v>76</v>
      </c>
      <c r="ATK2" s="4" t="s">
        <v>1162</v>
      </c>
      <c r="ATL2" s="4" t="s">
        <v>189</v>
      </c>
      <c r="ATM2" s="4" t="s">
        <v>1366</v>
      </c>
      <c r="ATN2" s="4" t="s">
        <v>1669</v>
      </c>
      <c r="ATO2" s="4" t="s">
        <v>1367</v>
      </c>
      <c r="ATP2" s="4" t="s">
        <v>1378</v>
      </c>
      <c r="ATQ2" s="4" t="s">
        <v>664</v>
      </c>
      <c r="ATR2" s="4" t="s">
        <v>1668</v>
      </c>
      <c r="ATS2" s="4" t="s">
        <v>74</v>
      </c>
      <c r="ATT2" s="4" t="s">
        <v>1288</v>
      </c>
      <c r="ATU2" s="4" t="s">
        <v>1929</v>
      </c>
      <c r="ATV2" s="4" t="s">
        <v>2473</v>
      </c>
      <c r="ATW2" s="4" t="s">
        <v>1106</v>
      </c>
      <c r="ATX2" s="4" t="s">
        <v>1667</v>
      </c>
      <c r="ATY2" s="4" t="s">
        <v>626</v>
      </c>
      <c r="ATZ2" s="4" t="s">
        <v>627</v>
      </c>
      <c r="AUA2" s="4" t="s">
        <v>1289</v>
      </c>
      <c r="AUB2" s="4" t="s">
        <v>1670</v>
      </c>
      <c r="AUC2" s="4" t="s">
        <v>1672</v>
      </c>
      <c r="AUD2" s="45" t="s">
        <v>824</v>
      </c>
      <c r="AUE2" s="4" t="s">
        <v>826</v>
      </c>
      <c r="AUF2" s="4" t="s">
        <v>825</v>
      </c>
      <c r="AUG2" s="4" t="s">
        <v>1671</v>
      </c>
      <c r="AUH2" s="5" t="s">
        <v>2100</v>
      </c>
      <c r="AUI2" s="5" t="s">
        <v>2069</v>
      </c>
      <c r="AUJ2" s="5" t="s">
        <v>1673</v>
      </c>
      <c r="AUK2" s="45" t="s">
        <v>1674</v>
      </c>
      <c r="AUL2" s="4" t="s">
        <v>1675</v>
      </c>
      <c r="AUM2" s="4" t="s">
        <v>2070</v>
      </c>
      <c r="AUN2" s="4" t="s">
        <v>2272</v>
      </c>
      <c r="AUO2" s="4" t="s">
        <v>130</v>
      </c>
      <c r="AUP2" s="4" t="s">
        <v>1946</v>
      </c>
      <c r="AUQ2" s="4" t="s">
        <v>71</v>
      </c>
      <c r="AUR2" s="45" t="s">
        <v>1082</v>
      </c>
      <c r="AUS2" s="4" t="s">
        <v>100</v>
      </c>
      <c r="AUT2" s="4" t="s">
        <v>1676</v>
      </c>
      <c r="AUU2" s="4" t="s">
        <v>1219</v>
      </c>
      <c r="AUV2" s="4" t="s">
        <v>1677</v>
      </c>
      <c r="AUW2" s="4" t="s">
        <v>1133</v>
      </c>
      <c r="AUX2" s="4" t="s">
        <v>2098</v>
      </c>
      <c r="AUY2" s="4" t="s">
        <v>1947</v>
      </c>
      <c r="AUZ2" s="4" t="s">
        <v>2065</v>
      </c>
      <c r="AVA2" s="4" t="s">
        <v>2066</v>
      </c>
      <c r="AVB2" s="4" t="s">
        <v>70</v>
      </c>
      <c r="AVC2" s="45" t="s">
        <v>1081</v>
      </c>
      <c r="AVD2" s="4" t="s">
        <v>1263</v>
      </c>
      <c r="AVE2" s="4" t="s">
        <v>1974</v>
      </c>
      <c r="AVF2" s="4" t="s">
        <v>1395</v>
      </c>
      <c r="AVG2" s="4" t="s">
        <v>1134</v>
      </c>
      <c r="AVH2" s="4" t="s">
        <v>1135</v>
      </c>
      <c r="AVI2" s="4" t="s">
        <v>1678</v>
      </c>
      <c r="AVJ2" s="4" t="s">
        <v>1264</v>
      </c>
      <c r="AVK2" s="4" t="s">
        <v>1265</v>
      </c>
      <c r="AVL2" s="4" t="s">
        <v>1679</v>
      </c>
      <c r="AVM2" s="4" t="s">
        <v>1217</v>
      </c>
      <c r="AVN2" s="4" t="s">
        <v>2590</v>
      </c>
      <c r="AVO2" s="4" t="s">
        <v>1680</v>
      </c>
      <c r="AVP2" s="4" t="s">
        <v>1073</v>
      </c>
      <c r="AVQ2" s="4" t="s">
        <v>1681</v>
      </c>
      <c r="AVR2" s="4" t="s">
        <v>2095</v>
      </c>
      <c r="AVS2" s="4" t="s">
        <v>2591</v>
      </c>
      <c r="AVT2" s="4" t="s">
        <v>2059</v>
      </c>
      <c r="AVU2" s="4" t="s">
        <v>2060</v>
      </c>
      <c r="AVV2" s="4" t="s">
        <v>1976</v>
      </c>
      <c r="AVW2" s="45" t="s">
        <v>596</v>
      </c>
      <c r="AVX2" s="4" t="s">
        <v>1682</v>
      </c>
      <c r="AVY2" s="4" t="s">
        <v>629</v>
      </c>
      <c r="AVZ2" s="4" t="s">
        <v>1683</v>
      </c>
      <c r="AWA2" s="4" t="s">
        <v>1079</v>
      </c>
      <c r="AWB2" s="4" t="s">
        <v>1128</v>
      </c>
      <c r="AWC2" s="4" t="s">
        <v>1684</v>
      </c>
      <c r="AWD2" s="4" t="s">
        <v>1129</v>
      </c>
      <c r="AWE2" s="4" t="s">
        <v>1074</v>
      </c>
      <c r="AWF2" s="4" t="s">
        <v>1685</v>
      </c>
      <c r="AWG2" s="4" t="s">
        <v>1373</v>
      </c>
      <c r="AWH2" s="4" t="s">
        <v>1075</v>
      </c>
      <c r="AWI2" s="4" t="s">
        <v>1686</v>
      </c>
      <c r="AWJ2" s="4" t="s">
        <v>1287</v>
      </c>
      <c r="AWK2" s="4" t="s">
        <v>1687</v>
      </c>
      <c r="AWL2" s="4" t="s">
        <v>1688</v>
      </c>
      <c r="AWM2" s="4" t="s">
        <v>1136</v>
      </c>
      <c r="AWN2" s="4" t="s">
        <v>2099</v>
      </c>
      <c r="AWO2" s="4" t="s">
        <v>1948</v>
      </c>
      <c r="AWP2" s="4" t="s">
        <v>2067</v>
      </c>
      <c r="AWQ2" s="4" t="s">
        <v>2068</v>
      </c>
      <c r="AWR2" s="4" t="s">
        <v>574</v>
      </c>
      <c r="AWS2" s="45" t="s">
        <v>1080</v>
      </c>
      <c r="AWT2" s="4" t="s">
        <v>1689</v>
      </c>
      <c r="AWU2" s="4" t="s">
        <v>1973</v>
      </c>
      <c r="AWV2" s="4" t="s">
        <v>1137</v>
      </c>
      <c r="AWW2" s="4" t="s">
        <v>1690</v>
      </c>
      <c r="AWX2" s="4" t="s">
        <v>1259</v>
      </c>
      <c r="AWY2" s="4" t="s">
        <v>1260</v>
      </c>
      <c r="AWZ2" s="4" t="s">
        <v>1691</v>
      </c>
      <c r="AXA2" s="4" t="s">
        <v>1692</v>
      </c>
      <c r="AXB2" s="4" t="s">
        <v>1994</v>
      </c>
      <c r="AXC2" s="4" t="s">
        <v>1995</v>
      </c>
      <c r="AXD2" s="4" t="s">
        <v>807</v>
      </c>
      <c r="AXE2" s="4" t="s">
        <v>2561</v>
      </c>
      <c r="AXF2" s="4" t="s">
        <v>1693</v>
      </c>
      <c r="AXG2" s="45" t="s">
        <v>54</v>
      </c>
      <c r="AXH2" s="4" t="s">
        <v>2562</v>
      </c>
      <c r="AXI2" s="4" t="s">
        <v>2366</v>
      </c>
      <c r="AXJ2" s="4" t="s">
        <v>1324</v>
      </c>
      <c r="AXK2" s="4" t="s">
        <v>105</v>
      </c>
      <c r="AXL2" s="4" t="s">
        <v>1325</v>
      </c>
      <c r="AXM2" s="4" t="s">
        <v>1694</v>
      </c>
      <c r="AXN2" s="4" t="s">
        <v>2205</v>
      </c>
      <c r="AXO2" s="4" t="s">
        <v>662</v>
      </c>
      <c r="AXP2" s="4" t="s">
        <v>1392</v>
      </c>
      <c r="AXQ2" s="4" t="s">
        <v>1695</v>
      </c>
      <c r="AXR2" s="4" t="s">
        <v>2275</v>
      </c>
      <c r="AXS2" s="4" t="s">
        <v>661</v>
      </c>
      <c r="AXT2" s="4" t="s">
        <v>2482</v>
      </c>
      <c r="AXU2" s="4" t="s">
        <v>2483</v>
      </c>
      <c r="AXV2" s="4" t="s">
        <v>1696</v>
      </c>
      <c r="AXW2" s="4" t="s">
        <v>926</v>
      </c>
      <c r="AXX2" s="45" t="s">
        <v>925</v>
      </c>
      <c r="AXY2" s="4" t="s">
        <v>927</v>
      </c>
      <c r="AXZ2" s="45" t="s">
        <v>106</v>
      </c>
      <c r="AYA2" s="4" t="s">
        <v>107</v>
      </c>
      <c r="AYB2" s="4" t="s">
        <v>929</v>
      </c>
      <c r="AYC2" s="45" t="s">
        <v>930</v>
      </c>
      <c r="AYD2" s="4" t="s">
        <v>931</v>
      </c>
      <c r="AYE2" s="4" t="s">
        <v>577</v>
      </c>
      <c r="AYF2" s="45" t="s">
        <v>955</v>
      </c>
      <c r="AYG2" s="4" t="s">
        <v>584</v>
      </c>
      <c r="AYH2" s="4" t="s">
        <v>585</v>
      </c>
      <c r="AYI2" s="4" t="s">
        <v>956</v>
      </c>
      <c r="AYJ2" s="4" t="s">
        <v>957</v>
      </c>
      <c r="AYK2" s="4" t="s">
        <v>586</v>
      </c>
      <c r="AYL2" s="4" t="s">
        <v>958</v>
      </c>
      <c r="AYM2" s="4" t="s">
        <v>1328</v>
      </c>
      <c r="AYN2" s="4" t="s">
        <v>959</v>
      </c>
      <c r="AYO2" s="4" t="s">
        <v>1698</v>
      </c>
      <c r="AYP2" s="45" t="s">
        <v>1697</v>
      </c>
      <c r="AYQ2" s="4" t="s">
        <v>976</v>
      </c>
      <c r="AYR2" s="4" t="s">
        <v>977</v>
      </c>
      <c r="AYS2" s="4" t="s">
        <v>1699</v>
      </c>
      <c r="AYT2" s="4" t="s">
        <v>978</v>
      </c>
      <c r="AYU2" s="4" t="s">
        <v>1700</v>
      </c>
      <c r="AYV2" s="45" t="s">
        <v>967</v>
      </c>
      <c r="AYW2" s="4" t="s">
        <v>968</v>
      </c>
      <c r="AYX2" s="4" t="s">
        <v>969</v>
      </c>
      <c r="AYY2" s="4" t="s">
        <v>972</v>
      </c>
      <c r="AYZ2" s="4" t="s">
        <v>973</v>
      </c>
      <c r="AZA2" s="4" t="s">
        <v>1701</v>
      </c>
      <c r="AZB2" s="4" t="s">
        <v>974</v>
      </c>
      <c r="AZC2" s="4" t="s">
        <v>975</v>
      </c>
      <c r="AZD2" s="4" t="s">
        <v>970</v>
      </c>
      <c r="AZE2" s="45" t="s">
        <v>2346</v>
      </c>
      <c r="AZF2" s="4" t="s">
        <v>583</v>
      </c>
      <c r="AZG2" s="4" t="s">
        <v>971</v>
      </c>
      <c r="AZH2" s="4" t="s">
        <v>1702</v>
      </c>
      <c r="AZI2" s="4" t="s">
        <v>964</v>
      </c>
      <c r="AZJ2" s="45" t="s">
        <v>963</v>
      </c>
      <c r="AZK2" s="4" t="s">
        <v>962</v>
      </c>
      <c r="AZL2" s="4" t="s">
        <v>960</v>
      </c>
      <c r="AZM2" s="4" t="s">
        <v>965</v>
      </c>
      <c r="AZN2" s="4" t="s">
        <v>1703</v>
      </c>
      <c r="AZO2" s="4" t="s">
        <v>961</v>
      </c>
      <c r="AZP2" s="4" t="s">
        <v>966</v>
      </c>
      <c r="AZQ2" s="4" t="s">
        <v>1704</v>
      </c>
      <c r="AZR2" s="4" t="s">
        <v>578</v>
      </c>
      <c r="AZS2" s="45" t="s">
        <v>580</v>
      </c>
      <c r="AZT2" s="4" t="s">
        <v>581</v>
      </c>
      <c r="AZU2" s="4" t="s">
        <v>582</v>
      </c>
      <c r="AZV2" s="4" t="s">
        <v>2505</v>
      </c>
      <c r="AZW2" s="4" t="s">
        <v>1705</v>
      </c>
      <c r="AZX2" s="4" t="s">
        <v>1120</v>
      </c>
      <c r="AZY2" s="4" t="s">
        <v>1212</v>
      </c>
      <c r="AZZ2" s="4" t="s">
        <v>1706</v>
      </c>
      <c r="BAA2" s="4" t="s">
        <v>1121</v>
      </c>
      <c r="BAB2" s="4" t="s">
        <v>2090</v>
      </c>
      <c r="BAC2" s="4" t="s">
        <v>1951</v>
      </c>
      <c r="BAD2" s="4" t="s">
        <v>1707</v>
      </c>
      <c r="BAE2" s="4" t="s">
        <v>868</v>
      </c>
      <c r="BAF2" s="4" t="s">
        <v>2051</v>
      </c>
      <c r="BAG2" s="4" t="s">
        <v>2022</v>
      </c>
      <c r="BAH2" s="4" t="s">
        <v>2542</v>
      </c>
      <c r="BAI2" s="4" t="s">
        <v>1708</v>
      </c>
      <c r="BAJ2" s="4" t="s">
        <v>918</v>
      </c>
      <c r="BAK2" s="4" t="s">
        <v>657</v>
      </c>
      <c r="BAL2" s="45" t="s">
        <v>886</v>
      </c>
      <c r="BAM2" s="4" t="s">
        <v>887</v>
      </c>
      <c r="BAN2" s="4" t="s">
        <v>869</v>
      </c>
      <c r="BAO2" s="4" t="s">
        <v>910</v>
      </c>
      <c r="BAP2" s="4" t="s">
        <v>1709</v>
      </c>
      <c r="BAQ2" s="4" t="s">
        <v>1152</v>
      </c>
      <c r="BAR2" s="4" t="s">
        <v>1305</v>
      </c>
      <c r="BAS2" s="4" t="s">
        <v>1177</v>
      </c>
      <c r="BAT2" s="4" t="s">
        <v>1710</v>
      </c>
      <c r="BAU2" s="4" t="s">
        <v>1153</v>
      </c>
      <c r="BAV2" s="4" t="s">
        <v>1178</v>
      </c>
      <c r="BAW2" s="4" t="s">
        <v>891</v>
      </c>
      <c r="BAX2" s="4" t="s">
        <v>945</v>
      </c>
      <c r="BAY2" s="4" t="s">
        <v>1711</v>
      </c>
      <c r="BAZ2" s="4" t="s">
        <v>1154</v>
      </c>
      <c r="BBA2" s="4" t="s">
        <v>2039</v>
      </c>
      <c r="BBB2" s="4" t="s">
        <v>1361</v>
      </c>
      <c r="BBC2" s="4" t="s">
        <v>1712</v>
      </c>
      <c r="BBD2" s="4" t="s">
        <v>1362</v>
      </c>
      <c r="BBE2" s="4" t="s">
        <v>2271</v>
      </c>
      <c r="BBF2" s="4" t="s">
        <v>2257</v>
      </c>
      <c r="BBG2" s="4" t="s">
        <v>911</v>
      </c>
      <c r="BBH2" s="4" t="s">
        <v>1251</v>
      </c>
      <c r="BBI2" s="4" t="s">
        <v>1713</v>
      </c>
      <c r="BBJ2" s="4" t="s">
        <v>2475</v>
      </c>
      <c r="BBK2" s="4" t="s">
        <v>1098</v>
      </c>
      <c r="BBL2" s="4" t="s">
        <v>1104</v>
      </c>
      <c r="BBM2" s="4" t="s">
        <v>1252</v>
      </c>
      <c r="BBN2" s="4" t="s">
        <v>2496</v>
      </c>
      <c r="BBO2" s="4" t="s">
        <v>1714</v>
      </c>
      <c r="BBP2" s="4" t="s">
        <v>1216</v>
      </c>
      <c r="BBQ2" s="4" t="s">
        <v>1715</v>
      </c>
      <c r="BBR2" s="4" t="s">
        <v>1716</v>
      </c>
      <c r="BBS2" s="4" t="s">
        <v>1122</v>
      </c>
      <c r="BBT2" s="4" t="s">
        <v>2091</v>
      </c>
      <c r="BBU2" s="4" t="s">
        <v>1952</v>
      </c>
      <c r="BBV2" s="4" t="s">
        <v>1931</v>
      </c>
      <c r="BBW2" s="4" t="s">
        <v>2023</v>
      </c>
      <c r="BBX2" s="4" t="s">
        <v>2052</v>
      </c>
      <c r="BBY2" s="4" t="s">
        <v>2053</v>
      </c>
      <c r="BBZ2" s="4" t="s">
        <v>2543</v>
      </c>
      <c r="BCA2" s="4" t="s">
        <v>2126</v>
      </c>
      <c r="BCB2" s="4" t="s">
        <v>2544</v>
      </c>
      <c r="BCC2" s="4" t="s">
        <v>592</v>
      </c>
      <c r="BCD2" s="45" t="s">
        <v>912</v>
      </c>
      <c r="BCE2" s="4" t="s">
        <v>1179</v>
      </c>
      <c r="BCF2" s="4" t="s">
        <v>1972</v>
      </c>
      <c r="BCG2" s="4" t="s">
        <v>1155</v>
      </c>
      <c r="BCH2" s="4" t="s">
        <v>1717</v>
      </c>
      <c r="BCI2" s="4" t="s">
        <v>1245</v>
      </c>
      <c r="BCJ2" s="4" t="s">
        <v>2368</v>
      </c>
      <c r="BCK2" s="4" t="s">
        <v>1123</v>
      </c>
      <c r="BCL2" s="4" t="s">
        <v>1718</v>
      </c>
      <c r="BCM2" s="4" t="s">
        <v>1180</v>
      </c>
      <c r="BCN2" s="4" t="s">
        <v>1156</v>
      </c>
      <c r="BCO2" s="4" t="s">
        <v>1124</v>
      </c>
      <c r="BCP2" s="4" t="s">
        <v>1719</v>
      </c>
      <c r="BCQ2" s="4" t="s">
        <v>1363</v>
      </c>
      <c r="BCR2" s="4" t="s">
        <v>1364</v>
      </c>
      <c r="BCS2" s="4" t="s">
        <v>2261</v>
      </c>
      <c r="BCT2" s="4" t="s">
        <v>1720</v>
      </c>
      <c r="BCU2" s="4" t="s">
        <v>2472</v>
      </c>
      <c r="BCV2" s="4" t="s">
        <v>1283</v>
      </c>
      <c r="BCW2" s="4" t="s">
        <v>1284</v>
      </c>
      <c r="BCX2" s="4" t="s">
        <v>1721</v>
      </c>
      <c r="BCY2" s="4" t="s">
        <v>1722</v>
      </c>
      <c r="BCZ2" s="4" t="s">
        <v>1125</v>
      </c>
      <c r="BDA2" s="4" t="s">
        <v>2092</v>
      </c>
      <c r="BDB2" s="4" t="s">
        <v>1953</v>
      </c>
      <c r="BDC2" s="4" t="s">
        <v>2024</v>
      </c>
      <c r="BDD2" s="4" t="s">
        <v>2054</v>
      </c>
      <c r="BDE2" s="4" t="s">
        <v>2055</v>
      </c>
      <c r="BDF2" s="4" t="s">
        <v>2545</v>
      </c>
      <c r="BDG2" s="4" t="s">
        <v>2127</v>
      </c>
      <c r="BDH2" s="4" t="s">
        <v>2546</v>
      </c>
      <c r="BDI2" s="4" t="s">
        <v>593</v>
      </c>
      <c r="BDJ2" s="45" t="s">
        <v>1157</v>
      </c>
      <c r="BDK2" s="4" t="s">
        <v>979</v>
      </c>
      <c r="BDL2" s="4" t="s">
        <v>980</v>
      </c>
      <c r="BDM2" s="4" t="s">
        <v>1158</v>
      </c>
      <c r="BDN2" s="4" t="s">
        <v>1723</v>
      </c>
      <c r="BDO2" s="4" t="s">
        <v>1306</v>
      </c>
      <c r="BDP2" s="4" t="s">
        <v>2369</v>
      </c>
      <c r="BDQ2" s="4" t="s">
        <v>981</v>
      </c>
      <c r="BDR2" s="4" t="s">
        <v>982</v>
      </c>
      <c r="BDS2" s="4" t="s">
        <v>1724</v>
      </c>
      <c r="BDT2" s="4" t="s">
        <v>983</v>
      </c>
      <c r="BDU2" s="4" t="s">
        <v>984</v>
      </c>
      <c r="BDV2" s="4" t="s">
        <v>1159</v>
      </c>
      <c r="BDW2" s="4" t="s">
        <v>2259</v>
      </c>
      <c r="BDX2" s="4" t="s">
        <v>1725</v>
      </c>
      <c r="BDY2" s="4" t="s">
        <v>1278</v>
      </c>
      <c r="BDZ2" s="4" t="s">
        <v>1279</v>
      </c>
      <c r="BEA2" s="4" t="s">
        <v>1726</v>
      </c>
      <c r="BEB2" s="4" t="s">
        <v>1727</v>
      </c>
      <c r="BEC2" s="4" t="s">
        <v>1126</v>
      </c>
      <c r="BED2" s="4" t="s">
        <v>2093</v>
      </c>
      <c r="BEE2" s="4" t="s">
        <v>1954</v>
      </c>
      <c r="BEF2" s="4" t="s">
        <v>2025</v>
      </c>
      <c r="BEG2" s="4" t="s">
        <v>2056</v>
      </c>
      <c r="BEH2" s="4" t="s">
        <v>2057</v>
      </c>
      <c r="BEI2" s="4" t="s">
        <v>2547</v>
      </c>
      <c r="BEJ2" s="4" t="s">
        <v>2548</v>
      </c>
      <c r="BEK2" s="4" t="s">
        <v>2549</v>
      </c>
      <c r="BEL2" s="4" t="s">
        <v>658</v>
      </c>
      <c r="BEM2" s="45" t="s">
        <v>913</v>
      </c>
      <c r="BEN2" s="4" t="s">
        <v>985</v>
      </c>
      <c r="BEO2" s="4" t="s">
        <v>986</v>
      </c>
      <c r="BEP2" s="4" t="s">
        <v>1160</v>
      </c>
      <c r="BEQ2" s="4" t="s">
        <v>1728</v>
      </c>
      <c r="BER2" s="4" t="s">
        <v>1307</v>
      </c>
      <c r="BES2" s="4" t="s">
        <v>2370</v>
      </c>
      <c r="BET2" s="4" t="s">
        <v>987</v>
      </c>
      <c r="BEU2" s="4" t="s">
        <v>988</v>
      </c>
      <c r="BEV2" s="4" t="s">
        <v>1729</v>
      </c>
      <c r="BEW2" s="4" t="s">
        <v>989</v>
      </c>
      <c r="BEX2" s="4" t="s">
        <v>990</v>
      </c>
      <c r="BEY2" s="4" t="s">
        <v>1161</v>
      </c>
      <c r="BEZ2" s="4" t="s">
        <v>1730</v>
      </c>
      <c r="BFA2" s="4" t="s">
        <v>2260</v>
      </c>
      <c r="BFB2" s="4" t="s">
        <v>1280</v>
      </c>
      <c r="BFC2" s="4" t="s">
        <v>1281</v>
      </c>
      <c r="BFD2" s="4" t="s">
        <v>1282</v>
      </c>
      <c r="BFE2" s="4" t="s">
        <v>1731</v>
      </c>
      <c r="BFF2" s="4" t="s">
        <v>1956</v>
      </c>
      <c r="BFG2" s="4" t="s">
        <v>594</v>
      </c>
      <c r="BFH2" s="45" t="s">
        <v>819</v>
      </c>
      <c r="BFI2" s="4" t="s">
        <v>820</v>
      </c>
      <c r="BFJ2" s="4" t="s">
        <v>633</v>
      </c>
      <c r="BFK2" s="4" t="s">
        <v>634</v>
      </c>
      <c r="BFL2" s="5" t="s">
        <v>635</v>
      </c>
      <c r="BFM2" s="5" t="s">
        <v>648</v>
      </c>
      <c r="BFN2" s="4" t="s">
        <v>647</v>
      </c>
      <c r="BFO2" s="4" t="s">
        <v>636</v>
      </c>
      <c r="BFP2" s="4" t="s">
        <v>637</v>
      </c>
      <c r="BFQ2" s="4" t="s">
        <v>638</v>
      </c>
      <c r="BFR2" s="4" t="s">
        <v>639</v>
      </c>
      <c r="BFS2" s="4" t="s">
        <v>620</v>
      </c>
      <c r="BFT2" s="4" t="s">
        <v>640</v>
      </c>
      <c r="BFU2" s="4" t="s">
        <v>641</v>
      </c>
      <c r="BFV2" s="4" t="s">
        <v>649</v>
      </c>
      <c r="BFW2" s="4" t="s">
        <v>642</v>
      </c>
      <c r="BFX2" s="4" t="s">
        <v>643</v>
      </c>
      <c r="BFY2" s="4" t="s">
        <v>644</v>
      </c>
      <c r="BFZ2" s="4" t="s">
        <v>645</v>
      </c>
      <c r="BGA2" s="4" t="s">
        <v>646</v>
      </c>
      <c r="BGB2" s="4" t="s">
        <v>631</v>
      </c>
      <c r="BGC2" s="4" t="s">
        <v>632</v>
      </c>
      <c r="BGD2" s="4" t="s">
        <v>185</v>
      </c>
      <c r="BGE2" s="4" t="s">
        <v>630</v>
      </c>
      <c r="BGF2" s="4" t="s">
        <v>622</v>
      </c>
      <c r="BGG2" s="4" t="s">
        <v>621</v>
      </c>
      <c r="BGH2" s="4" t="s">
        <v>1957</v>
      </c>
      <c r="BGI2" s="4" t="s">
        <v>1732</v>
      </c>
      <c r="BGJ2" s="4" t="s">
        <v>1984</v>
      </c>
      <c r="BGK2" s="4" t="s">
        <v>1985</v>
      </c>
      <c r="BGL2" s="4" t="s">
        <v>1986</v>
      </c>
      <c r="BGM2" s="4" t="s">
        <v>1335</v>
      </c>
      <c r="BGN2" s="4" t="s">
        <v>2124</v>
      </c>
      <c r="BGO2" s="4" t="s">
        <v>2513</v>
      </c>
      <c r="BGP2" s="4" t="s">
        <v>1099</v>
      </c>
      <c r="BGQ2" s="45" t="s">
        <v>895</v>
      </c>
      <c r="BGR2" s="4" t="s">
        <v>949</v>
      </c>
      <c r="BGS2" s="4" t="s">
        <v>905</v>
      </c>
      <c r="BGT2" s="4" t="s">
        <v>1165</v>
      </c>
      <c r="BGU2" s="4" t="s">
        <v>1733</v>
      </c>
      <c r="BGV2" s="4" t="s">
        <v>866</v>
      </c>
      <c r="BGW2" s="4" t="s">
        <v>1322</v>
      </c>
      <c r="BGX2" s="4" t="s">
        <v>1734</v>
      </c>
      <c r="BGY2" s="4" t="s">
        <v>1197</v>
      </c>
      <c r="BGZ2" s="4" t="s">
        <v>1198</v>
      </c>
      <c r="BHA2" s="4" t="s">
        <v>1199</v>
      </c>
      <c r="BHB2" s="4" t="s">
        <v>1914</v>
      </c>
      <c r="BHC2" s="4" t="s">
        <v>1915</v>
      </c>
      <c r="BHD2" s="4" t="s">
        <v>2566</v>
      </c>
      <c r="BHE2" s="4" t="s">
        <v>950</v>
      </c>
      <c r="BHF2" s="4" t="s">
        <v>1735</v>
      </c>
      <c r="BHG2" s="4" t="s">
        <v>2344</v>
      </c>
      <c r="BHH2" s="4" t="s">
        <v>896</v>
      </c>
      <c r="BHI2" s="4" t="s">
        <v>1096</v>
      </c>
      <c r="BHJ2" s="4" t="s">
        <v>1916</v>
      </c>
      <c r="BHK2" s="4" t="s">
        <v>2467</v>
      </c>
      <c r="BHL2" s="4" t="s">
        <v>1736</v>
      </c>
      <c r="BHM2" s="4" t="s">
        <v>2107</v>
      </c>
      <c r="BHN2" s="4" t="s">
        <v>1958</v>
      </c>
      <c r="BHO2" s="4" t="s">
        <v>1737</v>
      </c>
      <c r="BHP2" s="4" t="s">
        <v>1987</v>
      </c>
      <c r="BHQ2" s="4" t="s">
        <v>1988</v>
      </c>
      <c r="BHR2" s="4" t="s">
        <v>1989</v>
      </c>
      <c r="BHS2" s="4" t="s">
        <v>1334</v>
      </c>
      <c r="BHT2" s="4" t="s">
        <v>2123</v>
      </c>
      <c r="BHU2" s="4" t="s">
        <v>2514</v>
      </c>
      <c r="BHV2" s="4" t="s">
        <v>1743</v>
      </c>
      <c r="BHW2" s="45" t="s">
        <v>897</v>
      </c>
      <c r="BHX2" s="4" t="s">
        <v>1738</v>
      </c>
      <c r="BHY2" s="4" t="s">
        <v>1739</v>
      </c>
      <c r="BHZ2" s="4" t="s">
        <v>1166</v>
      </c>
      <c r="BIA2" s="4" t="s">
        <v>1744</v>
      </c>
      <c r="BIB2" s="4" t="s">
        <v>1740</v>
      </c>
      <c r="BIC2" s="4" t="s">
        <v>1323</v>
      </c>
      <c r="BID2" s="4" t="s">
        <v>1200</v>
      </c>
      <c r="BIE2" s="4" t="s">
        <v>1201</v>
      </c>
      <c r="BIF2" s="4" t="s">
        <v>1741</v>
      </c>
      <c r="BIG2" s="4" t="s">
        <v>1202</v>
      </c>
      <c r="BIH2" s="4" t="s">
        <v>1911</v>
      </c>
      <c r="BII2" s="4" t="s">
        <v>1912</v>
      </c>
      <c r="BIJ2" s="4" t="s">
        <v>2567</v>
      </c>
      <c r="BIK2" s="4" t="s">
        <v>948</v>
      </c>
      <c r="BIL2" s="4" t="s">
        <v>2343</v>
      </c>
      <c r="BIM2" s="4" t="s">
        <v>898</v>
      </c>
      <c r="BIN2" s="4" t="s">
        <v>1913</v>
      </c>
      <c r="BIO2" s="4" t="s">
        <v>2468</v>
      </c>
      <c r="BIP2" s="4" t="s">
        <v>1742</v>
      </c>
      <c r="BIQ2" s="4" t="s">
        <v>2108</v>
      </c>
      <c r="BIR2" s="4" t="s">
        <v>1959</v>
      </c>
      <c r="BIS2" s="4" t="s">
        <v>1990</v>
      </c>
      <c r="BIT2" s="4" t="s">
        <v>1991</v>
      </c>
      <c r="BIU2" s="4" t="s">
        <v>1992</v>
      </c>
      <c r="BIV2" s="4" t="s">
        <v>1346</v>
      </c>
      <c r="BIW2" s="4" t="s">
        <v>2311</v>
      </c>
      <c r="BIX2" s="4" t="s">
        <v>2515</v>
      </c>
      <c r="BIY2" s="4" t="s">
        <v>1336</v>
      </c>
      <c r="BIZ2" s="45" t="s">
        <v>1337</v>
      </c>
      <c r="BJA2" s="4" t="s">
        <v>1338</v>
      </c>
      <c r="BJB2" s="4" t="s">
        <v>1339</v>
      </c>
      <c r="BJC2" s="4" t="s">
        <v>1340</v>
      </c>
      <c r="BJD2" s="4" t="s">
        <v>1745</v>
      </c>
      <c r="BJE2" s="4" t="s">
        <v>1341</v>
      </c>
      <c r="BJF2" s="4" t="s">
        <v>1342</v>
      </c>
      <c r="BJG2" s="4" t="s">
        <v>2690</v>
      </c>
      <c r="BJH2" s="4" t="s">
        <v>1343</v>
      </c>
      <c r="BJI2" s="4" t="s">
        <v>1746</v>
      </c>
      <c r="BJJ2" s="4" t="s">
        <v>2268</v>
      </c>
      <c r="BJK2" s="4" t="s">
        <v>1344</v>
      </c>
      <c r="BJL2" s="4" t="s">
        <v>2345</v>
      </c>
      <c r="BJM2" s="4" t="s">
        <v>1345</v>
      </c>
      <c r="BJN2" s="4" t="s">
        <v>2269</v>
      </c>
      <c r="BJO2" s="4" t="s">
        <v>2469</v>
      </c>
      <c r="BJP2" s="4" t="s">
        <v>1960</v>
      </c>
      <c r="BJQ2" s="4" t="s">
        <v>1993</v>
      </c>
      <c r="BJR2" s="4" t="s">
        <v>2516</v>
      </c>
      <c r="BJS2" s="4" t="s">
        <v>2517</v>
      </c>
      <c r="BJT2" s="4" t="s">
        <v>1747</v>
      </c>
      <c r="BJU2" s="45" t="s">
        <v>1300</v>
      </c>
      <c r="BJV2" s="4" t="s">
        <v>2518</v>
      </c>
      <c r="BJW2" s="4" t="s">
        <v>1748</v>
      </c>
      <c r="BJX2" s="4" t="s">
        <v>1971</v>
      </c>
      <c r="BJY2" s="4" t="s">
        <v>2522</v>
      </c>
      <c r="BJZ2" s="4" t="s">
        <v>2523</v>
      </c>
      <c r="BKA2" s="4" t="s">
        <v>1977</v>
      </c>
      <c r="BKB2" s="45" t="s">
        <v>899</v>
      </c>
      <c r="BKC2" s="4" t="s">
        <v>2131</v>
      </c>
      <c r="BKD2" s="4" t="s">
        <v>900</v>
      </c>
      <c r="BKE2" s="4" t="s">
        <v>2270</v>
      </c>
      <c r="BKF2" s="4" t="s">
        <v>1970</v>
      </c>
      <c r="BKG2" s="4" t="s">
        <v>811</v>
      </c>
      <c r="BKH2" s="45" t="s">
        <v>810</v>
      </c>
      <c r="BKI2" s="4" t="s">
        <v>1749</v>
      </c>
      <c r="BKJ2" s="4" t="s">
        <v>2511</v>
      </c>
      <c r="BKK2" s="4" t="s">
        <v>1380</v>
      </c>
      <c r="BKL2" s="4" t="s">
        <v>1750</v>
      </c>
      <c r="BKM2" s="4" t="s">
        <v>2258</v>
      </c>
      <c r="BKN2" s="4" t="s">
        <v>1381</v>
      </c>
      <c r="BKO2" s="4" t="s">
        <v>2235</v>
      </c>
      <c r="BKP2" s="4" t="s">
        <v>2236</v>
      </c>
      <c r="BKQ2" s="4" t="s">
        <v>2118</v>
      </c>
      <c r="BKR2" s="4" t="s">
        <v>2087</v>
      </c>
      <c r="BKS2" s="4" t="s">
        <v>678</v>
      </c>
      <c r="BKT2" s="45" t="s">
        <v>2119</v>
      </c>
      <c r="BKU2" s="4" t="s">
        <v>1326</v>
      </c>
      <c r="BKV2" s="4" t="s">
        <v>1299</v>
      </c>
      <c r="BKW2" s="4" t="s">
        <v>2676</v>
      </c>
      <c r="BKX2" s="4" t="s">
        <v>2677</v>
      </c>
      <c r="BKY2" s="4" t="s">
        <v>812</v>
      </c>
      <c r="BKZ2" s="4" t="s">
        <v>1751</v>
      </c>
      <c r="BLA2" s="4" t="s">
        <v>190</v>
      </c>
      <c r="BLB2" s="4" t="s">
        <v>191</v>
      </c>
      <c r="BLC2" s="4" t="s">
        <v>192</v>
      </c>
      <c r="BLD2" s="4" t="s">
        <v>114</v>
      </c>
      <c r="BLE2" s="4" t="s">
        <v>602</v>
      </c>
      <c r="BLF2" s="4" t="s">
        <v>587</v>
      </c>
      <c r="BLG2" s="45" t="s">
        <v>576</v>
      </c>
      <c r="BLH2" s="4" t="s">
        <v>115</v>
      </c>
      <c r="BLI2" s="4" t="s">
        <v>116</v>
      </c>
      <c r="BLJ2" s="4" t="s">
        <v>601</v>
      </c>
      <c r="BLK2" s="4" t="s">
        <v>952</v>
      </c>
      <c r="BLL2" s="45" t="s">
        <v>953</v>
      </c>
      <c r="BLM2" s="4" t="s">
        <v>954</v>
      </c>
      <c r="BLN2" s="4" t="s">
        <v>1752</v>
      </c>
      <c r="BLO2" s="4" t="s">
        <v>2509</v>
      </c>
      <c r="BLP2" s="4" t="s">
        <v>1962</v>
      </c>
      <c r="BLQ2" s="4" t="s">
        <v>1982</v>
      </c>
      <c r="BLR2" s="4" t="s">
        <v>2078</v>
      </c>
      <c r="BLS2" s="4" t="s">
        <v>2531</v>
      </c>
      <c r="BLT2" s="4" t="s">
        <v>2128</v>
      </c>
      <c r="BLU2" s="4" t="s">
        <v>2532</v>
      </c>
      <c r="BLV2" s="4" t="s">
        <v>654</v>
      </c>
      <c r="BLW2" s="45" t="s">
        <v>946</v>
      </c>
      <c r="BLX2" s="4" t="s">
        <v>1148</v>
      </c>
      <c r="BLY2" s="4" t="s">
        <v>947</v>
      </c>
      <c r="BLZ2" s="4" t="s">
        <v>1167</v>
      </c>
      <c r="BMA2" s="4" t="s">
        <v>1753</v>
      </c>
      <c r="BMB2" s="4" t="s">
        <v>1311</v>
      </c>
      <c r="BMC2" s="4" t="s">
        <v>1312</v>
      </c>
      <c r="BMD2" s="4" t="s">
        <v>2568</v>
      </c>
      <c r="BME2" s="4" t="s">
        <v>1313</v>
      </c>
      <c r="BMF2" s="4" t="s">
        <v>1754</v>
      </c>
      <c r="BMG2" s="4" t="s">
        <v>1314</v>
      </c>
      <c r="BMH2" s="4" t="s">
        <v>1315</v>
      </c>
      <c r="BMI2" s="4" t="s">
        <v>1316</v>
      </c>
      <c r="BMJ2" s="4" t="s">
        <v>663</v>
      </c>
      <c r="BMK2" s="4" t="s">
        <v>1755</v>
      </c>
      <c r="BML2" s="4" t="s">
        <v>1317</v>
      </c>
      <c r="BMM2" s="4" t="s">
        <v>1318</v>
      </c>
      <c r="BMN2" s="4" t="s">
        <v>2250</v>
      </c>
      <c r="BMO2" s="4" t="s">
        <v>2251</v>
      </c>
      <c r="BMP2" s="4" t="s">
        <v>1756</v>
      </c>
      <c r="BMQ2" s="4" t="s">
        <v>2252</v>
      </c>
      <c r="BMR2" s="4" t="s">
        <v>2533</v>
      </c>
      <c r="BMS2" s="4" t="s">
        <v>2534</v>
      </c>
      <c r="BMT2" s="4" t="s">
        <v>2535</v>
      </c>
      <c r="BMU2" s="4" t="s">
        <v>656</v>
      </c>
      <c r="BMV2" s="45" t="s">
        <v>808</v>
      </c>
      <c r="BMW2" s="4" t="s">
        <v>1757</v>
      </c>
      <c r="BMX2" s="4" t="s">
        <v>1759</v>
      </c>
      <c r="BMY2" s="4" t="s">
        <v>2043</v>
      </c>
      <c r="BMZ2" s="4" t="s">
        <v>1758</v>
      </c>
      <c r="BNA2" s="4" t="s">
        <v>117</v>
      </c>
      <c r="BNB2" s="4" t="s">
        <v>669</v>
      </c>
      <c r="BNC2" s="4" t="s">
        <v>670</v>
      </c>
      <c r="BND2" s="4" t="s">
        <v>1938</v>
      </c>
      <c r="BNE2" s="45" t="s">
        <v>1937</v>
      </c>
      <c r="BNF2" s="4" t="s">
        <v>1941</v>
      </c>
      <c r="BNG2" s="4" t="s">
        <v>2585</v>
      </c>
      <c r="BNH2" s="4" t="s">
        <v>2586</v>
      </c>
      <c r="BNI2" s="4" t="s">
        <v>2587</v>
      </c>
      <c r="BNJ2" s="4" t="s">
        <v>1983</v>
      </c>
      <c r="BNK2" s="4" t="s">
        <v>1940</v>
      </c>
      <c r="BNL2" s="45" t="s">
        <v>1939</v>
      </c>
      <c r="BNM2" s="4" t="s">
        <v>1942</v>
      </c>
      <c r="BNN2" s="4" t="s">
        <v>2042</v>
      </c>
      <c r="BNO2" s="4" t="s">
        <v>118</v>
      </c>
      <c r="BNP2" s="4" t="s">
        <v>2009</v>
      </c>
      <c r="BNQ2" s="4" t="s">
        <v>2519</v>
      </c>
      <c r="BNR2" s="4" t="s">
        <v>2520</v>
      </c>
      <c r="BNS2" s="4" t="s">
        <v>2008</v>
      </c>
      <c r="BNT2" s="45" t="s">
        <v>2007</v>
      </c>
      <c r="BNU2" s="4" t="s">
        <v>2521</v>
      </c>
      <c r="BNV2" s="5" t="s">
        <v>2314</v>
      </c>
      <c r="BNW2" s="46" t="s">
        <v>2313</v>
      </c>
      <c r="BNX2" s="5" t="s">
        <v>119</v>
      </c>
      <c r="BNY2" s="5" t="s">
        <v>655</v>
      </c>
      <c r="BNZ2" s="5" t="s">
        <v>1981</v>
      </c>
      <c r="BOA2" s="5" t="s">
        <v>1980</v>
      </c>
      <c r="BOB2" s="5" t="s">
        <v>650</v>
      </c>
      <c r="BOC2" s="5" t="s">
        <v>652</v>
      </c>
      <c r="BOD2" s="5" t="s">
        <v>653</v>
      </c>
      <c r="BOE2" s="41" t="s">
        <v>62</v>
      </c>
      <c r="BOF2" s="41" t="s">
        <v>608</v>
      </c>
      <c r="BOG2" s="41" t="s">
        <v>612</v>
      </c>
      <c r="BOH2" s="41" t="s">
        <v>573</v>
      </c>
      <c r="BOI2" s="41" t="s">
        <v>611</v>
      </c>
      <c r="BOJ2" s="41" t="s">
        <v>618</v>
      </c>
      <c r="BOK2" s="41" t="s">
        <v>619</v>
      </c>
      <c r="BOL2" s="41" t="s">
        <v>671</v>
      </c>
      <c r="BOM2" s="41" t="s">
        <v>672</v>
      </c>
      <c r="BON2" s="41" t="s">
        <v>613</v>
      </c>
      <c r="BOO2" s="41" t="s">
        <v>610</v>
      </c>
      <c r="BOP2" s="41" t="s">
        <v>656</v>
      </c>
      <c r="BOQ2" s="41" t="s">
        <v>2499</v>
      </c>
      <c r="BOR2" s="41" t="s">
        <v>2576</v>
      </c>
      <c r="BOS2" s="41" t="s">
        <v>609</v>
      </c>
      <c r="BOT2" s="41" t="s">
        <v>2577</v>
      </c>
      <c r="BOU2" s="41" t="s">
        <v>667</v>
      </c>
      <c r="BOV2" s="41" t="s">
        <v>668</v>
      </c>
      <c r="BOW2" s="41" t="s">
        <v>660</v>
      </c>
      <c r="BOX2" s="41" t="s">
        <v>673</v>
      </c>
      <c r="BOY2" s="42" t="s">
        <v>606</v>
      </c>
      <c r="BOZ2" s="42" t="s">
        <v>607</v>
      </c>
      <c r="BPA2" s="41" t="s">
        <v>615</v>
      </c>
      <c r="BPB2" s="41" t="s">
        <v>616</v>
      </c>
      <c r="BPC2" s="41" t="s">
        <v>617</v>
      </c>
      <c r="BPD2" s="41" t="s">
        <v>614</v>
      </c>
      <c r="BPE2" s="11" t="s">
        <v>2</v>
      </c>
      <c r="BPF2" s="11" t="s">
        <v>170</v>
      </c>
      <c r="BPG2" s="11" t="s">
        <v>169</v>
      </c>
      <c r="BPH2" s="11" t="s">
        <v>3</v>
      </c>
      <c r="BPI2" s="11" t="s">
        <v>132</v>
      </c>
      <c r="BPJ2" s="11" t="s">
        <v>259</v>
      </c>
      <c r="BPK2" s="11" t="s">
        <v>245</v>
      </c>
      <c r="BPL2" s="17" t="s">
        <v>401</v>
      </c>
      <c r="BPM2" s="12" t="s">
        <v>400</v>
      </c>
      <c r="BPN2" s="12" t="s">
        <v>1846</v>
      </c>
      <c r="BPO2" s="12" t="s">
        <v>251</v>
      </c>
      <c r="BPP2" s="12" t="s">
        <v>164</v>
      </c>
      <c r="BPQ2" s="12" t="s">
        <v>57</v>
      </c>
      <c r="BPR2" s="12" t="s">
        <v>2436</v>
      </c>
      <c r="BPS2" s="12" t="s">
        <v>56</v>
      </c>
      <c r="BPT2" s="12" t="s">
        <v>346</v>
      </c>
      <c r="BPU2" s="12" t="s">
        <v>348</v>
      </c>
      <c r="BPV2" s="12" t="s">
        <v>533</v>
      </c>
      <c r="BPW2" s="12" t="s">
        <v>2423</v>
      </c>
      <c r="BPX2" s="12" t="s">
        <v>1859</v>
      </c>
      <c r="BPY2" s="12" t="s">
        <v>2420</v>
      </c>
      <c r="BPZ2" s="12" t="s">
        <v>2161</v>
      </c>
      <c r="BQA2" s="12" t="s">
        <v>262</v>
      </c>
      <c r="BQB2" s="12" t="s">
        <v>1792</v>
      </c>
      <c r="BQC2" s="12" t="s">
        <v>167</v>
      </c>
      <c r="BQD2" s="12" t="s">
        <v>234</v>
      </c>
      <c r="BQE2" s="12" t="s">
        <v>773</v>
      </c>
      <c r="BQF2" s="12" t="s">
        <v>842</v>
      </c>
      <c r="BQG2" s="12" t="s">
        <v>2422</v>
      </c>
      <c r="BQH2" s="12" t="s">
        <v>250</v>
      </c>
      <c r="BQI2" s="12" t="s">
        <v>239</v>
      </c>
      <c r="BQJ2" s="12" t="s">
        <v>319</v>
      </c>
      <c r="BQK2" s="12" t="s">
        <v>248</v>
      </c>
      <c r="BQL2" s="12" t="s">
        <v>471</v>
      </c>
      <c r="BQM2" s="12" t="s">
        <v>214</v>
      </c>
      <c r="BQN2" s="12" t="s">
        <v>347</v>
      </c>
      <c r="BQO2" s="12" t="s">
        <v>760</v>
      </c>
      <c r="BQP2" s="12" t="s">
        <v>2162</v>
      </c>
      <c r="BQQ2" s="12" t="s">
        <v>1848</v>
      </c>
      <c r="BQR2" s="12" t="s">
        <v>2183</v>
      </c>
      <c r="BQS2" s="12" t="s">
        <v>1852</v>
      </c>
      <c r="BQT2" s="12" t="s">
        <v>2163</v>
      </c>
      <c r="BQU2" s="12" t="s">
        <v>711</v>
      </c>
      <c r="BQV2" s="12" t="s">
        <v>2165</v>
      </c>
      <c r="BQW2" s="12" t="s">
        <v>1826</v>
      </c>
      <c r="BQX2" s="12" t="s">
        <v>2407</v>
      </c>
      <c r="BQY2" s="12" t="s">
        <v>231</v>
      </c>
      <c r="BQZ2" s="12" t="s">
        <v>753</v>
      </c>
      <c r="BRA2" s="12" t="s">
        <v>442</v>
      </c>
      <c r="BRB2" s="12" t="s">
        <v>1849</v>
      </c>
      <c r="BRC2" s="12" t="s">
        <v>2653</v>
      </c>
      <c r="BRD2" s="12" t="s">
        <v>2428</v>
      </c>
      <c r="BRE2" s="12" t="s">
        <v>2665</v>
      </c>
      <c r="BRF2" s="12" t="s">
        <v>325</v>
      </c>
      <c r="BRG2" s="12" t="s">
        <v>1837</v>
      </c>
      <c r="BRH2" s="12" t="s">
        <v>2427</v>
      </c>
      <c r="BRI2" s="12" t="s">
        <v>2158</v>
      </c>
      <c r="BRJ2" s="12" t="s">
        <v>1855</v>
      </c>
      <c r="BRK2" s="12" t="s">
        <v>263</v>
      </c>
      <c r="BRL2" s="12" t="s">
        <v>320</v>
      </c>
      <c r="BRM2" s="12" t="s">
        <v>2666</v>
      </c>
      <c r="BRN2" s="12" t="s">
        <v>2668</v>
      </c>
      <c r="BRO2" s="12" t="s">
        <v>2671</v>
      </c>
      <c r="BRP2" s="12" t="s">
        <v>1862</v>
      </c>
      <c r="BRQ2" s="12" t="s">
        <v>1863</v>
      </c>
      <c r="BRR2" s="12" t="s">
        <v>566</v>
      </c>
      <c r="BRS2" s="12" t="s">
        <v>2664</v>
      </c>
      <c r="BRT2" s="12" t="s">
        <v>475</v>
      </c>
      <c r="BRU2" s="12" t="s">
        <v>477</v>
      </c>
      <c r="BRV2" s="12" t="s">
        <v>846</v>
      </c>
      <c r="BRW2" s="12" t="s">
        <v>848</v>
      </c>
      <c r="BRX2" s="12" t="s">
        <v>196</v>
      </c>
      <c r="BRY2" s="12" t="s">
        <v>551</v>
      </c>
      <c r="BRZ2" s="12" t="s">
        <v>476</v>
      </c>
      <c r="BSA2" s="12" t="s">
        <v>564</v>
      </c>
      <c r="BSB2" s="12" t="s">
        <v>349</v>
      </c>
      <c r="BSC2" s="12" t="s">
        <v>2404</v>
      </c>
      <c r="BSD2" s="12" t="s">
        <v>2434</v>
      </c>
      <c r="BSE2" s="12" t="s">
        <v>2182</v>
      </c>
      <c r="BSF2" s="12" t="s">
        <v>739</v>
      </c>
      <c r="BSG2" s="12" t="s">
        <v>759</v>
      </c>
      <c r="BSH2" s="12" t="s">
        <v>261</v>
      </c>
      <c r="BSI2" s="12" t="s">
        <v>2418</v>
      </c>
      <c r="BSJ2" s="12" t="s">
        <v>1779</v>
      </c>
      <c r="BSK2" s="12" t="s">
        <v>1776</v>
      </c>
      <c r="BSL2" s="12" t="s">
        <v>2405</v>
      </c>
      <c r="BSM2" s="12" t="s">
        <v>430</v>
      </c>
      <c r="BSN2" s="12" t="s">
        <v>2157</v>
      </c>
      <c r="BSO2" s="12" t="s">
        <v>2652</v>
      </c>
      <c r="BSP2" s="12" t="s">
        <v>778</v>
      </c>
      <c r="BSQ2" s="12" t="s">
        <v>2656</v>
      </c>
      <c r="BSR2" s="12" t="s">
        <v>228</v>
      </c>
      <c r="BSS2" s="12" t="s">
        <v>2190</v>
      </c>
      <c r="BST2" s="12" t="s">
        <v>2189</v>
      </c>
      <c r="BSU2" s="12" t="s">
        <v>246</v>
      </c>
      <c r="BSV2" s="12" t="s">
        <v>2432</v>
      </c>
      <c r="BSW2" s="12" t="s">
        <v>2179</v>
      </c>
      <c r="BSX2" s="12" t="s">
        <v>1838</v>
      </c>
      <c r="BSY2" s="12" t="s">
        <v>2417</v>
      </c>
      <c r="BSZ2" s="12" t="s">
        <v>2186</v>
      </c>
      <c r="BTA2" s="12" t="s">
        <v>249</v>
      </c>
      <c r="BTB2" s="12" t="s">
        <v>688</v>
      </c>
      <c r="BTC2" s="12" t="s">
        <v>461</v>
      </c>
      <c r="BTD2" s="12" t="s">
        <v>1866</v>
      </c>
      <c r="BTE2" s="12" t="s">
        <v>260</v>
      </c>
      <c r="BTF2" s="12" t="s">
        <v>2413</v>
      </c>
      <c r="BTG2" s="12" t="s">
        <v>2663</v>
      </c>
      <c r="BTH2" s="12" t="s">
        <v>227</v>
      </c>
      <c r="BTI2" s="12" t="s">
        <v>2429</v>
      </c>
      <c r="BTJ2" s="12" t="s">
        <v>249</v>
      </c>
      <c r="BTK2" s="12" t="s">
        <v>774</v>
      </c>
      <c r="BTL2" s="12" t="s">
        <v>478</v>
      </c>
      <c r="BTM2" s="12" t="s">
        <v>474</v>
      </c>
      <c r="BTN2" s="12" t="s">
        <v>402</v>
      </c>
      <c r="BTO2" s="12" t="s">
        <v>2659</v>
      </c>
      <c r="BTP2" s="12" t="s">
        <v>1829</v>
      </c>
      <c r="BTQ2" s="12" t="s">
        <v>2443</v>
      </c>
      <c r="BTR2" s="12" t="s">
        <v>2188</v>
      </c>
      <c r="BTS2" s="12" t="s">
        <v>247</v>
      </c>
      <c r="BTT2" s="12" t="s">
        <v>699</v>
      </c>
      <c r="BTU2" s="12" t="s">
        <v>427</v>
      </c>
      <c r="BTV2" s="12" t="s">
        <v>2672</v>
      </c>
      <c r="BTW2" s="12" t="s">
        <v>428</v>
      </c>
      <c r="BTX2" s="12" t="s">
        <v>279</v>
      </c>
      <c r="BTY2" s="12" t="s">
        <v>2675</v>
      </c>
      <c r="BTZ2" s="17" t="s">
        <v>218</v>
      </c>
      <c r="BUA2" s="17" t="s">
        <v>479</v>
      </c>
      <c r="BUB2" s="17" t="s">
        <v>480</v>
      </c>
      <c r="BUC2" s="12" t="s">
        <v>220</v>
      </c>
      <c r="BUD2" s="12" t="s">
        <v>528</v>
      </c>
      <c r="BUE2" s="12" t="s">
        <v>2173</v>
      </c>
      <c r="BUF2" s="17" t="s">
        <v>507</v>
      </c>
      <c r="BUG2" s="17" t="s">
        <v>219</v>
      </c>
      <c r="BUH2" s="17" t="s">
        <v>710</v>
      </c>
      <c r="BUI2" s="12" t="s">
        <v>221</v>
      </c>
      <c r="BUJ2" s="12" t="s">
        <v>413</v>
      </c>
      <c r="BUK2" s="12" t="s">
        <v>275</v>
      </c>
      <c r="BUL2" s="12" t="s">
        <v>447</v>
      </c>
      <c r="BUM2" s="12" t="s">
        <v>503</v>
      </c>
      <c r="BUN2" s="12" t="s">
        <v>1798</v>
      </c>
      <c r="BUO2" s="12" t="s">
        <v>426</v>
      </c>
      <c r="BUP2" s="12" t="s">
        <v>222</v>
      </c>
      <c r="BUQ2" s="12" t="s">
        <v>212</v>
      </c>
      <c r="BUR2" s="12" t="s">
        <v>408</v>
      </c>
      <c r="BUS2" s="12" t="s">
        <v>407</v>
      </c>
      <c r="BUT2" s="12" t="s">
        <v>213</v>
      </c>
      <c r="BUU2" s="12" t="s">
        <v>775</v>
      </c>
      <c r="BUV2" s="12" t="s">
        <v>2406</v>
      </c>
      <c r="BUW2" s="12" t="s">
        <v>2192</v>
      </c>
      <c r="BUX2" s="12" t="s">
        <v>779</v>
      </c>
      <c r="BUY2" s="12" t="s">
        <v>409</v>
      </c>
      <c r="BUZ2" s="12" t="s">
        <v>2649</v>
      </c>
      <c r="BVA2" s="12" t="s">
        <v>2650</v>
      </c>
      <c r="BVB2" s="12" t="s">
        <v>448</v>
      </c>
      <c r="BVC2" s="12" t="s">
        <v>449</v>
      </c>
      <c r="BVD2" s="12" t="s">
        <v>2187</v>
      </c>
      <c r="BVE2" s="12" t="s">
        <v>481</v>
      </c>
      <c r="BVF2" s="12" t="s">
        <v>776</v>
      </c>
      <c r="BVG2" s="12" t="s">
        <v>565</v>
      </c>
      <c r="BVH2" s="12" t="s">
        <v>232</v>
      </c>
      <c r="BVI2" s="12" t="s">
        <v>233</v>
      </c>
      <c r="BVJ2" s="12" t="s">
        <v>1778</v>
      </c>
      <c r="BVK2" s="12" t="s">
        <v>229</v>
      </c>
      <c r="BVL2" s="12" t="s">
        <v>1790</v>
      </c>
      <c r="BVM2" s="12" t="s">
        <v>1793</v>
      </c>
      <c r="BVN2" s="12" t="s">
        <v>2416</v>
      </c>
      <c r="BVO2" s="12" t="s">
        <v>1795</v>
      </c>
      <c r="BVP2" s="12" t="s">
        <v>1800</v>
      </c>
      <c r="BVQ2" s="12" t="s">
        <v>1867</v>
      </c>
      <c r="BVR2" s="12" t="s">
        <v>796</v>
      </c>
      <c r="BVS2" s="12" t="s">
        <v>777</v>
      </c>
      <c r="BVT2" s="12" t="s">
        <v>1777</v>
      </c>
      <c r="BVU2" s="12" t="s">
        <v>1828</v>
      </c>
      <c r="BVV2" s="12" t="s">
        <v>1864</v>
      </c>
      <c r="BVW2" s="12" t="s">
        <v>1854</v>
      </c>
      <c r="BVX2" s="12" t="s">
        <v>252</v>
      </c>
      <c r="BVY2" s="12" t="s">
        <v>849</v>
      </c>
      <c r="BVZ2" s="12" t="s">
        <v>2670</v>
      </c>
      <c r="BWA2" s="12" t="s">
        <v>2673</v>
      </c>
      <c r="BWB2" s="12" t="s">
        <v>845</v>
      </c>
      <c r="BWC2" s="12" t="s">
        <v>786</v>
      </c>
      <c r="BWD2" s="12" t="s">
        <v>524</v>
      </c>
      <c r="BWE2" s="12" t="s">
        <v>769</v>
      </c>
      <c r="BWF2" s="12" t="s">
        <v>847</v>
      </c>
      <c r="BWG2" s="12" t="s">
        <v>2156</v>
      </c>
      <c r="BWH2" s="12" t="s">
        <v>491</v>
      </c>
      <c r="BWI2" s="12" t="s">
        <v>1843</v>
      </c>
      <c r="BWJ2" s="12" t="s">
        <v>785</v>
      </c>
      <c r="BWK2" s="12" t="s">
        <v>264</v>
      </c>
      <c r="BWL2" s="12" t="s">
        <v>2674</v>
      </c>
      <c r="BWM2" s="12" t="s">
        <v>321</v>
      </c>
      <c r="BWN2" s="12" t="s">
        <v>2658</v>
      </c>
      <c r="BWO2" s="12" t="s">
        <v>703</v>
      </c>
      <c r="BWP2" s="12" t="s">
        <v>2669</v>
      </c>
      <c r="BWQ2" s="12" t="s">
        <v>322</v>
      </c>
      <c r="BWR2" s="12" t="s">
        <v>323</v>
      </c>
      <c r="BWS2" s="12" t="s">
        <v>352</v>
      </c>
      <c r="BWT2" s="12" t="s">
        <v>2191</v>
      </c>
      <c r="BWU2" s="12" t="s">
        <v>2194</v>
      </c>
      <c r="BWV2" s="12" t="s">
        <v>429</v>
      </c>
      <c r="BWW2" s="12" t="s">
        <v>2667</v>
      </c>
      <c r="BWX2" s="12" t="s">
        <v>2171</v>
      </c>
      <c r="BWY2" s="12" t="s">
        <v>2180</v>
      </c>
      <c r="BWZ2" s="12" t="s">
        <v>328</v>
      </c>
      <c r="BXA2" s="12" t="s">
        <v>258</v>
      </c>
      <c r="BXB2" s="17" t="s">
        <v>55</v>
      </c>
      <c r="BXC2" s="17" t="s">
        <v>186</v>
      </c>
      <c r="BXD2" s="17" t="s">
        <v>843</v>
      </c>
      <c r="BXE2" s="12" t="s">
        <v>324</v>
      </c>
      <c r="BXF2" s="12" t="s">
        <v>326</v>
      </c>
      <c r="BXG2" s="12" t="s">
        <v>1</v>
      </c>
      <c r="BXH2" s="12" t="s">
        <v>2184</v>
      </c>
      <c r="BXI2" s="12" t="s">
        <v>1775</v>
      </c>
      <c r="BXJ2" s="12" t="s">
        <v>2172</v>
      </c>
      <c r="BXK2" s="12" t="s">
        <v>697</v>
      </c>
      <c r="BXL2" s="12" t="s">
        <v>2419</v>
      </c>
      <c r="BXM2" s="12" t="s">
        <v>790</v>
      </c>
      <c r="BXN2" s="12" t="s">
        <v>2439</v>
      </c>
      <c r="BXO2" s="12" t="s">
        <v>1851</v>
      </c>
      <c r="BXP2" s="12" t="s">
        <v>1789</v>
      </c>
      <c r="BXQ2" s="12" t="s">
        <v>2371</v>
      </c>
      <c r="BXR2" s="12" t="s">
        <v>1850</v>
      </c>
      <c r="BXS2" s="12" t="s">
        <v>195</v>
      </c>
      <c r="BXT2" s="12" t="s">
        <v>2651</v>
      </c>
      <c r="BXU2" s="12" t="s">
        <v>2661</v>
      </c>
      <c r="BXV2" s="12" t="s">
        <v>542</v>
      </c>
      <c r="BXW2" s="12" t="s">
        <v>2181</v>
      </c>
      <c r="BXX2" s="12" t="s">
        <v>278</v>
      </c>
      <c r="BXY2" s="12" t="s">
        <v>1830</v>
      </c>
      <c r="BXZ2" s="12" t="s">
        <v>715</v>
      </c>
      <c r="BYA2" s="12" t="s">
        <v>276</v>
      </c>
      <c r="BYB2" s="12" t="s">
        <v>1827</v>
      </c>
      <c r="BYC2" s="12" t="s">
        <v>567</v>
      </c>
      <c r="BYD2" s="12" t="s">
        <v>702</v>
      </c>
      <c r="BYE2" s="12" t="s">
        <v>2164</v>
      </c>
      <c r="BYF2" s="12" t="s">
        <v>1856</v>
      </c>
      <c r="BYG2" s="12" t="s">
        <v>2444</v>
      </c>
      <c r="BYH2" s="12" t="s">
        <v>2193</v>
      </c>
      <c r="BYI2" s="12" t="s">
        <v>2408</v>
      </c>
      <c r="BYJ2" s="12" t="s">
        <v>2435</v>
      </c>
      <c r="BYK2" s="12" t="s">
        <v>1857</v>
      </c>
      <c r="BYL2" s="12" t="s">
        <v>2657</v>
      </c>
      <c r="BYM2" s="12" t="s">
        <v>2409</v>
      </c>
      <c r="BYN2" s="12" t="s">
        <v>1860</v>
      </c>
      <c r="BYO2" s="12" t="s">
        <v>2654</v>
      </c>
      <c r="BYP2" s="12" t="s">
        <v>2403</v>
      </c>
      <c r="BYQ2" s="29" t="s">
        <v>224</v>
      </c>
      <c r="BYR2" s="13" t="s">
        <v>161</v>
      </c>
      <c r="BYS2" s="13" t="s">
        <v>162</v>
      </c>
      <c r="BYT2" s="13" t="s">
        <v>158</v>
      </c>
      <c r="BYU2" s="13" t="s">
        <v>159</v>
      </c>
      <c r="BYV2" s="13" t="s">
        <v>160</v>
      </c>
      <c r="BYW2" s="13" t="s">
        <v>439</v>
      </c>
      <c r="BYX2" s="13" t="s">
        <v>254</v>
      </c>
      <c r="BYY2" s="13" t="s">
        <v>155</v>
      </c>
      <c r="BYZ2" s="13" t="s">
        <v>230</v>
      </c>
      <c r="BZA2" s="13" t="s">
        <v>156</v>
      </c>
      <c r="BZB2" s="13" t="s">
        <v>368</v>
      </c>
      <c r="BZC2" s="13" t="s">
        <v>371</v>
      </c>
      <c r="BZD2" s="13" t="s">
        <v>224</v>
      </c>
      <c r="BZE2" s="13" t="s">
        <v>161</v>
      </c>
      <c r="BZF2" s="13" t="s">
        <v>162</v>
      </c>
      <c r="BZG2" s="13" t="s">
        <v>158</v>
      </c>
      <c r="BZH2" s="13" t="s">
        <v>159</v>
      </c>
      <c r="BZI2" s="13" t="s">
        <v>160</v>
      </c>
      <c r="BZJ2" s="13" t="s">
        <v>254</v>
      </c>
      <c r="BZK2" s="13" t="s">
        <v>155</v>
      </c>
      <c r="BZL2" s="13" t="s">
        <v>230</v>
      </c>
      <c r="BZM2" s="13" t="s">
        <v>156</v>
      </c>
      <c r="BZN2" s="13" t="s">
        <v>368</v>
      </c>
      <c r="BZO2" s="13" t="s">
        <v>371</v>
      </c>
      <c r="BZP2" s="13" t="s">
        <v>224</v>
      </c>
      <c r="BZQ2" s="13" t="s">
        <v>161</v>
      </c>
      <c r="BZR2" s="13" t="s">
        <v>162</v>
      </c>
      <c r="BZS2" s="13" t="s">
        <v>158</v>
      </c>
      <c r="BZT2" s="13" t="s">
        <v>159</v>
      </c>
      <c r="BZU2" s="13" t="s">
        <v>160</v>
      </c>
      <c r="BZV2" s="13" t="s">
        <v>405</v>
      </c>
      <c r="BZW2" s="13" t="s">
        <v>155</v>
      </c>
      <c r="BZX2" s="13" t="s">
        <v>230</v>
      </c>
      <c r="BZY2" s="13" t="s">
        <v>156</v>
      </c>
      <c r="BZZ2" s="13" t="s">
        <v>368</v>
      </c>
      <c r="CAA2" s="13" t="s">
        <v>371</v>
      </c>
      <c r="CAB2" s="13" t="s">
        <v>224</v>
      </c>
      <c r="CAC2" s="13" t="s">
        <v>161</v>
      </c>
      <c r="CAD2" s="13" t="s">
        <v>162</v>
      </c>
      <c r="CAE2" s="13" t="s">
        <v>158</v>
      </c>
      <c r="CAF2" s="13" t="s">
        <v>159</v>
      </c>
      <c r="CAG2" s="13" t="s">
        <v>160</v>
      </c>
      <c r="CAH2" s="13" t="s">
        <v>155</v>
      </c>
      <c r="CAI2" s="13" t="s">
        <v>230</v>
      </c>
      <c r="CAJ2" s="13" t="s">
        <v>156</v>
      </c>
      <c r="CAK2" s="13" t="s">
        <v>368</v>
      </c>
      <c r="CAL2" s="13" t="s">
        <v>371</v>
      </c>
      <c r="CAM2" s="13" t="s">
        <v>224</v>
      </c>
      <c r="CAN2" s="13" t="s">
        <v>161</v>
      </c>
      <c r="CAO2" s="13" t="s">
        <v>162</v>
      </c>
      <c r="CAP2" s="13" t="s">
        <v>158</v>
      </c>
      <c r="CAQ2" s="13" t="s">
        <v>159</v>
      </c>
      <c r="CAR2" s="13" t="s">
        <v>160</v>
      </c>
      <c r="CAS2" s="13" t="s">
        <v>155</v>
      </c>
      <c r="CAT2" s="13" t="s">
        <v>230</v>
      </c>
      <c r="CAU2" s="13" t="s">
        <v>156</v>
      </c>
      <c r="CAV2" s="13" t="s">
        <v>368</v>
      </c>
      <c r="CAW2" s="13" t="s">
        <v>371</v>
      </c>
      <c r="CAX2" s="13" t="s">
        <v>161</v>
      </c>
      <c r="CAY2" s="13" t="s">
        <v>162</v>
      </c>
      <c r="CAZ2" s="13" t="s">
        <v>158</v>
      </c>
      <c r="CBA2" s="13" t="s">
        <v>159</v>
      </c>
      <c r="CBB2" s="13" t="s">
        <v>160</v>
      </c>
      <c r="CBC2" s="13" t="s">
        <v>155</v>
      </c>
      <c r="CBD2" s="13" t="s">
        <v>230</v>
      </c>
      <c r="CBE2" s="13" t="s">
        <v>156</v>
      </c>
      <c r="CBF2" s="13" t="s">
        <v>368</v>
      </c>
      <c r="CBG2" s="13" t="s">
        <v>371</v>
      </c>
      <c r="CBH2" s="13" t="s">
        <v>224</v>
      </c>
      <c r="CBI2" s="13" t="s">
        <v>161</v>
      </c>
      <c r="CBJ2" s="13" t="s">
        <v>162</v>
      </c>
      <c r="CBK2" s="13" t="s">
        <v>158</v>
      </c>
      <c r="CBL2" s="13" t="s">
        <v>159</v>
      </c>
      <c r="CBM2" s="13" t="s">
        <v>160</v>
      </c>
      <c r="CBN2" s="13" t="s">
        <v>155</v>
      </c>
      <c r="CBO2" s="13" t="s">
        <v>230</v>
      </c>
      <c r="CBP2" s="13" t="s">
        <v>156</v>
      </c>
      <c r="CBQ2" s="13" t="s">
        <v>368</v>
      </c>
      <c r="CBR2" s="13" t="s">
        <v>371</v>
      </c>
      <c r="CBS2" s="13" t="s">
        <v>161</v>
      </c>
      <c r="CBT2" s="13" t="s">
        <v>162</v>
      </c>
      <c r="CBU2" s="13" t="s">
        <v>158</v>
      </c>
      <c r="CBV2" s="13" t="s">
        <v>159</v>
      </c>
      <c r="CBW2" s="13" t="s">
        <v>160</v>
      </c>
      <c r="CBX2" s="13" t="s">
        <v>155</v>
      </c>
      <c r="CBY2" s="13" t="s">
        <v>230</v>
      </c>
      <c r="CBZ2" s="13" t="s">
        <v>156</v>
      </c>
      <c r="CCA2" s="13" t="s">
        <v>368</v>
      </c>
      <c r="CCB2" s="13" t="s">
        <v>371</v>
      </c>
      <c r="CCC2" s="13" t="s">
        <v>161</v>
      </c>
      <c r="CCD2" s="13" t="s">
        <v>162</v>
      </c>
      <c r="CCE2" s="13" t="s">
        <v>158</v>
      </c>
      <c r="CCF2" s="13" t="s">
        <v>159</v>
      </c>
      <c r="CCG2" s="13" t="s">
        <v>160</v>
      </c>
      <c r="CCH2" s="13" t="s">
        <v>155</v>
      </c>
      <c r="CCI2" s="13" t="s">
        <v>230</v>
      </c>
      <c r="CCJ2" s="13" t="s">
        <v>156</v>
      </c>
      <c r="CCK2" s="13" t="s">
        <v>368</v>
      </c>
      <c r="CCL2" s="13" t="s">
        <v>371</v>
      </c>
      <c r="CCM2" s="13" t="s">
        <v>161</v>
      </c>
      <c r="CCN2" s="13" t="s">
        <v>162</v>
      </c>
      <c r="CCO2" s="13" t="s">
        <v>158</v>
      </c>
      <c r="CCP2" s="13" t="s">
        <v>159</v>
      </c>
      <c r="CCQ2" s="13" t="s">
        <v>160</v>
      </c>
      <c r="CCR2" s="13" t="s">
        <v>155</v>
      </c>
      <c r="CCS2" s="13" t="s">
        <v>230</v>
      </c>
      <c r="CCT2" s="13" t="s">
        <v>156</v>
      </c>
      <c r="CCU2" s="13" t="s">
        <v>368</v>
      </c>
      <c r="CCV2" s="13" t="s">
        <v>371</v>
      </c>
      <c r="CCW2" s="13" t="s">
        <v>224</v>
      </c>
      <c r="CCX2" s="13" t="s">
        <v>161</v>
      </c>
      <c r="CCY2" s="13" t="s">
        <v>162</v>
      </c>
      <c r="CCZ2" s="13" t="s">
        <v>158</v>
      </c>
      <c r="CDA2" s="13" t="s">
        <v>159</v>
      </c>
      <c r="CDB2" s="13" t="s">
        <v>160</v>
      </c>
      <c r="CDC2" s="13" t="s">
        <v>155</v>
      </c>
      <c r="CDD2" s="13" t="s">
        <v>230</v>
      </c>
      <c r="CDE2" s="13" t="s">
        <v>156</v>
      </c>
      <c r="CDF2" s="13" t="s">
        <v>368</v>
      </c>
      <c r="CDG2" s="13" t="s">
        <v>371</v>
      </c>
      <c r="CDH2" s="13" t="s">
        <v>224</v>
      </c>
      <c r="CDI2" s="13" t="s">
        <v>161</v>
      </c>
      <c r="CDJ2" s="13" t="s">
        <v>162</v>
      </c>
      <c r="CDK2" s="13" t="s">
        <v>158</v>
      </c>
      <c r="CDL2" s="13" t="s">
        <v>159</v>
      </c>
      <c r="CDM2" s="13" t="s">
        <v>160</v>
      </c>
      <c r="CDN2" s="13" t="s">
        <v>155</v>
      </c>
      <c r="CDO2" s="13" t="s">
        <v>230</v>
      </c>
      <c r="CDP2" s="13" t="s">
        <v>156</v>
      </c>
      <c r="CDQ2" s="13" t="s">
        <v>368</v>
      </c>
      <c r="CDR2" s="13" t="s">
        <v>371</v>
      </c>
      <c r="CDS2" s="13" t="s">
        <v>161</v>
      </c>
      <c r="CDT2" s="13" t="s">
        <v>162</v>
      </c>
      <c r="CDU2" s="13" t="s">
        <v>158</v>
      </c>
      <c r="CDV2" s="13" t="s">
        <v>159</v>
      </c>
      <c r="CDW2" s="13" t="s">
        <v>160</v>
      </c>
      <c r="CDX2" s="13" t="s">
        <v>155</v>
      </c>
      <c r="CDY2" s="13" t="s">
        <v>230</v>
      </c>
      <c r="CDZ2" s="13" t="s">
        <v>156</v>
      </c>
      <c r="CEA2" s="13" t="s">
        <v>368</v>
      </c>
      <c r="CEB2" s="13" t="s">
        <v>371</v>
      </c>
      <c r="CEC2" s="13" t="s">
        <v>224</v>
      </c>
      <c r="CED2" s="13" t="s">
        <v>161</v>
      </c>
      <c r="CEE2" s="13" t="s">
        <v>162</v>
      </c>
      <c r="CEF2" s="13" t="s">
        <v>158</v>
      </c>
      <c r="CEG2" s="13" t="s">
        <v>159</v>
      </c>
      <c r="CEH2" s="13" t="s">
        <v>160</v>
      </c>
      <c r="CEI2" s="13" t="s">
        <v>155</v>
      </c>
      <c r="CEJ2" s="13" t="s">
        <v>230</v>
      </c>
      <c r="CEK2" s="13" t="s">
        <v>156</v>
      </c>
      <c r="CEL2" s="13" t="s">
        <v>368</v>
      </c>
      <c r="CEM2" s="13" t="s">
        <v>371</v>
      </c>
      <c r="CEN2" s="13" t="s">
        <v>161</v>
      </c>
      <c r="CEO2" s="13" t="s">
        <v>162</v>
      </c>
      <c r="CEP2" s="13" t="s">
        <v>158</v>
      </c>
      <c r="CEQ2" s="13" t="s">
        <v>159</v>
      </c>
      <c r="CER2" s="13" t="s">
        <v>1033</v>
      </c>
      <c r="CES2" s="13" t="s">
        <v>160</v>
      </c>
      <c r="CET2" s="13" t="s">
        <v>155</v>
      </c>
      <c r="CEU2" s="13" t="s">
        <v>230</v>
      </c>
      <c r="CEV2" s="13" t="s">
        <v>156</v>
      </c>
      <c r="CEW2" s="13" t="s">
        <v>368</v>
      </c>
      <c r="CEX2" s="13" t="s">
        <v>371</v>
      </c>
      <c r="CEY2" s="13" t="s">
        <v>161</v>
      </c>
      <c r="CEZ2" s="13" t="s">
        <v>162</v>
      </c>
      <c r="CFA2" s="13" t="s">
        <v>158</v>
      </c>
      <c r="CFB2" s="13" t="s">
        <v>159</v>
      </c>
      <c r="CFC2" s="13" t="s">
        <v>242</v>
      </c>
      <c r="CFD2" s="13" t="s">
        <v>160</v>
      </c>
      <c r="CFE2" s="13" t="s">
        <v>155</v>
      </c>
      <c r="CFF2" s="13" t="s">
        <v>230</v>
      </c>
      <c r="CFG2" s="13" t="s">
        <v>156</v>
      </c>
      <c r="CFH2" s="13" t="s">
        <v>368</v>
      </c>
      <c r="CFI2" s="13" t="s">
        <v>371</v>
      </c>
      <c r="CFJ2" s="13" t="s">
        <v>340</v>
      </c>
      <c r="CFK2" s="13" t="s">
        <v>162</v>
      </c>
      <c r="CFL2" s="13" t="s">
        <v>158</v>
      </c>
      <c r="CFM2" s="13" t="s">
        <v>159</v>
      </c>
      <c r="CFN2" s="13" t="s">
        <v>160</v>
      </c>
      <c r="CFO2" s="13" t="s">
        <v>155</v>
      </c>
      <c r="CFP2" s="13" t="s">
        <v>230</v>
      </c>
      <c r="CFQ2" s="13" t="s">
        <v>156</v>
      </c>
      <c r="CFR2" s="13" t="s">
        <v>368</v>
      </c>
      <c r="CFS2" s="13" t="s">
        <v>371</v>
      </c>
      <c r="CFT2" s="13" t="s">
        <v>2629</v>
      </c>
      <c r="CFU2" s="13" t="s">
        <v>162</v>
      </c>
      <c r="CFV2" s="13" t="s">
        <v>158</v>
      </c>
      <c r="CFW2" s="13" t="s">
        <v>159</v>
      </c>
      <c r="CFX2" s="13" t="s">
        <v>160</v>
      </c>
      <c r="CFY2" s="13" t="s">
        <v>155</v>
      </c>
      <c r="CFZ2" s="13" t="s">
        <v>230</v>
      </c>
      <c r="CGA2" s="13" t="s">
        <v>156</v>
      </c>
      <c r="CGB2" s="13" t="s">
        <v>368</v>
      </c>
      <c r="CGC2" s="13" t="s">
        <v>371</v>
      </c>
      <c r="CGD2" s="13" t="s">
        <v>340</v>
      </c>
      <c r="CGE2" s="13" t="s">
        <v>162</v>
      </c>
      <c r="CGF2" s="13" t="s">
        <v>158</v>
      </c>
      <c r="CGG2" s="13" t="s">
        <v>159</v>
      </c>
      <c r="CGH2" s="13" t="s">
        <v>160</v>
      </c>
      <c r="CGI2" s="13" t="s">
        <v>155</v>
      </c>
      <c r="CGJ2" s="13" t="s">
        <v>230</v>
      </c>
      <c r="CGK2" s="13" t="s">
        <v>156</v>
      </c>
      <c r="CGL2" s="13" t="s">
        <v>368</v>
      </c>
      <c r="CGM2" s="13" t="s">
        <v>371</v>
      </c>
      <c r="CGN2" s="13" t="s">
        <v>340</v>
      </c>
      <c r="CGO2" s="13" t="s">
        <v>162</v>
      </c>
      <c r="CGP2" s="13" t="s">
        <v>158</v>
      </c>
      <c r="CGQ2" s="13" t="s">
        <v>159</v>
      </c>
      <c r="CGR2" s="13" t="s">
        <v>160</v>
      </c>
      <c r="CGS2" s="13" t="s">
        <v>155</v>
      </c>
      <c r="CGT2" s="13" t="s">
        <v>230</v>
      </c>
      <c r="CGU2" s="13" t="s">
        <v>156</v>
      </c>
      <c r="CGV2" s="13" t="s">
        <v>368</v>
      </c>
      <c r="CGW2" s="13" t="s">
        <v>371</v>
      </c>
      <c r="CGX2" s="13" t="s">
        <v>161</v>
      </c>
      <c r="CGY2" s="13" t="s">
        <v>162</v>
      </c>
      <c r="CGZ2" s="13" t="s">
        <v>158</v>
      </c>
      <c r="CHA2" s="13" t="s">
        <v>159</v>
      </c>
      <c r="CHB2" s="13" t="s">
        <v>160</v>
      </c>
      <c r="CHC2" s="13" t="s">
        <v>155</v>
      </c>
      <c r="CHD2" s="13" t="s">
        <v>230</v>
      </c>
      <c r="CHE2" s="13" t="s">
        <v>156</v>
      </c>
      <c r="CHF2" s="13" t="s">
        <v>368</v>
      </c>
      <c r="CHG2" s="13" t="s">
        <v>371</v>
      </c>
      <c r="CHH2" s="13" t="s">
        <v>224</v>
      </c>
      <c r="CHI2" s="13" t="s">
        <v>161</v>
      </c>
      <c r="CHJ2" s="13" t="s">
        <v>162</v>
      </c>
      <c r="CHK2" s="13" t="s">
        <v>158</v>
      </c>
      <c r="CHL2" s="13" t="s">
        <v>159</v>
      </c>
      <c r="CHM2" s="13" t="s">
        <v>160</v>
      </c>
      <c r="CHN2" s="13" t="s">
        <v>155</v>
      </c>
      <c r="CHO2" s="13" t="s">
        <v>230</v>
      </c>
      <c r="CHP2" s="13" t="s">
        <v>156</v>
      </c>
      <c r="CHQ2" s="13" t="s">
        <v>368</v>
      </c>
      <c r="CHR2" s="13" t="s">
        <v>371</v>
      </c>
      <c r="CHS2" s="13" t="s">
        <v>161</v>
      </c>
      <c r="CHT2" s="13" t="s">
        <v>162</v>
      </c>
      <c r="CHU2" s="13" t="s">
        <v>158</v>
      </c>
      <c r="CHV2" s="13" t="s">
        <v>159</v>
      </c>
      <c r="CHW2" s="13" t="s">
        <v>160</v>
      </c>
      <c r="CHX2" s="13" t="s">
        <v>155</v>
      </c>
      <c r="CHY2" s="13" t="s">
        <v>230</v>
      </c>
      <c r="CHZ2" s="13" t="s">
        <v>156</v>
      </c>
      <c r="CIA2" s="13" t="s">
        <v>368</v>
      </c>
      <c r="CIB2" s="13" t="s">
        <v>371</v>
      </c>
      <c r="CIC2" s="13" t="s">
        <v>281</v>
      </c>
      <c r="CID2" s="13" t="s">
        <v>162</v>
      </c>
      <c r="CIE2" s="13" t="s">
        <v>158</v>
      </c>
      <c r="CIF2" s="13" t="s">
        <v>159</v>
      </c>
      <c r="CIG2" s="13" t="s">
        <v>160</v>
      </c>
      <c r="CIH2" s="13" t="s">
        <v>155</v>
      </c>
      <c r="CII2" s="13" t="s">
        <v>230</v>
      </c>
      <c r="CIJ2" s="13" t="s">
        <v>156</v>
      </c>
      <c r="CIK2" s="13" t="s">
        <v>368</v>
      </c>
      <c r="CIL2" s="13" t="s">
        <v>371</v>
      </c>
      <c r="CIM2" s="13" t="s">
        <v>161</v>
      </c>
      <c r="CIN2" s="13" t="s">
        <v>162</v>
      </c>
      <c r="CIO2" s="13" t="s">
        <v>158</v>
      </c>
      <c r="CIP2" s="13" t="s">
        <v>159</v>
      </c>
      <c r="CIQ2" s="13" t="s">
        <v>1033</v>
      </c>
      <c r="CIR2" s="13" t="s">
        <v>160</v>
      </c>
      <c r="CIS2" s="13" t="s">
        <v>155</v>
      </c>
      <c r="CIT2" s="13" t="s">
        <v>230</v>
      </c>
      <c r="CIU2" s="13" t="s">
        <v>156</v>
      </c>
      <c r="CIV2" s="13" t="s">
        <v>368</v>
      </c>
      <c r="CIW2" s="13" t="s">
        <v>371</v>
      </c>
      <c r="CIX2" s="13" t="s">
        <v>161</v>
      </c>
      <c r="CIY2" s="13" t="s">
        <v>162</v>
      </c>
      <c r="CIZ2" s="13" t="s">
        <v>158</v>
      </c>
      <c r="CJA2" s="13" t="s">
        <v>159</v>
      </c>
      <c r="CJB2" s="13" t="s">
        <v>160</v>
      </c>
      <c r="CJC2" s="13" t="s">
        <v>155</v>
      </c>
      <c r="CJD2" s="13" t="s">
        <v>230</v>
      </c>
      <c r="CJE2" s="13" t="s">
        <v>156</v>
      </c>
      <c r="CJF2" s="13" t="s">
        <v>368</v>
      </c>
      <c r="CJG2" s="13" t="s">
        <v>371</v>
      </c>
      <c r="CJH2" s="13" t="s">
        <v>161</v>
      </c>
      <c r="CJI2" s="13" t="s">
        <v>162</v>
      </c>
      <c r="CJJ2" s="13" t="s">
        <v>158</v>
      </c>
      <c r="CJK2" s="13" t="s">
        <v>159</v>
      </c>
      <c r="CJL2" s="13" t="s">
        <v>160</v>
      </c>
      <c r="CJM2" s="13" t="s">
        <v>155</v>
      </c>
      <c r="CJN2" s="13" t="s">
        <v>230</v>
      </c>
      <c r="CJO2" s="13" t="s">
        <v>156</v>
      </c>
      <c r="CJP2" s="13" t="s">
        <v>368</v>
      </c>
      <c r="CJQ2" s="13" t="s">
        <v>371</v>
      </c>
      <c r="CJR2" s="13" t="s">
        <v>281</v>
      </c>
      <c r="CJS2" s="13" t="s">
        <v>162</v>
      </c>
      <c r="CJT2" s="13" t="s">
        <v>158</v>
      </c>
      <c r="CJU2" s="13" t="s">
        <v>159</v>
      </c>
      <c r="CJV2" s="13" t="s">
        <v>160</v>
      </c>
      <c r="CJW2" s="13" t="s">
        <v>155</v>
      </c>
      <c r="CJX2" s="13" t="s">
        <v>230</v>
      </c>
      <c r="CJY2" s="13" t="s">
        <v>156</v>
      </c>
      <c r="CJZ2" s="13" t="s">
        <v>368</v>
      </c>
      <c r="CKA2" s="13" t="s">
        <v>371</v>
      </c>
      <c r="CKB2" s="13" t="s">
        <v>161</v>
      </c>
      <c r="CKC2" s="13" t="s">
        <v>162</v>
      </c>
      <c r="CKD2" s="13" t="s">
        <v>158</v>
      </c>
      <c r="CKE2" s="13" t="s">
        <v>159</v>
      </c>
      <c r="CKF2" s="13" t="s">
        <v>160</v>
      </c>
      <c r="CKG2" s="13" t="s">
        <v>155</v>
      </c>
      <c r="CKH2" s="13" t="s">
        <v>230</v>
      </c>
      <c r="CKI2" s="13" t="s">
        <v>156</v>
      </c>
      <c r="CKJ2" s="13" t="s">
        <v>368</v>
      </c>
      <c r="CKK2" s="13" t="s">
        <v>371</v>
      </c>
      <c r="CKL2" s="13" t="s">
        <v>161</v>
      </c>
      <c r="CKM2" s="13" t="s">
        <v>162</v>
      </c>
      <c r="CKN2" s="13" t="s">
        <v>158</v>
      </c>
      <c r="CKO2" s="13" t="s">
        <v>159</v>
      </c>
      <c r="CKP2" s="13" t="s">
        <v>160</v>
      </c>
      <c r="CKQ2" s="13" t="s">
        <v>155</v>
      </c>
      <c r="CKR2" s="13" t="s">
        <v>230</v>
      </c>
      <c r="CKS2" s="13" t="s">
        <v>156</v>
      </c>
      <c r="CKT2" s="13" t="s">
        <v>368</v>
      </c>
      <c r="CKU2" s="13" t="s">
        <v>371</v>
      </c>
      <c r="CKV2" s="13" t="s">
        <v>161</v>
      </c>
      <c r="CKW2" s="13" t="s">
        <v>162</v>
      </c>
      <c r="CKX2" s="13" t="s">
        <v>158</v>
      </c>
      <c r="CKY2" s="13" t="s">
        <v>159</v>
      </c>
      <c r="CKZ2" s="13" t="s">
        <v>160</v>
      </c>
      <c r="CLA2" s="13" t="s">
        <v>155</v>
      </c>
      <c r="CLB2" s="13" t="s">
        <v>230</v>
      </c>
      <c r="CLC2" s="13" t="s">
        <v>156</v>
      </c>
      <c r="CLD2" s="13" t="s">
        <v>368</v>
      </c>
      <c r="CLE2" s="13" t="s">
        <v>371</v>
      </c>
      <c r="CLF2" s="13" t="s">
        <v>161</v>
      </c>
      <c r="CLG2" s="13" t="s">
        <v>162</v>
      </c>
      <c r="CLH2" s="13" t="s">
        <v>158</v>
      </c>
      <c r="CLI2" s="13" t="s">
        <v>159</v>
      </c>
      <c r="CLJ2" s="13" t="s">
        <v>238</v>
      </c>
      <c r="CLK2" s="13" t="s">
        <v>160</v>
      </c>
      <c r="CLL2" s="13" t="s">
        <v>155</v>
      </c>
      <c r="CLM2" s="13" t="s">
        <v>230</v>
      </c>
      <c r="CLN2" s="13" t="s">
        <v>156</v>
      </c>
      <c r="CLO2" s="13" t="s">
        <v>368</v>
      </c>
      <c r="CLP2" s="13" t="s">
        <v>371</v>
      </c>
      <c r="CLQ2" s="13" t="s">
        <v>281</v>
      </c>
      <c r="CLR2" s="13" t="s">
        <v>162</v>
      </c>
      <c r="CLS2" s="13" t="s">
        <v>158</v>
      </c>
      <c r="CLT2" s="13" t="s">
        <v>159</v>
      </c>
      <c r="CLU2" s="13" t="s">
        <v>160</v>
      </c>
      <c r="CLV2" s="13" t="s">
        <v>155</v>
      </c>
      <c r="CLW2" s="13" t="s">
        <v>230</v>
      </c>
      <c r="CLX2" s="13" t="s">
        <v>156</v>
      </c>
      <c r="CLY2" s="13" t="s">
        <v>368</v>
      </c>
      <c r="CLZ2" s="13" t="s">
        <v>371</v>
      </c>
      <c r="CMA2" s="13" t="s">
        <v>161</v>
      </c>
      <c r="CMB2" s="13" t="s">
        <v>162</v>
      </c>
      <c r="CMC2" s="13" t="s">
        <v>158</v>
      </c>
      <c r="CMD2" s="13" t="s">
        <v>159</v>
      </c>
      <c r="CME2" s="13" t="s">
        <v>160</v>
      </c>
      <c r="CMF2" s="13" t="s">
        <v>155</v>
      </c>
      <c r="CMG2" s="13" t="s">
        <v>230</v>
      </c>
      <c r="CMH2" s="13" t="s">
        <v>156</v>
      </c>
      <c r="CMI2" s="13" t="s">
        <v>368</v>
      </c>
      <c r="CMJ2" s="13" t="s">
        <v>371</v>
      </c>
      <c r="CMK2" s="13" t="s">
        <v>161</v>
      </c>
      <c r="CML2" s="13" t="s">
        <v>162</v>
      </c>
      <c r="CMM2" s="13" t="s">
        <v>158</v>
      </c>
      <c r="CMN2" s="13" t="s">
        <v>159</v>
      </c>
      <c r="CMO2" s="13" t="s">
        <v>160</v>
      </c>
      <c r="CMP2" s="13" t="s">
        <v>155</v>
      </c>
      <c r="CMQ2" s="13" t="s">
        <v>230</v>
      </c>
      <c r="CMR2" s="13" t="s">
        <v>156</v>
      </c>
      <c r="CMS2" s="13" t="s">
        <v>368</v>
      </c>
      <c r="CMT2" s="13" t="s">
        <v>371</v>
      </c>
      <c r="CMU2" s="13" t="s">
        <v>161</v>
      </c>
      <c r="CMV2" s="13" t="s">
        <v>162</v>
      </c>
      <c r="CMW2" s="13" t="s">
        <v>158</v>
      </c>
      <c r="CMX2" s="13" t="s">
        <v>159</v>
      </c>
      <c r="CMY2" s="13" t="s">
        <v>160</v>
      </c>
      <c r="CMZ2" s="13" t="s">
        <v>155</v>
      </c>
      <c r="CNA2" s="13" t="s">
        <v>230</v>
      </c>
      <c r="CNB2" s="13" t="s">
        <v>156</v>
      </c>
      <c r="CNC2" s="13" t="s">
        <v>368</v>
      </c>
      <c r="CND2" s="13" t="s">
        <v>371</v>
      </c>
      <c r="CNE2" s="13" t="s">
        <v>161</v>
      </c>
      <c r="CNF2" s="13" t="s">
        <v>162</v>
      </c>
      <c r="CNG2" s="13" t="s">
        <v>158</v>
      </c>
      <c r="CNH2" s="13" t="s">
        <v>159</v>
      </c>
      <c r="CNI2" s="13" t="s">
        <v>160</v>
      </c>
      <c r="CNJ2" s="13" t="s">
        <v>155</v>
      </c>
      <c r="CNK2" s="13" t="s">
        <v>230</v>
      </c>
      <c r="CNL2" s="13" t="s">
        <v>156</v>
      </c>
      <c r="CNM2" s="13" t="s">
        <v>368</v>
      </c>
      <c r="CNN2" s="13" t="s">
        <v>371</v>
      </c>
      <c r="CNO2" s="13" t="s">
        <v>161</v>
      </c>
      <c r="CNP2" s="13" t="s">
        <v>162</v>
      </c>
      <c r="CNQ2" s="13" t="s">
        <v>158</v>
      </c>
      <c r="CNR2" s="13" t="s">
        <v>159</v>
      </c>
      <c r="CNS2" s="13" t="s">
        <v>160</v>
      </c>
      <c r="CNT2" s="13" t="s">
        <v>155</v>
      </c>
      <c r="CNU2" s="13" t="s">
        <v>230</v>
      </c>
      <c r="CNV2" s="13" t="s">
        <v>156</v>
      </c>
      <c r="CNW2" s="13" t="s">
        <v>368</v>
      </c>
      <c r="CNX2" s="13" t="s">
        <v>371</v>
      </c>
      <c r="CNY2" s="13" t="s">
        <v>161</v>
      </c>
      <c r="CNZ2" s="13" t="s">
        <v>162</v>
      </c>
      <c r="COA2" s="13" t="s">
        <v>158</v>
      </c>
      <c r="COB2" s="13" t="s">
        <v>159</v>
      </c>
      <c r="COC2" s="13" t="s">
        <v>160</v>
      </c>
      <c r="COD2" s="13" t="s">
        <v>155</v>
      </c>
      <c r="COE2" s="13" t="s">
        <v>230</v>
      </c>
      <c r="COF2" s="13" t="s">
        <v>156</v>
      </c>
      <c r="COG2" s="13" t="s">
        <v>368</v>
      </c>
      <c r="COH2" s="13" t="s">
        <v>371</v>
      </c>
      <c r="COI2" s="13" t="s">
        <v>224</v>
      </c>
      <c r="COJ2" s="13" t="s">
        <v>161</v>
      </c>
      <c r="COK2" s="13" t="s">
        <v>162</v>
      </c>
      <c r="COL2" s="13" t="s">
        <v>158</v>
      </c>
      <c r="COM2" s="13" t="s">
        <v>159</v>
      </c>
      <c r="CON2" s="13" t="s">
        <v>160</v>
      </c>
      <c r="COO2" s="13" t="s">
        <v>155</v>
      </c>
      <c r="COP2" s="13" t="s">
        <v>230</v>
      </c>
      <c r="COQ2" s="13" t="s">
        <v>156</v>
      </c>
      <c r="COR2" s="13" t="s">
        <v>368</v>
      </c>
      <c r="COS2" s="13" t="s">
        <v>371</v>
      </c>
      <c r="COT2" s="13" t="s">
        <v>161</v>
      </c>
      <c r="COU2" s="13" t="s">
        <v>162</v>
      </c>
      <c r="COV2" s="13" t="s">
        <v>158</v>
      </c>
      <c r="COW2" s="13" t="s">
        <v>159</v>
      </c>
      <c r="COX2" s="13" t="s">
        <v>160</v>
      </c>
      <c r="COY2" s="13" t="s">
        <v>155</v>
      </c>
      <c r="COZ2" s="13" t="s">
        <v>230</v>
      </c>
      <c r="CPA2" s="13" t="s">
        <v>156</v>
      </c>
      <c r="CPB2" s="13" t="s">
        <v>368</v>
      </c>
      <c r="CPC2" s="13" t="s">
        <v>371</v>
      </c>
      <c r="CPD2" s="13" t="s">
        <v>161</v>
      </c>
      <c r="CPE2" s="13" t="s">
        <v>162</v>
      </c>
      <c r="CPF2" s="13" t="s">
        <v>158</v>
      </c>
      <c r="CPG2" s="13" t="s">
        <v>159</v>
      </c>
      <c r="CPH2" s="13" t="s">
        <v>160</v>
      </c>
      <c r="CPI2" s="13" t="s">
        <v>155</v>
      </c>
      <c r="CPJ2" s="13" t="s">
        <v>230</v>
      </c>
      <c r="CPK2" s="13" t="s">
        <v>156</v>
      </c>
      <c r="CPL2" s="13" t="s">
        <v>368</v>
      </c>
      <c r="CPM2" s="13" t="s">
        <v>371</v>
      </c>
      <c r="CPN2" s="13" t="s">
        <v>161</v>
      </c>
      <c r="CPO2" s="13" t="s">
        <v>162</v>
      </c>
      <c r="CPP2" s="13" t="s">
        <v>158</v>
      </c>
      <c r="CPQ2" s="13" t="s">
        <v>159</v>
      </c>
      <c r="CPR2" s="13" t="s">
        <v>160</v>
      </c>
      <c r="CPS2" s="13" t="s">
        <v>155</v>
      </c>
      <c r="CPT2" s="13" t="s">
        <v>230</v>
      </c>
      <c r="CPU2" s="13" t="s">
        <v>156</v>
      </c>
      <c r="CPV2" s="13" t="s">
        <v>368</v>
      </c>
      <c r="CPW2" s="13" t="s">
        <v>371</v>
      </c>
      <c r="CPX2" s="13" t="s">
        <v>161</v>
      </c>
      <c r="CPY2" s="13" t="s">
        <v>162</v>
      </c>
      <c r="CPZ2" s="13" t="s">
        <v>158</v>
      </c>
      <c r="CQA2" s="13" t="s">
        <v>159</v>
      </c>
      <c r="CQB2" s="13" t="s">
        <v>160</v>
      </c>
      <c r="CQC2" s="13" t="s">
        <v>155</v>
      </c>
      <c r="CQD2" s="13" t="s">
        <v>230</v>
      </c>
      <c r="CQE2" s="13" t="s">
        <v>156</v>
      </c>
      <c r="CQF2" s="13" t="s">
        <v>368</v>
      </c>
      <c r="CQG2" s="13" t="s">
        <v>371</v>
      </c>
      <c r="CQH2" s="13" t="s">
        <v>161</v>
      </c>
      <c r="CQI2" s="13" t="s">
        <v>162</v>
      </c>
      <c r="CQJ2" s="13" t="s">
        <v>158</v>
      </c>
      <c r="CQK2" s="13" t="s">
        <v>159</v>
      </c>
      <c r="CQL2" s="13" t="s">
        <v>160</v>
      </c>
      <c r="CQM2" s="13" t="s">
        <v>155</v>
      </c>
      <c r="CQN2" s="13" t="s">
        <v>230</v>
      </c>
      <c r="CQO2" s="13" t="s">
        <v>156</v>
      </c>
      <c r="CQP2" s="13" t="s">
        <v>368</v>
      </c>
      <c r="CQQ2" s="13" t="s">
        <v>371</v>
      </c>
      <c r="CQR2" s="13" t="s">
        <v>161</v>
      </c>
      <c r="CQS2" s="13" t="s">
        <v>162</v>
      </c>
      <c r="CQT2" s="13" t="s">
        <v>158</v>
      </c>
      <c r="CQU2" s="13" t="s">
        <v>159</v>
      </c>
      <c r="CQV2" s="13" t="s">
        <v>160</v>
      </c>
      <c r="CQW2" s="13" t="s">
        <v>155</v>
      </c>
      <c r="CQX2" s="13" t="s">
        <v>230</v>
      </c>
      <c r="CQY2" s="13" t="s">
        <v>156</v>
      </c>
      <c r="CQZ2" s="13" t="s">
        <v>368</v>
      </c>
      <c r="CRA2" s="13" t="s">
        <v>371</v>
      </c>
      <c r="CRB2" s="13" t="s">
        <v>161</v>
      </c>
      <c r="CRC2" s="13" t="s">
        <v>162</v>
      </c>
      <c r="CRD2" s="13" t="s">
        <v>158</v>
      </c>
      <c r="CRE2" s="13" t="s">
        <v>159</v>
      </c>
      <c r="CRF2" s="13" t="s">
        <v>160</v>
      </c>
      <c r="CRG2" s="13" t="s">
        <v>155</v>
      </c>
      <c r="CRH2" s="13" t="s">
        <v>230</v>
      </c>
      <c r="CRI2" s="13" t="s">
        <v>156</v>
      </c>
      <c r="CRJ2" s="13" t="s">
        <v>368</v>
      </c>
      <c r="CRK2" s="13" t="s">
        <v>371</v>
      </c>
      <c r="CRL2" s="13" t="s">
        <v>161</v>
      </c>
      <c r="CRM2" s="13" t="s">
        <v>162</v>
      </c>
      <c r="CRN2" s="13" t="s">
        <v>158</v>
      </c>
      <c r="CRO2" s="13" t="s">
        <v>159</v>
      </c>
      <c r="CRP2" s="13" t="s">
        <v>160</v>
      </c>
      <c r="CRQ2" s="13" t="s">
        <v>155</v>
      </c>
      <c r="CRR2" s="13" t="s">
        <v>230</v>
      </c>
      <c r="CRS2" s="13" t="s">
        <v>156</v>
      </c>
      <c r="CRT2" s="13" t="s">
        <v>368</v>
      </c>
      <c r="CRU2" s="13" t="s">
        <v>371</v>
      </c>
      <c r="CRV2" s="13" t="s">
        <v>161</v>
      </c>
      <c r="CRW2" s="13" t="s">
        <v>162</v>
      </c>
      <c r="CRX2" s="13" t="s">
        <v>158</v>
      </c>
      <c r="CRY2" s="13" t="s">
        <v>159</v>
      </c>
      <c r="CRZ2" s="13" t="s">
        <v>160</v>
      </c>
      <c r="CSA2" s="13" t="s">
        <v>155</v>
      </c>
      <c r="CSB2" s="13" t="s">
        <v>230</v>
      </c>
      <c r="CSC2" s="13" t="s">
        <v>156</v>
      </c>
      <c r="CSD2" s="13" t="s">
        <v>368</v>
      </c>
      <c r="CSE2" s="13" t="s">
        <v>371</v>
      </c>
      <c r="CSF2" s="13" t="s">
        <v>161</v>
      </c>
      <c r="CSG2" s="13" t="s">
        <v>162</v>
      </c>
      <c r="CSH2" s="13" t="s">
        <v>158</v>
      </c>
      <c r="CSI2" s="13" t="s">
        <v>159</v>
      </c>
      <c r="CSJ2" s="13" t="s">
        <v>160</v>
      </c>
      <c r="CSK2" s="13" t="s">
        <v>155</v>
      </c>
      <c r="CSL2" s="13" t="s">
        <v>230</v>
      </c>
      <c r="CSM2" s="13" t="s">
        <v>156</v>
      </c>
      <c r="CSN2" s="13" t="s">
        <v>368</v>
      </c>
      <c r="CSO2" s="13" t="s">
        <v>371</v>
      </c>
      <c r="CSP2" s="13" t="s">
        <v>161</v>
      </c>
      <c r="CSQ2" s="13" t="s">
        <v>162</v>
      </c>
      <c r="CSR2" s="13" t="s">
        <v>158</v>
      </c>
      <c r="CSS2" s="13" t="s">
        <v>159</v>
      </c>
      <c r="CST2" s="13" t="s">
        <v>160</v>
      </c>
      <c r="CSU2" s="13" t="s">
        <v>155</v>
      </c>
      <c r="CSV2" s="13" t="s">
        <v>230</v>
      </c>
      <c r="CSW2" s="13" t="s">
        <v>156</v>
      </c>
      <c r="CSX2" s="13" t="s">
        <v>368</v>
      </c>
      <c r="CSY2" s="13" t="s">
        <v>371</v>
      </c>
      <c r="CSZ2" s="13" t="s">
        <v>161</v>
      </c>
      <c r="CTA2" s="13" t="s">
        <v>162</v>
      </c>
      <c r="CTB2" s="13" t="s">
        <v>158</v>
      </c>
      <c r="CTC2" s="13" t="s">
        <v>159</v>
      </c>
      <c r="CTD2" s="13" t="s">
        <v>160</v>
      </c>
      <c r="CTE2" s="13" t="s">
        <v>485</v>
      </c>
      <c r="CTF2" s="13" t="s">
        <v>155</v>
      </c>
      <c r="CTG2" s="13" t="s">
        <v>230</v>
      </c>
      <c r="CTH2" s="13" t="s">
        <v>156</v>
      </c>
      <c r="CTI2" s="13" t="s">
        <v>368</v>
      </c>
      <c r="CTJ2" s="13" t="s">
        <v>371</v>
      </c>
      <c r="CTK2" s="13" t="s">
        <v>224</v>
      </c>
      <c r="CTL2" s="13" t="s">
        <v>161</v>
      </c>
      <c r="CTM2" s="13" t="s">
        <v>162</v>
      </c>
      <c r="CTN2" s="13" t="s">
        <v>158</v>
      </c>
      <c r="CTO2" s="13" t="s">
        <v>159</v>
      </c>
      <c r="CTP2" s="13" t="s">
        <v>160</v>
      </c>
      <c r="CTQ2" s="13" t="s">
        <v>155</v>
      </c>
      <c r="CTR2" s="13" t="s">
        <v>230</v>
      </c>
      <c r="CTS2" s="13" t="s">
        <v>156</v>
      </c>
      <c r="CTT2" s="13" t="s">
        <v>368</v>
      </c>
      <c r="CTU2" s="13" t="s">
        <v>371</v>
      </c>
      <c r="CTV2" s="13" t="s">
        <v>161</v>
      </c>
      <c r="CTW2" s="13" t="s">
        <v>162</v>
      </c>
      <c r="CTX2" s="13" t="s">
        <v>158</v>
      </c>
      <c r="CTY2" s="13" t="s">
        <v>159</v>
      </c>
      <c r="CTZ2" s="13" t="s">
        <v>160</v>
      </c>
      <c r="CUA2" s="13" t="s">
        <v>155</v>
      </c>
      <c r="CUB2" s="13" t="s">
        <v>230</v>
      </c>
      <c r="CUC2" s="13" t="s">
        <v>156</v>
      </c>
      <c r="CUD2" s="13" t="s">
        <v>368</v>
      </c>
      <c r="CUE2" s="13" t="s">
        <v>371</v>
      </c>
      <c r="CUF2" s="13" t="s">
        <v>161</v>
      </c>
      <c r="CUG2" s="13" t="s">
        <v>162</v>
      </c>
      <c r="CUH2" s="13" t="s">
        <v>158</v>
      </c>
      <c r="CUI2" s="13" t="s">
        <v>159</v>
      </c>
      <c r="CUJ2" s="13" t="s">
        <v>160</v>
      </c>
      <c r="CUK2" s="13" t="s">
        <v>155</v>
      </c>
      <c r="CUL2" s="13" t="s">
        <v>230</v>
      </c>
      <c r="CUM2" s="13" t="s">
        <v>156</v>
      </c>
      <c r="CUN2" s="13" t="s">
        <v>368</v>
      </c>
      <c r="CUO2" s="13" t="s">
        <v>371</v>
      </c>
      <c r="CUP2" s="13" t="s">
        <v>161</v>
      </c>
      <c r="CUQ2" s="13" t="s">
        <v>162</v>
      </c>
      <c r="CUR2" s="13" t="s">
        <v>158</v>
      </c>
      <c r="CUS2" s="13" t="s">
        <v>159</v>
      </c>
      <c r="CUT2" s="13" t="s">
        <v>160</v>
      </c>
      <c r="CUU2" s="13" t="s">
        <v>155</v>
      </c>
      <c r="CUV2" s="13" t="s">
        <v>230</v>
      </c>
      <c r="CUW2" s="13" t="s">
        <v>156</v>
      </c>
      <c r="CUX2" s="13" t="s">
        <v>368</v>
      </c>
      <c r="CUY2" s="13" t="s">
        <v>371</v>
      </c>
      <c r="CUZ2" s="13" t="s">
        <v>161</v>
      </c>
      <c r="CVA2" s="13" t="s">
        <v>162</v>
      </c>
      <c r="CVB2" s="13" t="s">
        <v>158</v>
      </c>
      <c r="CVC2" s="13" t="s">
        <v>159</v>
      </c>
      <c r="CVD2" s="13" t="s">
        <v>160</v>
      </c>
      <c r="CVE2" s="13" t="s">
        <v>155</v>
      </c>
      <c r="CVF2" s="13" t="s">
        <v>230</v>
      </c>
      <c r="CVG2" s="13" t="s">
        <v>156</v>
      </c>
      <c r="CVH2" s="13" t="s">
        <v>368</v>
      </c>
      <c r="CVI2" s="13" t="s">
        <v>371</v>
      </c>
      <c r="CVJ2" s="13" t="s">
        <v>161</v>
      </c>
      <c r="CVK2" s="13" t="s">
        <v>162</v>
      </c>
      <c r="CVL2" s="13" t="s">
        <v>158</v>
      </c>
      <c r="CVM2" s="13" t="s">
        <v>159</v>
      </c>
      <c r="CVN2" s="13" t="s">
        <v>160</v>
      </c>
      <c r="CVO2" s="13" t="s">
        <v>155</v>
      </c>
      <c r="CVP2" s="13" t="s">
        <v>230</v>
      </c>
      <c r="CVQ2" s="13" t="s">
        <v>156</v>
      </c>
      <c r="CVR2" s="13" t="s">
        <v>368</v>
      </c>
      <c r="CVS2" s="13" t="s">
        <v>371</v>
      </c>
      <c r="CVT2" s="13" t="s">
        <v>161</v>
      </c>
      <c r="CVU2" s="13" t="s">
        <v>162</v>
      </c>
      <c r="CVV2" s="13" t="s">
        <v>158</v>
      </c>
      <c r="CVW2" s="13" t="s">
        <v>159</v>
      </c>
      <c r="CVX2" s="13" t="s">
        <v>160</v>
      </c>
      <c r="CVY2" s="13" t="s">
        <v>155</v>
      </c>
      <c r="CVZ2" s="13" t="s">
        <v>230</v>
      </c>
      <c r="CWA2" s="13" t="s">
        <v>156</v>
      </c>
      <c r="CWB2" s="13" t="s">
        <v>368</v>
      </c>
      <c r="CWC2" s="13" t="s">
        <v>371</v>
      </c>
      <c r="CWD2" s="13" t="s">
        <v>161</v>
      </c>
      <c r="CWE2" s="13" t="s">
        <v>162</v>
      </c>
      <c r="CWF2" s="13" t="s">
        <v>158</v>
      </c>
      <c r="CWG2" s="13" t="s">
        <v>159</v>
      </c>
      <c r="CWH2" s="13" t="s">
        <v>160</v>
      </c>
      <c r="CWI2" s="13" t="s">
        <v>155</v>
      </c>
      <c r="CWJ2" s="13" t="s">
        <v>230</v>
      </c>
      <c r="CWK2" s="13" t="s">
        <v>156</v>
      </c>
      <c r="CWL2" s="13" t="s">
        <v>368</v>
      </c>
      <c r="CWM2" s="13" t="s">
        <v>371</v>
      </c>
      <c r="CWN2" s="13" t="s">
        <v>224</v>
      </c>
      <c r="CWO2" s="13" t="s">
        <v>161</v>
      </c>
      <c r="CWP2" s="13" t="s">
        <v>162</v>
      </c>
      <c r="CWQ2" s="13" t="s">
        <v>158</v>
      </c>
      <c r="CWR2" s="13" t="s">
        <v>159</v>
      </c>
      <c r="CWS2" s="13" t="s">
        <v>160</v>
      </c>
      <c r="CWT2" s="13" t="s">
        <v>155</v>
      </c>
      <c r="CWU2" s="13" t="s">
        <v>230</v>
      </c>
      <c r="CWV2" s="13" t="s">
        <v>156</v>
      </c>
      <c r="CWW2" s="13" t="s">
        <v>368</v>
      </c>
      <c r="CWX2" s="13" t="s">
        <v>371</v>
      </c>
      <c r="CWY2" s="13" t="s">
        <v>224</v>
      </c>
      <c r="CWZ2" s="13" t="s">
        <v>161</v>
      </c>
      <c r="CXA2" s="13" t="s">
        <v>162</v>
      </c>
      <c r="CXB2" s="13" t="s">
        <v>158</v>
      </c>
      <c r="CXC2" s="13" t="s">
        <v>159</v>
      </c>
      <c r="CXD2" s="13" t="s">
        <v>160</v>
      </c>
      <c r="CXE2" s="13" t="s">
        <v>155</v>
      </c>
      <c r="CXF2" s="13" t="s">
        <v>230</v>
      </c>
      <c r="CXG2" s="13" t="s">
        <v>156</v>
      </c>
      <c r="CXH2" s="13" t="s">
        <v>368</v>
      </c>
      <c r="CXI2" s="13" t="s">
        <v>371</v>
      </c>
      <c r="CXJ2" s="13" t="s">
        <v>224</v>
      </c>
      <c r="CXK2" s="13" t="s">
        <v>161</v>
      </c>
      <c r="CXL2" s="13" t="s">
        <v>162</v>
      </c>
      <c r="CXM2" s="13" t="s">
        <v>158</v>
      </c>
      <c r="CXN2" s="13" t="s">
        <v>159</v>
      </c>
      <c r="CXO2" s="13" t="s">
        <v>160</v>
      </c>
      <c r="CXP2" s="13" t="s">
        <v>155</v>
      </c>
      <c r="CXQ2" s="13" t="s">
        <v>230</v>
      </c>
      <c r="CXR2" s="13" t="s">
        <v>156</v>
      </c>
      <c r="CXS2" s="13" t="s">
        <v>368</v>
      </c>
      <c r="CXT2" s="13" t="s">
        <v>371</v>
      </c>
      <c r="CXU2" s="13" t="s">
        <v>161</v>
      </c>
      <c r="CXV2" s="13" t="s">
        <v>162</v>
      </c>
      <c r="CXW2" s="13" t="s">
        <v>158</v>
      </c>
      <c r="CXX2" s="13" t="s">
        <v>159</v>
      </c>
      <c r="CXY2" s="13" t="s">
        <v>160</v>
      </c>
      <c r="CXZ2" s="13" t="s">
        <v>155</v>
      </c>
      <c r="CYA2" s="13" t="s">
        <v>230</v>
      </c>
      <c r="CYB2" s="13" t="s">
        <v>156</v>
      </c>
      <c r="CYC2" s="13" t="s">
        <v>368</v>
      </c>
      <c r="CYD2" s="13" t="s">
        <v>371</v>
      </c>
      <c r="CYE2" s="13" t="s">
        <v>161</v>
      </c>
      <c r="CYF2" s="13" t="s">
        <v>162</v>
      </c>
      <c r="CYG2" s="13" t="s">
        <v>158</v>
      </c>
      <c r="CYH2" s="13" t="s">
        <v>159</v>
      </c>
      <c r="CYI2" s="13" t="s">
        <v>160</v>
      </c>
      <c r="CYJ2" s="13" t="s">
        <v>155</v>
      </c>
      <c r="CYK2" s="13" t="s">
        <v>230</v>
      </c>
      <c r="CYL2" s="13" t="s">
        <v>156</v>
      </c>
      <c r="CYM2" s="13" t="s">
        <v>368</v>
      </c>
      <c r="CYN2" s="13" t="s">
        <v>371</v>
      </c>
      <c r="CYO2" s="13" t="s">
        <v>161</v>
      </c>
      <c r="CYP2" s="13" t="s">
        <v>162</v>
      </c>
      <c r="CYQ2" s="13" t="s">
        <v>158</v>
      </c>
      <c r="CYR2" s="13" t="s">
        <v>159</v>
      </c>
      <c r="CYS2" s="13" t="s">
        <v>160</v>
      </c>
      <c r="CYT2" s="13" t="s">
        <v>155</v>
      </c>
      <c r="CYU2" s="13" t="s">
        <v>230</v>
      </c>
      <c r="CYV2" s="13" t="s">
        <v>156</v>
      </c>
      <c r="CYW2" s="13" t="s">
        <v>368</v>
      </c>
      <c r="CYX2" s="13" t="s">
        <v>371</v>
      </c>
      <c r="CYY2" s="13" t="s">
        <v>161</v>
      </c>
      <c r="CYZ2" s="13" t="s">
        <v>162</v>
      </c>
      <c r="CZA2" s="13" t="s">
        <v>158</v>
      </c>
      <c r="CZB2" s="13" t="s">
        <v>159</v>
      </c>
      <c r="CZC2" s="13" t="s">
        <v>160</v>
      </c>
      <c r="CZD2" s="13" t="s">
        <v>155</v>
      </c>
      <c r="CZE2" s="13" t="s">
        <v>230</v>
      </c>
      <c r="CZF2" s="13" t="s">
        <v>156</v>
      </c>
      <c r="CZG2" s="13" t="s">
        <v>368</v>
      </c>
      <c r="CZH2" s="13" t="s">
        <v>371</v>
      </c>
      <c r="CZI2" s="13" t="s">
        <v>224</v>
      </c>
      <c r="CZJ2" s="13" t="s">
        <v>161</v>
      </c>
      <c r="CZK2" s="13" t="s">
        <v>162</v>
      </c>
      <c r="CZL2" s="13" t="s">
        <v>158</v>
      </c>
      <c r="CZM2" s="13" t="s">
        <v>159</v>
      </c>
      <c r="CZN2" s="13" t="s">
        <v>160</v>
      </c>
      <c r="CZO2" s="13" t="s">
        <v>155</v>
      </c>
      <c r="CZP2" s="13" t="s">
        <v>230</v>
      </c>
      <c r="CZQ2" s="13" t="s">
        <v>156</v>
      </c>
      <c r="CZR2" s="13" t="s">
        <v>368</v>
      </c>
      <c r="CZS2" s="13" t="s">
        <v>371</v>
      </c>
      <c r="CZT2" s="13" t="s">
        <v>161</v>
      </c>
      <c r="CZU2" s="13" t="s">
        <v>162</v>
      </c>
      <c r="CZV2" s="13" t="s">
        <v>158</v>
      </c>
      <c r="CZW2" s="13" t="s">
        <v>159</v>
      </c>
      <c r="CZX2" s="13" t="s">
        <v>160</v>
      </c>
      <c r="CZY2" s="13" t="s">
        <v>155</v>
      </c>
      <c r="CZZ2" s="13" t="s">
        <v>230</v>
      </c>
      <c r="DAA2" s="13" t="s">
        <v>156</v>
      </c>
      <c r="DAB2" s="13" t="s">
        <v>368</v>
      </c>
      <c r="DAC2" s="13" t="s">
        <v>371</v>
      </c>
      <c r="DAD2" s="13" t="s">
        <v>161</v>
      </c>
      <c r="DAE2" s="13" t="s">
        <v>162</v>
      </c>
      <c r="DAF2" s="13" t="s">
        <v>158</v>
      </c>
      <c r="DAG2" s="13" t="s">
        <v>159</v>
      </c>
      <c r="DAH2" s="13" t="s">
        <v>160</v>
      </c>
      <c r="DAI2" s="13" t="s">
        <v>439</v>
      </c>
      <c r="DAJ2" s="13" t="s">
        <v>155</v>
      </c>
      <c r="DAK2" s="13" t="s">
        <v>230</v>
      </c>
      <c r="DAL2" s="13" t="s">
        <v>156</v>
      </c>
      <c r="DAM2" s="13" t="s">
        <v>368</v>
      </c>
      <c r="DAN2" s="13" t="s">
        <v>371</v>
      </c>
      <c r="DAO2" s="13" t="s">
        <v>161</v>
      </c>
      <c r="DAP2" s="13" t="s">
        <v>162</v>
      </c>
      <c r="DAQ2" s="13" t="s">
        <v>158</v>
      </c>
      <c r="DAR2" s="13" t="s">
        <v>159</v>
      </c>
      <c r="DAS2" s="13" t="s">
        <v>160</v>
      </c>
      <c r="DAT2" s="13" t="s">
        <v>155</v>
      </c>
      <c r="DAU2" s="13" t="s">
        <v>230</v>
      </c>
      <c r="DAV2" s="13" t="s">
        <v>156</v>
      </c>
      <c r="DAW2" s="13" t="s">
        <v>368</v>
      </c>
      <c r="DAX2" s="13" t="s">
        <v>371</v>
      </c>
      <c r="DAY2" s="13" t="s">
        <v>161</v>
      </c>
      <c r="DAZ2" s="13" t="s">
        <v>162</v>
      </c>
      <c r="DBA2" s="13" t="s">
        <v>158</v>
      </c>
      <c r="DBB2" s="13" t="s">
        <v>159</v>
      </c>
      <c r="DBC2" s="13" t="s">
        <v>160</v>
      </c>
      <c r="DBD2" s="13" t="s">
        <v>155</v>
      </c>
      <c r="DBE2" s="13" t="s">
        <v>230</v>
      </c>
      <c r="DBF2" s="13" t="s">
        <v>156</v>
      </c>
      <c r="DBG2" s="13" t="s">
        <v>368</v>
      </c>
      <c r="DBH2" s="13" t="s">
        <v>371</v>
      </c>
      <c r="DBI2" s="13" t="s">
        <v>375</v>
      </c>
      <c r="DBJ2" s="13" t="s">
        <v>162</v>
      </c>
      <c r="DBK2" s="13" t="s">
        <v>158</v>
      </c>
      <c r="DBL2" s="13" t="s">
        <v>159</v>
      </c>
      <c r="DBM2" s="13" t="s">
        <v>160</v>
      </c>
      <c r="DBN2" s="13" t="s">
        <v>155</v>
      </c>
      <c r="DBO2" s="13" t="s">
        <v>230</v>
      </c>
      <c r="DBP2" s="13" t="s">
        <v>156</v>
      </c>
      <c r="DBQ2" s="13" t="s">
        <v>368</v>
      </c>
      <c r="DBR2" s="13" t="s">
        <v>371</v>
      </c>
      <c r="DBS2" s="13" t="s">
        <v>161</v>
      </c>
      <c r="DBT2" s="13" t="s">
        <v>162</v>
      </c>
      <c r="DBU2" s="13" t="s">
        <v>158</v>
      </c>
      <c r="DBV2" s="13" t="s">
        <v>159</v>
      </c>
      <c r="DBW2" s="13" t="s">
        <v>160</v>
      </c>
      <c r="DBX2" s="13" t="s">
        <v>155</v>
      </c>
      <c r="DBY2" s="13" t="s">
        <v>230</v>
      </c>
      <c r="DBZ2" s="13" t="s">
        <v>156</v>
      </c>
      <c r="DCA2" s="13" t="s">
        <v>368</v>
      </c>
      <c r="DCB2" s="13" t="s">
        <v>371</v>
      </c>
      <c r="DCC2" s="13" t="s">
        <v>161</v>
      </c>
      <c r="DCD2" s="13" t="s">
        <v>162</v>
      </c>
      <c r="DCE2" s="13" t="s">
        <v>158</v>
      </c>
      <c r="DCF2" s="13" t="s">
        <v>159</v>
      </c>
      <c r="DCG2" s="13" t="s">
        <v>1766</v>
      </c>
      <c r="DCH2" s="13" t="s">
        <v>155</v>
      </c>
      <c r="DCI2" s="13" t="s">
        <v>230</v>
      </c>
      <c r="DCJ2" s="13" t="s">
        <v>156</v>
      </c>
      <c r="DCK2" s="13" t="s">
        <v>368</v>
      </c>
      <c r="DCL2" s="13" t="s">
        <v>371</v>
      </c>
      <c r="DCM2" s="13" t="s">
        <v>161</v>
      </c>
      <c r="DCN2" s="13" t="s">
        <v>162</v>
      </c>
      <c r="DCO2" s="13" t="s">
        <v>158</v>
      </c>
      <c r="DCP2" s="13" t="s">
        <v>159</v>
      </c>
      <c r="DCQ2" s="13" t="s">
        <v>160</v>
      </c>
      <c r="DCR2" s="13" t="s">
        <v>2155</v>
      </c>
      <c r="DCS2" s="13" t="s">
        <v>155</v>
      </c>
      <c r="DCT2" s="13" t="s">
        <v>230</v>
      </c>
      <c r="DCU2" s="13" t="s">
        <v>156</v>
      </c>
      <c r="DCV2" s="13" t="s">
        <v>368</v>
      </c>
      <c r="DCW2" s="13" t="s">
        <v>371</v>
      </c>
      <c r="DCX2" s="13" t="s">
        <v>224</v>
      </c>
      <c r="DCY2" s="13" t="s">
        <v>161</v>
      </c>
      <c r="DCZ2" s="13" t="s">
        <v>162</v>
      </c>
      <c r="DDA2" s="13" t="s">
        <v>158</v>
      </c>
      <c r="DDB2" s="13" t="s">
        <v>159</v>
      </c>
      <c r="DDC2" s="13" t="s">
        <v>160</v>
      </c>
      <c r="DDD2" s="13" t="s">
        <v>155</v>
      </c>
      <c r="DDE2" s="13" t="s">
        <v>230</v>
      </c>
      <c r="DDF2" s="13" t="s">
        <v>156</v>
      </c>
      <c r="DDG2" s="13" t="s">
        <v>368</v>
      </c>
      <c r="DDH2" s="13" t="s">
        <v>371</v>
      </c>
      <c r="DDI2" s="13" t="s">
        <v>224</v>
      </c>
      <c r="DDJ2" s="13" t="s">
        <v>161</v>
      </c>
      <c r="DDK2" s="13" t="s">
        <v>162</v>
      </c>
      <c r="DDL2" s="13" t="s">
        <v>158</v>
      </c>
      <c r="DDM2" s="13" t="s">
        <v>159</v>
      </c>
      <c r="DDN2" s="13" t="s">
        <v>160</v>
      </c>
      <c r="DDO2" s="13" t="s">
        <v>155</v>
      </c>
      <c r="DDP2" s="13" t="s">
        <v>230</v>
      </c>
      <c r="DDQ2" s="13" t="s">
        <v>156</v>
      </c>
      <c r="DDR2" s="13" t="s">
        <v>368</v>
      </c>
      <c r="DDS2" s="13" t="s">
        <v>371</v>
      </c>
      <c r="DDT2" s="13" t="s">
        <v>161</v>
      </c>
      <c r="DDU2" s="13" t="s">
        <v>162</v>
      </c>
      <c r="DDV2" s="13" t="s">
        <v>158</v>
      </c>
      <c r="DDW2" s="13" t="s">
        <v>159</v>
      </c>
      <c r="DDX2" s="13" t="s">
        <v>160</v>
      </c>
      <c r="DDY2" s="13" t="s">
        <v>155</v>
      </c>
      <c r="DDZ2" s="13" t="s">
        <v>230</v>
      </c>
      <c r="DEA2" s="13" t="s">
        <v>156</v>
      </c>
      <c r="DEB2" s="13" t="s">
        <v>368</v>
      </c>
      <c r="DEC2" s="13" t="s">
        <v>371</v>
      </c>
      <c r="DED2" s="13" t="s">
        <v>377</v>
      </c>
      <c r="DEE2" s="13" t="s">
        <v>162</v>
      </c>
      <c r="DEF2" s="13" t="s">
        <v>158</v>
      </c>
      <c r="DEG2" s="13" t="s">
        <v>159</v>
      </c>
      <c r="DEH2" s="13" t="s">
        <v>160</v>
      </c>
      <c r="DEI2" s="13" t="s">
        <v>155</v>
      </c>
      <c r="DEJ2" s="13" t="s">
        <v>230</v>
      </c>
      <c r="DEK2" s="13" t="s">
        <v>156</v>
      </c>
      <c r="DEL2" s="13" t="s">
        <v>368</v>
      </c>
      <c r="DEM2" s="13" t="s">
        <v>371</v>
      </c>
      <c r="DEN2" s="13" t="s">
        <v>161</v>
      </c>
      <c r="DEO2" s="13" t="s">
        <v>162</v>
      </c>
      <c r="DEP2" s="13" t="s">
        <v>158</v>
      </c>
      <c r="DEQ2" s="13" t="s">
        <v>159</v>
      </c>
      <c r="DER2" s="13" t="s">
        <v>160</v>
      </c>
      <c r="DES2" s="13" t="s">
        <v>155</v>
      </c>
      <c r="DET2" s="13" t="s">
        <v>230</v>
      </c>
      <c r="DEU2" s="13" t="s">
        <v>156</v>
      </c>
      <c r="DEV2" s="13" t="s">
        <v>368</v>
      </c>
      <c r="DEW2" s="13" t="s">
        <v>371</v>
      </c>
      <c r="DEX2" s="13" t="s">
        <v>161</v>
      </c>
      <c r="DEY2" s="13" t="s">
        <v>162</v>
      </c>
      <c r="DEZ2" s="13" t="s">
        <v>158</v>
      </c>
      <c r="DFA2" s="13" t="s">
        <v>159</v>
      </c>
      <c r="DFB2" s="13" t="s">
        <v>160</v>
      </c>
      <c r="DFC2" s="13" t="s">
        <v>155</v>
      </c>
      <c r="DFD2" s="13" t="s">
        <v>230</v>
      </c>
      <c r="DFE2" s="13" t="s">
        <v>156</v>
      </c>
      <c r="DFF2" s="13" t="s">
        <v>368</v>
      </c>
      <c r="DFG2" s="13" t="s">
        <v>371</v>
      </c>
      <c r="DFH2" s="13" t="s">
        <v>161</v>
      </c>
      <c r="DFI2" s="13" t="s">
        <v>162</v>
      </c>
      <c r="DFJ2" s="13" t="s">
        <v>158</v>
      </c>
      <c r="DFK2" s="13" t="s">
        <v>159</v>
      </c>
      <c r="DFL2" s="13" t="s">
        <v>160</v>
      </c>
      <c r="DFM2" s="13" t="s">
        <v>155</v>
      </c>
      <c r="DFN2" s="13" t="s">
        <v>230</v>
      </c>
      <c r="DFO2" s="13" t="s">
        <v>156</v>
      </c>
      <c r="DFP2" s="13" t="s">
        <v>368</v>
      </c>
      <c r="DFQ2" s="13" t="s">
        <v>371</v>
      </c>
      <c r="DFR2" s="13" t="s">
        <v>369</v>
      </c>
      <c r="DFS2" s="13" t="s">
        <v>162</v>
      </c>
      <c r="DFT2" s="13" t="s">
        <v>158</v>
      </c>
      <c r="DFU2" s="13" t="s">
        <v>159</v>
      </c>
      <c r="DFV2" s="13" t="s">
        <v>160</v>
      </c>
      <c r="DFW2" s="13" t="s">
        <v>155</v>
      </c>
      <c r="DFX2" s="13" t="s">
        <v>230</v>
      </c>
      <c r="DFY2" s="13" t="s">
        <v>156</v>
      </c>
      <c r="DFZ2" s="13" t="s">
        <v>368</v>
      </c>
      <c r="DGA2" s="13" t="s">
        <v>371</v>
      </c>
      <c r="DGB2" s="13" t="s">
        <v>369</v>
      </c>
      <c r="DGC2" s="13" t="s">
        <v>162</v>
      </c>
      <c r="DGD2" s="13" t="s">
        <v>158</v>
      </c>
      <c r="DGE2" s="13" t="s">
        <v>159</v>
      </c>
      <c r="DGF2" s="13" t="s">
        <v>160</v>
      </c>
      <c r="DGG2" s="13" t="s">
        <v>155</v>
      </c>
      <c r="DGH2" s="13" t="s">
        <v>230</v>
      </c>
      <c r="DGI2" s="13" t="s">
        <v>156</v>
      </c>
      <c r="DGJ2" s="13" t="s">
        <v>368</v>
      </c>
      <c r="DGK2" s="13" t="s">
        <v>371</v>
      </c>
      <c r="DGL2" s="13" t="s">
        <v>161</v>
      </c>
      <c r="DGM2" s="13" t="s">
        <v>162</v>
      </c>
      <c r="DGN2" s="13" t="s">
        <v>158</v>
      </c>
      <c r="DGO2" s="13" t="s">
        <v>159</v>
      </c>
      <c r="DGP2" s="13" t="s">
        <v>160</v>
      </c>
      <c r="DGQ2" s="13" t="s">
        <v>155</v>
      </c>
      <c r="DGR2" s="13" t="s">
        <v>230</v>
      </c>
      <c r="DGS2" s="13" t="s">
        <v>156</v>
      </c>
      <c r="DGT2" s="13" t="s">
        <v>368</v>
      </c>
      <c r="DGU2" s="13" t="s">
        <v>371</v>
      </c>
      <c r="DGV2" s="13" t="s">
        <v>161</v>
      </c>
      <c r="DGW2" s="13" t="s">
        <v>162</v>
      </c>
      <c r="DGX2" s="13" t="s">
        <v>158</v>
      </c>
      <c r="DGY2" s="13" t="s">
        <v>159</v>
      </c>
      <c r="DGZ2" s="13" t="s">
        <v>160</v>
      </c>
      <c r="DHA2" s="13" t="s">
        <v>155</v>
      </c>
      <c r="DHB2" s="13" t="s">
        <v>230</v>
      </c>
      <c r="DHC2" s="13" t="s">
        <v>156</v>
      </c>
      <c r="DHD2" s="13" t="s">
        <v>368</v>
      </c>
      <c r="DHE2" s="13" t="s">
        <v>371</v>
      </c>
      <c r="DHF2" s="13" t="s">
        <v>161</v>
      </c>
      <c r="DHG2" s="13" t="s">
        <v>162</v>
      </c>
      <c r="DHH2" s="13" t="s">
        <v>158</v>
      </c>
      <c r="DHI2" s="13" t="s">
        <v>159</v>
      </c>
      <c r="DHJ2" s="13" t="s">
        <v>160</v>
      </c>
      <c r="DHK2" s="13" t="s">
        <v>155</v>
      </c>
      <c r="DHL2" s="13" t="s">
        <v>230</v>
      </c>
      <c r="DHM2" s="13" t="s">
        <v>156</v>
      </c>
      <c r="DHN2" s="13" t="s">
        <v>368</v>
      </c>
      <c r="DHO2" s="13" t="s">
        <v>371</v>
      </c>
      <c r="DHP2" s="13" t="s">
        <v>161</v>
      </c>
      <c r="DHQ2" s="13" t="s">
        <v>162</v>
      </c>
      <c r="DHR2" s="13" t="s">
        <v>158</v>
      </c>
      <c r="DHS2" s="13" t="s">
        <v>159</v>
      </c>
      <c r="DHT2" s="13" t="s">
        <v>160</v>
      </c>
      <c r="DHU2" s="13" t="s">
        <v>155</v>
      </c>
      <c r="DHV2" s="13" t="s">
        <v>230</v>
      </c>
      <c r="DHW2" s="13" t="s">
        <v>156</v>
      </c>
      <c r="DHX2" s="13" t="s">
        <v>368</v>
      </c>
      <c r="DHY2" s="13" t="s">
        <v>371</v>
      </c>
      <c r="DHZ2" s="13" t="s">
        <v>161</v>
      </c>
      <c r="DIA2" s="13" t="s">
        <v>162</v>
      </c>
      <c r="DIB2" s="13" t="s">
        <v>158</v>
      </c>
      <c r="DIC2" s="13" t="s">
        <v>159</v>
      </c>
      <c r="DID2" s="13" t="s">
        <v>160</v>
      </c>
      <c r="DIE2" s="13" t="s">
        <v>155</v>
      </c>
      <c r="DIF2" s="13" t="s">
        <v>230</v>
      </c>
      <c r="DIG2" s="13" t="s">
        <v>156</v>
      </c>
      <c r="DIH2" s="13" t="s">
        <v>368</v>
      </c>
      <c r="DII2" s="13" t="s">
        <v>371</v>
      </c>
      <c r="DIJ2" s="13" t="s">
        <v>161</v>
      </c>
      <c r="DIK2" s="13" t="s">
        <v>162</v>
      </c>
      <c r="DIL2" s="13" t="s">
        <v>158</v>
      </c>
      <c r="DIM2" s="13" t="s">
        <v>159</v>
      </c>
      <c r="DIN2" s="13" t="s">
        <v>160</v>
      </c>
      <c r="DIO2" s="13" t="s">
        <v>155</v>
      </c>
      <c r="DIP2" s="13" t="s">
        <v>230</v>
      </c>
      <c r="DIQ2" s="13" t="s">
        <v>156</v>
      </c>
      <c r="DIR2" s="13" t="s">
        <v>368</v>
      </c>
      <c r="DIS2" s="13" t="s">
        <v>371</v>
      </c>
      <c r="DIT2" s="13" t="s">
        <v>161</v>
      </c>
      <c r="DIU2" s="13" t="s">
        <v>162</v>
      </c>
      <c r="DIV2" s="13" t="s">
        <v>158</v>
      </c>
      <c r="DIW2" s="13" t="s">
        <v>159</v>
      </c>
      <c r="DIX2" s="13" t="s">
        <v>160</v>
      </c>
      <c r="DIY2" s="13" t="s">
        <v>155</v>
      </c>
      <c r="DIZ2" s="13" t="s">
        <v>230</v>
      </c>
      <c r="DJA2" s="13" t="s">
        <v>156</v>
      </c>
      <c r="DJB2" s="13" t="s">
        <v>368</v>
      </c>
      <c r="DJC2" s="13" t="s">
        <v>371</v>
      </c>
      <c r="DJD2" s="13" t="s">
        <v>161</v>
      </c>
      <c r="DJE2" s="13" t="s">
        <v>162</v>
      </c>
      <c r="DJF2" s="13" t="s">
        <v>158</v>
      </c>
      <c r="DJG2" s="13" t="s">
        <v>159</v>
      </c>
      <c r="DJH2" s="13" t="s">
        <v>160</v>
      </c>
      <c r="DJI2" s="13" t="s">
        <v>155</v>
      </c>
      <c r="DJJ2" s="13" t="s">
        <v>230</v>
      </c>
      <c r="DJK2" s="13" t="s">
        <v>156</v>
      </c>
      <c r="DJL2" s="13" t="s">
        <v>368</v>
      </c>
      <c r="DJM2" s="13" t="s">
        <v>371</v>
      </c>
      <c r="DJN2" s="13" t="s">
        <v>224</v>
      </c>
      <c r="DJO2" s="13" t="s">
        <v>161</v>
      </c>
      <c r="DJP2" s="13" t="s">
        <v>162</v>
      </c>
      <c r="DJQ2" s="13" t="s">
        <v>158</v>
      </c>
      <c r="DJR2" s="13" t="s">
        <v>159</v>
      </c>
      <c r="DJS2" s="13" t="s">
        <v>160</v>
      </c>
      <c r="DJT2" s="13" t="s">
        <v>155</v>
      </c>
      <c r="DJU2" s="13" t="s">
        <v>230</v>
      </c>
      <c r="DJV2" s="13" t="s">
        <v>156</v>
      </c>
      <c r="DJW2" s="13" t="s">
        <v>368</v>
      </c>
      <c r="DJX2" s="13" t="s">
        <v>371</v>
      </c>
      <c r="DJY2" s="13" t="s">
        <v>161</v>
      </c>
      <c r="DJZ2" s="13" t="s">
        <v>162</v>
      </c>
      <c r="DKA2" s="13" t="s">
        <v>158</v>
      </c>
      <c r="DKB2" s="13" t="s">
        <v>159</v>
      </c>
      <c r="DKC2" s="13" t="s">
        <v>160</v>
      </c>
      <c r="DKD2" s="13" t="s">
        <v>155</v>
      </c>
      <c r="DKE2" s="13" t="s">
        <v>230</v>
      </c>
      <c r="DKF2" s="13" t="s">
        <v>156</v>
      </c>
      <c r="DKG2" s="13" t="s">
        <v>368</v>
      </c>
      <c r="DKH2" s="13" t="s">
        <v>371</v>
      </c>
      <c r="DKI2" s="13" t="s">
        <v>161</v>
      </c>
      <c r="DKJ2" s="13" t="s">
        <v>162</v>
      </c>
      <c r="DKK2" s="13" t="s">
        <v>158</v>
      </c>
      <c r="DKL2" s="13" t="s">
        <v>159</v>
      </c>
      <c r="DKM2" s="13" t="s">
        <v>160</v>
      </c>
      <c r="DKN2" s="13" t="s">
        <v>155</v>
      </c>
      <c r="DKO2" s="13" t="s">
        <v>230</v>
      </c>
      <c r="DKP2" s="13" t="s">
        <v>156</v>
      </c>
      <c r="DKQ2" s="13" t="s">
        <v>368</v>
      </c>
      <c r="DKR2" s="13" t="s">
        <v>371</v>
      </c>
      <c r="DKS2" s="13" t="s">
        <v>161</v>
      </c>
      <c r="DKT2" s="13" t="s">
        <v>162</v>
      </c>
      <c r="DKU2" s="13" t="s">
        <v>158</v>
      </c>
      <c r="DKV2" s="13" t="s">
        <v>159</v>
      </c>
      <c r="DKW2" s="13" t="s">
        <v>160</v>
      </c>
      <c r="DKX2" s="13" t="s">
        <v>155</v>
      </c>
      <c r="DKY2" s="13" t="s">
        <v>230</v>
      </c>
      <c r="DKZ2" s="13" t="s">
        <v>156</v>
      </c>
      <c r="DLA2" s="13" t="s">
        <v>368</v>
      </c>
      <c r="DLB2" s="13" t="s">
        <v>371</v>
      </c>
      <c r="DLC2" s="13" t="s">
        <v>161</v>
      </c>
      <c r="DLD2" s="13" t="s">
        <v>162</v>
      </c>
      <c r="DLE2" s="13" t="s">
        <v>158</v>
      </c>
      <c r="DLF2" s="13" t="s">
        <v>159</v>
      </c>
      <c r="DLG2" s="13" t="s">
        <v>160</v>
      </c>
      <c r="DLH2" s="13" t="s">
        <v>155</v>
      </c>
      <c r="DLI2" s="13" t="s">
        <v>230</v>
      </c>
      <c r="DLJ2" s="13" t="s">
        <v>156</v>
      </c>
      <c r="DLK2" s="13" t="s">
        <v>368</v>
      </c>
      <c r="DLL2" s="13" t="s">
        <v>371</v>
      </c>
      <c r="DLM2" s="13" t="s">
        <v>161</v>
      </c>
      <c r="DLN2" s="13" t="s">
        <v>162</v>
      </c>
      <c r="DLO2" s="13" t="s">
        <v>158</v>
      </c>
      <c r="DLP2" s="13" t="s">
        <v>159</v>
      </c>
      <c r="DLQ2" s="13" t="s">
        <v>160</v>
      </c>
      <c r="DLR2" s="13" t="s">
        <v>155</v>
      </c>
      <c r="DLS2" s="13" t="s">
        <v>230</v>
      </c>
      <c r="DLT2" s="13" t="s">
        <v>156</v>
      </c>
      <c r="DLU2" s="13" t="s">
        <v>368</v>
      </c>
      <c r="DLV2" s="13" t="s">
        <v>371</v>
      </c>
      <c r="DLW2" s="13" t="s">
        <v>161</v>
      </c>
      <c r="DLX2" s="13" t="s">
        <v>162</v>
      </c>
      <c r="DLY2" s="13" t="s">
        <v>158</v>
      </c>
      <c r="DLZ2" s="13" t="s">
        <v>159</v>
      </c>
      <c r="DMA2" s="13" t="s">
        <v>160</v>
      </c>
      <c r="DMB2" s="13" t="s">
        <v>155</v>
      </c>
      <c r="DMC2" s="13" t="s">
        <v>230</v>
      </c>
      <c r="DMD2" s="13" t="s">
        <v>156</v>
      </c>
      <c r="DME2" s="13" t="s">
        <v>368</v>
      </c>
      <c r="DMF2" s="13" t="s">
        <v>371</v>
      </c>
      <c r="DMG2" s="13" t="s">
        <v>161</v>
      </c>
      <c r="DMH2" s="13" t="s">
        <v>162</v>
      </c>
      <c r="DMI2" s="13" t="s">
        <v>158</v>
      </c>
      <c r="DMJ2" s="13" t="s">
        <v>159</v>
      </c>
      <c r="DMK2" s="13" t="s">
        <v>160</v>
      </c>
      <c r="DML2" s="13" t="s">
        <v>155</v>
      </c>
      <c r="DMM2" s="13" t="s">
        <v>230</v>
      </c>
      <c r="DMN2" s="13" t="s">
        <v>156</v>
      </c>
      <c r="DMO2" s="13" t="s">
        <v>368</v>
      </c>
      <c r="DMP2" s="13" t="s">
        <v>371</v>
      </c>
      <c r="DMQ2" s="13" t="s">
        <v>161</v>
      </c>
      <c r="DMR2" s="13" t="s">
        <v>162</v>
      </c>
      <c r="DMS2" s="13" t="s">
        <v>158</v>
      </c>
      <c r="DMT2" s="13" t="s">
        <v>159</v>
      </c>
      <c r="DMU2" s="13" t="s">
        <v>160</v>
      </c>
      <c r="DMV2" s="13" t="s">
        <v>155</v>
      </c>
      <c r="DMW2" s="13" t="s">
        <v>230</v>
      </c>
      <c r="DMX2" s="13" t="s">
        <v>156</v>
      </c>
      <c r="DMY2" s="13" t="s">
        <v>368</v>
      </c>
      <c r="DMZ2" s="13" t="s">
        <v>371</v>
      </c>
      <c r="DNA2" s="13" t="s">
        <v>161</v>
      </c>
      <c r="DNB2" s="13" t="s">
        <v>162</v>
      </c>
      <c r="DNC2" s="13" t="s">
        <v>158</v>
      </c>
      <c r="DND2" s="13" t="s">
        <v>159</v>
      </c>
      <c r="DNE2" s="13" t="s">
        <v>160</v>
      </c>
      <c r="DNF2" s="13" t="s">
        <v>155</v>
      </c>
      <c r="DNG2" s="13" t="s">
        <v>230</v>
      </c>
      <c r="DNH2" s="13" t="s">
        <v>156</v>
      </c>
      <c r="DNI2" s="13" t="s">
        <v>368</v>
      </c>
      <c r="DNJ2" s="13" t="s">
        <v>371</v>
      </c>
      <c r="DNK2" s="13" t="s">
        <v>161</v>
      </c>
      <c r="DNL2" s="13" t="s">
        <v>162</v>
      </c>
      <c r="DNM2" s="13" t="s">
        <v>158</v>
      </c>
      <c r="DNN2" s="13" t="s">
        <v>159</v>
      </c>
      <c r="DNO2" s="13" t="s">
        <v>160</v>
      </c>
      <c r="DNP2" s="13" t="s">
        <v>155</v>
      </c>
      <c r="DNQ2" s="13" t="s">
        <v>230</v>
      </c>
      <c r="DNR2" s="13" t="s">
        <v>156</v>
      </c>
      <c r="DNS2" s="13" t="s">
        <v>368</v>
      </c>
      <c r="DNT2" s="13" t="s">
        <v>371</v>
      </c>
      <c r="DNU2" s="13" t="s">
        <v>161</v>
      </c>
      <c r="DNV2" s="13" t="s">
        <v>162</v>
      </c>
      <c r="DNW2" s="13" t="s">
        <v>158</v>
      </c>
      <c r="DNX2" s="13" t="s">
        <v>159</v>
      </c>
      <c r="DNY2" s="13" t="s">
        <v>160</v>
      </c>
      <c r="DNZ2" s="13" t="s">
        <v>155</v>
      </c>
      <c r="DOA2" s="13" t="s">
        <v>230</v>
      </c>
      <c r="DOB2" s="13" t="s">
        <v>156</v>
      </c>
      <c r="DOC2" s="13" t="s">
        <v>368</v>
      </c>
      <c r="DOD2" s="13" t="s">
        <v>371</v>
      </c>
      <c r="DOE2" s="13" t="s">
        <v>161</v>
      </c>
      <c r="DOF2" s="13" t="s">
        <v>162</v>
      </c>
      <c r="DOG2" s="13" t="s">
        <v>158</v>
      </c>
      <c r="DOH2" s="13" t="s">
        <v>159</v>
      </c>
      <c r="DOI2" s="13" t="s">
        <v>160</v>
      </c>
      <c r="DOJ2" s="13" t="s">
        <v>155</v>
      </c>
      <c r="DOK2" s="13" t="s">
        <v>230</v>
      </c>
      <c r="DOL2" s="13" t="s">
        <v>156</v>
      </c>
      <c r="DOM2" s="13" t="s">
        <v>368</v>
      </c>
      <c r="DON2" s="13" t="s">
        <v>371</v>
      </c>
      <c r="DOO2" s="13" t="s">
        <v>161</v>
      </c>
      <c r="DOP2" s="13" t="s">
        <v>162</v>
      </c>
      <c r="DOQ2" s="13" t="s">
        <v>158</v>
      </c>
      <c r="DOR2" s="13" t="s">
        <v>159</v>
      </c>
      <c r="DOS2" s="13" t="s">
        <v>160</v>
      </c>
      <c r="DOT2" s="13" t="s">
        <v>155</v>
      </c>
      <c r="DOU2" s="13" t="s">
        <v>230</v>
      </c>
      <c r="DOV2" s="13" t="s">
        <v>156</v>
      </c>
      <c r="DOW2" s="13" t="s">
        <v>368</v>
      </c>
      <c r="DOX2" s="13" t="s">
        <v>371</v>
      </c>
      <c r="DOY2" s="13" t="s">
        <v>161</v>
      </c>
      <c r="DOZ2" s="13" t="s">
        <v>162</v>
      </c>
      <c r="DPA2" s="13" t="s">
        <v>158</v>
      </c>
      <c r="DPB2" s="13" t="s">
        <v>159</v>
      </c>
      <c r="DPC2" s="13" t="s">
        <v>160</v>
      </c>
      <c r="DPD2" s="13" t="s">
        <v>439</v>
      </c>
      <c r="DPE2" s="13" t="s">
        <v>155</v>
      </c>
      <c r="DPF2" s="13" t="s">
        <v>230</v>
      </c>
      <c r="DPG2" s="13" t="s">
        <v>156</v>
      </c>
      <c r="DPH2" s="13" t="s">
        <v>368</v>
      </c>
      <c r="DPI2" s="13" t="s">
        <v>371</v>
      </c>
      <c r="DPJ2" s="13" t="s">
        <v>375</v>
      </c>
      <c r="DPK2" s="13" t="s">
        <v>162</v>
      </c>
      <c r="DPL2" s="13" t="s">
        <v>158</v>
      </c>
      <c r="DPM2" s="13" t="s">
        <v>159</v>
      </c>
      <c r="DPN2" s="13" t="s">
        <v>160</v>
      </c>
      <c r="DPO2" s="13" t="s">
        <v>155</v>
      </c>
      <c r="DPP2" s="13" t="s">
        <v>230</v>
      </c>
      <c r="DPQ2" s="13" t="s">
        <v>156</v>
      </c>
      <c r="DPR2" s="13" t="s">
        <v>368</v>
      </c>
      <c r="DPS2" s="13" t="s">
        <v>371</v>
      </c>
      <c r="DPT2" s="13" t="s">
        <v>375</v>
      </c>
      <c r="DPU2" s="13" t="s">
        <v>162</v>
      </c>
      <c r="DPV2" s="13" t="s">
        <v>158</v>
      </c>
      <c r="DPW2" s="13" t="s">
        <v>159</v>
      </c>
      <c r="DPX2" s="13" t="s">
        <v>160</v>
      </c>
      <c r="DPY2" s="13" t="s">
        <v>155</v>
      </c>
      <c r="DPZ2" s="13" t="s">
        <v>230</v>
      </c>
      <c r="DQA2" s="13" t="s">
        <v>156</v>
      </c>
      <c r="DQB2" s="13" t="s">
        <v>368</v>
      </c>
      <c r="DQC2" s="13" t="s">
        <v>371</v>
      </c>
      <c r="DQD2" s="13" t="s">
        <v>375</v>
      </c>
      <c r="DQE2" s="13" t="s">
        <v>162</v>
      </c>
      <c r="DQF2" s="13" t="s">
        <v>158</v>
      </c>
      <c r="DQG2" s="13" t="s">
        <v>159</v>
      </c>
      <c r="DQH2" s="13" t="s">
        <v>160</v>
      </c>
      <c r="DQI2" s="13" t="s">
        <v>155</v>
      </c>
      <c r="DQJ2" s="13" t="s">
        <v>230</v>
      </c>
      <c r="DQK2" s="13" t="s">
        <v>156</v>
      </c>
      <c r="DQL2" s="13" t="s">
        <v>368</v>
      </c>
      <c r="DQM2" s="13" t="s">
        <v>371</v>
      </c>
      <c r="DQN2" s="13" t="s">
        <v>758</v>
      </c>
      <c r="DQO2" s="13" t="s">
        <v>162</v>
      </c>
      <c r="DQP2" s="13" t="s">
        <v>158</v>
      </c>
      <c r="DQQ2" s="13" t="s">
        <v>159</v>
      </c>
      <c r="DQR2" s="13" t="s">
        <v>160</v>
      </c>
      <c r="DQS2" s="13" t="s">
        <v>1766</v>
      </c>
      <c r="DQT2" s="13" t="s">
        <v>155</v>
      </c>
      <c r="DQU2" s="13" t="s">
        <v>230</v>
      </c>
      <c r="DQV2" s="13" t="s">
        <v>156</v>
      </c>
      <c r="DQW2" s="13" t="s">
        <v>368</v>
      </c>
      <c r="DQX2" s="13" t="s">
        <v>371</v>
      </c>
      <c r="DQY2" s="13" t="s">
        <v>161</v>
      </c>
      <c r="DQZ2" s="13" t="s">
        <v>162</v>
      </c>
      <c r="DRA2" s="13" t="s">
        <v>158</v>
      </c>
      <c r="DRB2" s="13" t="s">
        <v>159</v>
      </c>
      <c r="DRC2" s="13" t="s">
        <v>160</v>
      </c>
      <c r="DRD2" s="13" t="s">
        <v>155</v>
      </c>
      <c r="DRE2" s="13" t="s">
        <v>230</v>
      </c>
      <c r="DRF2" s="13" t="s">
        <v>156</v>
      </c>
      <c r="DRG2" s="13" t="s">
        <v>368</v>
      </c>
      <c r="DRH2" s="13" t="s">
        <v>371</v>
      </c>
      <c r="DRI2" s="13" t="s">
        <v>161</v>
      </c>
      <c r="DRJ2" s="13" t="s">
        <v>162</v>
      </c>
      <c r="DRK2" s="13" t="s">
        <v>158</v>
      </c>
      <c r="DRL2" s="13" t="s">
        <v>159</v>
      </c>
      <c r="DRM2" s="13" t="s">
        <v>160</v>
      </c>
      <c r="DRN2" s="13" t="s">
        <v>155</v>
      </c>
      <c r="DRO2" s="13" t="s">
        <v>230</v>
      </c>
      <c r="DRP2" s="13" t="s">
        <v>156</v>
      </c>
      <c r="DRQ2" s="13" t="s">
        <v>368</v>
      </c>
      <c r="DRR2" s="13" t="s">
        <v>371</v>
      </c>
      <c r="DRS2" s="13" t="s">
        <v>224</v>
      </c>
      <c r="DRT2" s="13" t="s">
        <v>161</v>
      </c>
      <c r="DRU2" s="13" t="s">
        <v>162</v>
      </c>
      <c r="DRV2" s="13" t="s">
        <v>158</v>
      </c>
      <c r="DRW2" s="13" t="s">
        <v>159</v>
      </c>
      <c r="DRX2" s="13" t="s">
        <v>160</v>
      </c>
      <c r="DRY2" s="13" t="s">
        <v>155</v>
      </c>
      <c r="DRZ2" s="13" t="s">
        <v>230</v>
      </c>
      <c r="DSA2" s="13" t="s">
        <v>156</v>
      </c>
      <c r="DSB2" s="13" t="s">
        <v>368</v>
      </c>
      <c r="DSC2" s="13" t="s">
        <v>371</v>
      </c>
      <c r="DSD2" s="13" t="s">
        <v>161</v>
      </c>
      <c r="DSE2" s="13" t="s">
        <v>162</v>
      </c>
      <c r="DSF2" s="13" t="s">
        <v>158</v>
      </c>
      <c r="DSG2" s="13" t="s">
        <v>159</v>
      </c>
      <c r="DSH2" s="13" t="s">
        <v>160</v>
      </c>
      <c r="DSI2" s="13" t="s">
        <v>155</v>
      </c>
      <c r="DSJ2" s="13" t="s">
        <v>230</v>
      </c>
      <c r="DSK2" s="13" t="s">
        <v>156</v>
      </c>
      <c r="DSL2" s="13" t="s">
        <v>368</v>
      </c>
      <c r="DSM2" s="13" t="s">
        <v>371</v>
      </c>
      <c r="DSN2" s="13" t="s">
        <v>161</v>
      </c>
      <c r="DSO2" s="13" t="s">
        <v>162</v>
      </c>
      <c r="DSP2" s="13" t="s">
        <v>158</v>
      </c>
      <c r="DSQ2" s="13" t="s">
        <v>159</v>
      </c>
      <c r="DSR2" s="13" t="s">
        <v>160</v>
      </c>
      <c r="DSS2" s="13" t="s">
        <v>155</v>
      </c>
      <c r="DST2" s="13" t="s">
        <v>230</v>
      </c>
      <c r="DSU2" s="13" t="s">
        <v>156</v>
      </c>
      <c r="DSV2" s="13" t="s">
        <v>368</v>
      </c>
      <c r="DSW2" s="13" t="s">
        <v>371</v>
      </c>
      <c r="DSX2" s="13" t="s">
        <v>161</v>
      </c>
      <c r="DSY2" s="13" t="s">
        <v>162</v>
      </c>
      <c r="DSZ2" s="13" t="s">
        <v>158</v>
      </c>
      <c r="DTA2" s="13" t="s">
        <v>159</v>
      </c>
      <c r="DTB2" s="13" t="s">
        <v>160</v>
      </c>
      <c r="DTC2" s="13" t="s">
        <v>155</v>
      </c>
      <c r="DTD2" s="13" t="s">
        <v>230</v>
      </c>
      <c r="DTE2" s="13" t="s">
        <v>156</v>
      </c>
      <c r="DTF2" s="13" t="s">
        <v>368</v>
      </c>
      <c r="DTG2" s="13" t="s">
        <v>371</v>
      </c>
      <c r="DTH2" s="13" t="s">
        <v>161</v>
      </c>
      <c r="DTI2" s="13" t="s">
        <v>162</v>
      </c>
      <c r="DTJ2" s="13" t="s">
        <v>158</v>
      </c>
      <c r="DTK2" s="13" t="s">
        <v>159</v>
      </c>
      <c r="DTL2" s="13" t="s">
        <v>160</v>
      </c>
      <c r="DTM2" s="13" t="s">
        <v>155</v>
      </c>
      <c r="DTN2" s="13" t="s">
        <v>230</v>
      </c>
      <c r="DTO2" s="13" t="s">
        <v>156</v>
      </c>
      <c r="DTP2" s="13" t="s">
        <v>368</v>
      </c>
      <c r="DTQ2" s="13" t="s">
        <v>371</v>
      </c>
      <c r="DTR2" s="13" t="s">
        <v>355</v>
      </c>
      <c r="DTS2" s="13" t="s">
        <v>162</v>
      </c>
      <c r="DTT2" s="13" t="s">
        <v>158</v>
      </c>
      <c r="DTU2" s="13" t="s">
        <v>159</v>
      </c>
      <c r="DTV2" s="13" t="s">
        <v>242</v>
      </c>
      <c r="DTW2" s="13" t="s">
        <v>160</v>
      </c>
      <c r="DTX2" s="13" t="s">
        <v>155</v>
      </c>
      <c r="DTY2" s="13" t="s">
        <v>230</v>
      </c>
      <c r="DTZ2" s="13" t="s">
        <v>156</v>
      </c>
      <c r="DUA2" s="13" t="s">
        <v>368</v>
      </c>
      <c r="DUB2" s="13" t="s">
        <v>371</v>
      </c>
      <c r="DUC2" s="13" t="s">
        <v>161</v>
      </c>
      <c r="DUD2" s="13" t="s">
        <v>162</v>
      </c>
      <c r="DUE2" s="13" t="s">
        <v>158</v>
      </c>
      <c r="DUF2" s="13" t="s">
        <v>159</v>
      </c>
      <c r="DUG2" s="13" t="s">
        <v>160</v>
      </c>
      <c r="DUH2" s="13" t="s">
        <v>155</v>
      </c>
      <c r="DUI2" s="13" t="s">
        <v>230</v>
      </c>
      <c r="DUJ2" s="13" t="s">
        <v>156</v>
      </c>
      <c r="DUK2" s="13" t="s">
        <v>368</v>
      </c>
      <c r="DUL2" s="13" t="s">
        <v>371</v>
      </c>
      <c r="DUM2" s="13" t="s">
        <v>161</v>
      </c>
      <c r="DUN2" s="13" t="s">
        <v>162</v>
      </c>
      <c r="DUO2" s="13" t="s">
        <v>158</v>
      </c>
      <c r="DUP2" s="13" t="s">
        <v>159</v>
      </c>
      <c r="DUQ2" s="13" t="s">
        <v>160</v>
      </c>
      <c r="DUR2" s="13" t="s">
        <v>155</v>
      </c>
      <c r="DUS2" s="13" t="s">
        <v>230</v>
      </c>
      <c r="DUT2" s="13" t="s">
        <v>156</v>
      </c>
      <c r="DUU2" s="13" t="s">
        <v>368</v>
      </c>
      <c r="DUV2" s="13" t="s">
        <v>371</v>
      </c>
      <c r="DUW2" s="13" t="s">
        <v>161</v>
      </c>
      <c r="DUX2" s="13" t="s">
        <v>162</v>
      </c>
      <c r="DUY2" s="13" t="s">
        <v>158</v>
      </c>
      <c r="DUZ2" s="13" t="s">
        <v>159</v>
      </c>
      <c r="DVA2" s="13" t="s">
        <v>160</v>
      </c>
      <c r="DVB2" s="13" t="s">
        <v>155</v>
      </c>
      <c r="DVC2" s="13" t="s">
        <v>230</v>
      </c>
      <c r="DVD2" s="13" t="s">
        <v>156</v>
      </c>
      <c r="DVE2" s="13" t="s">
        <v>368</v>
      </c>
      <c r="DVF2" s="13" t="s">
        <v>371</v>
      </c>
      <c r="DVG2" s="13" t="s">
        <v>375</v>
      </c>
      <c r="DVH2" s="13" t="s">
        <v>162</v>
      </c>
      <c r="DVI2" s="13" t="s">
        <v>158</v>
      </c>
      <c r="DVJ2" s="13" t="s">
        <v>159</v>
      </c>
      <c r="DVK2" s="13" t="s">
        <v>160</v>
      </c>
      <c r="DVL2" s="13" t="s">
        <v>155</v>
      </c>
      <c r="DVM2" s="13" t="s">
        <v>230</v>
      </c>
      <c r="DVN2" s="13" t="s">
        <v>156</v>
      </c>
      <c r="DVO2" s="13" t="s">
        <v>368</v>
      </c>
      <c r="DVP2" s="13" t="s">
        <v>371</v>
      </c>
      <c r="DVQ2" s="13" t="s">
        <v>224</v>
      </c>
      <c r="DVR2" s="13" t="s">
        <v>161</v>
      </c>
      <c r="DVS2" s="13" t="s">
        <v>162</v>
      </c>
      <c r="DVT2" s="13" t="s">
        <v>158</v>
      </c>
      <c r="DVU2" s="13" t="s">
        <v>159</v>
      </c>
      <c r="DVV2" s="13" t="s">
        <v>160</v>
      </c>
      <c r="DVW2" s="13" t="s">
        <v>155</v>
      </c>
      <c r="DVX2" s="13" t="s">
        <v>230</v>
      </c>
      <c r="DVY2" s="13" t="s">
        <v>156</v>
      </c>
      <c r="DVZ2" s="13" t="s">
        <v>368</v>
      </c>
      <c r="DWA2" s="13" t="s">
        <v>371</v>
      </c>
      <c r="DWB2" s="13" t="s">
        <v>161</v>
      </c>
      <c r="DWC2" s="13" t="s">
        <v>162</v>
      </c>
      <c r="DWD2" s="13" t="s">
        <v>158</v>
      </c>
      <c r="DWE2" s="13" t="s">
        <v>159</v>
      </c>
      <c r="DWF2" s="13" t="s">
        <v>160</v>
      </c>
      <c r="DWG2" s="13" t="s">
        <v>155</v>
      </c>
      <c r="DWH2" s="13" t="s">
        <v>230</v>
      </c>
      <c r="DWI2" s="13" t="s">
        <v>156</v>
      </c>
      <c r="DWJ2" s="13" t="s">
        <v>368</v>
      </c>
      <c r="DWK2" s="13" t="s">
        <v>371</v>
      </c>
      <c r="DWL2" s="13" t="s">
        <v>161</v>
      </c>
      <c r="DWM2" s="13" t="s">
        <v>162</v>
      </c>
      <c r="DWN2" s="13" t="s">
        <v>158</v>
      </c>
      <c r="DWO2" s="13" t="s">
        <v>159</v>
      </c>
      <c r="DWP2" s="13" t="s">
        <v>160</v>
      </c>
      <c r="DWQ2" s="13" t="s">
        <v>155</v>
      </c>
      <c r="DWR2" s="13" t="s">
        <v>230</v>
      </c>
      <c r="DWS2" s="13" t="s">
        <v>156</v>
      </c>
      <c r="DWT2" s="13" t="s">
        <v>368</v>
      </c>
      <c r="DWU2" s="13" t="s">
        <v>371</v>
      </c>
      <c r="DWV2" s="13" t="s">
        <v>161</v>
      </c>
      <c r="DWW2" s="13" t="s">
        <v>162</v>
      </c>
      <c r="DWX2" s="13" t="s">
        <v>158</v>
      </c>
      <c r="DWY2" s="13" t="s">
        <v>159</v>
      </c>
      <c r="DWZ2" s="13" t="s">
        <v>160</v>
      </c>
      <c r="DXA2" s="13" t="s">
        <v>155</v>
      </c>
      <c r="DXB2" s="13" t="s">
        <v>230</v>
      </c>
      <c r="DXC2" s="13" t="s">
        <v>156</v>
      </c>
      <c r="DXD2" s="13" t="s">
        <v>368</v>
      </c>
      <c r="DXE2" s="13" t="s">
        <v>371</v>
      </c>
      <c r="DXF2" s="13" t="s">
        <v>224</v>
      </c>
      <c r="DXG2" s="13" t="s">
        <v>161</v>
      </c>
      <c r="DXH2" s="13" t="s">
        <v>162</v>
      </c>
      <c r="DXI2" s="13" t="s">
        <v>158</v>
      </c>
      <c r="DXJ2" s="13" t="s">
        <v>159</v>
      </c>
      <c r="DXK2" s="13" t="s">
        <v>160</v>
      </c>
      <c r="DXL2" s="13" t="s">
        <v>155</v>
      </c>
      <c r="DXM2" s="13" t="s">
        <v>230</v>
      </c>
      <c r="DXN2" s="13" t="s">
        <v>156</v>
      </c>
      <c r="DXO2" s="13" t="s">
        <v>368</v>
      </c>
      <c r="DXP2" s="13" t="s">
        <v>371</v>
      </c>
      <c r="DXQ2" s="13" t="s">
        <v>355</v>
      </c>
      <c r="DXR2" s="13" t="s">
        <v>162</v>
      </c>
      <c r="DXS2" s="13" t="s">
        <v>158</v>
      </c>
      <c r="DXT2" s="13" t="s">
        <v>159</v>
      </c>
      <c r="DXU2" s="13" t="s">
        <v>242</v>
      </c>
      <c r="DXV2" s="13" t="s">
        <v>160</v>
      </c>
      <c r="DXW2" s="13" t="s">
        <v>155</v>
      </c>
      <c r="DXX2" s="13" t="s">
        <v>230</v>
      </c>
      <c r="DXY2" s="13" t="s">
        <v>156</v>
      </c>
      <c r="DXZ2" s="13" t="s">
        <v>368</v>
      </c>
      <c r="DYA2" s="13" t="s">
        <v>371</v>
      </c>
      <c r="DYB2" s="13" t="s">
        <v>355</v>
      </c>
      <c r="DYC2" s="13" t="s">
        <v>162</v>
      </c>
      <c r="DYD2" s="13" t="s">
        <v>158</v>
      </c>
      <c r="DYE2" s="13" t="s">
        <v>242</v>
      </c>
      <c r="DYF2" s="13" t="s">
        <v>159</v>
      </c>
      <c r="DYG2" s="13" t="s">
        <v>160</v>
      </c>
      <c r="DYH2" s="13" t="s">
        <v>155</v>
      </c>
      <c r="DYI2" s="13" t="s">
        <v>230</v>
      </c>
      <c r="DYJ2" s="13" t="s">
        <v>156</v>
      </c>
      <c r="DYK2" s="13" t="s">
        <v>368</v>
      </c>
      <c r="DYL2" s="13" t="s">
        <v>371</v>
      </c>
      <c r="DYM2" s="13" t="s">
        <v>355</v>
      </c>
      <c r="DYN2" s="13" t="s">
        <v>162</v>
      </c>
      <c r="DYO2" s="13" t="s">
        <v>158</v>
      </c>
      <c r="DYP2" s="13" t="s">
        <v>242</v>
      </c>
      <c r="DYQ2" s="13" t="s">
        <v>159</v>
      </c>
      <c r="DYR2" s="13" t="s">
        <v>160</v>
      </c>
      <c r="DYS2" s="13" t="s">
        <v>155</v>
      </c>
      <c r="DYT2" s="13" t="s">
        <v>230</v>
      </c>
      <c r="DYU2" s="13" t="s">
        <v>156</v>
      </c>
      <c r="DYV2" s="13" t="s">
        <v>368</v>
      </c>
      <c r="DYW2" s="13" t="s">
        <v>371</v>
      </c>
      <c r="DYX2" s="13" t="s">
        <v>161</v>
      </c>
      <c r="DYY2" s="13" t="s">
        <v>162</v>
      </c>
      <c r="DYZ2" s="13" t="s">
        <v>158</v>
      </c>
      <c r="DZA2" s="13" t="s">
        <v>242</v>
      </c>
      <c r="DZB2" s="13" t="s">
        <v>159</v>
      </c>
      <c r="DZC2" s="13" t="s">
        <v>160</v>
      </c>
      <c r="DZD2" s="13" t="s">
        <v>155</v>
      </c>
      <c r="DZE2" s="13" t="s">
        <v>230</v>
      </c>
      <c r="DZF2" s="13" t="s">
        <v>156</v>
      </c>
      <c r="DZG2" s="13" t="s">
        <v>368</v>
      </c>
      <c r="DZH2" s="13" t="s">
        <v>371</v>
      </c>
      <c r="DZI2" s="13" t="s">
        <v>224</v>
      </c>
      <c r="DZJ2" s="13" t="s">
        <v>161</v>
      </c>
      <c r="DZK2" s="13" t="s">
        <v>162</v>
      </c>
      <c r="DZL2" s="13" t="s">
        <v>158</v>
      </c>
      <c r="DZM2" s="13" t="s">
        <v>159</v>
      </c>
      <c r="DZN2" s="13" t="s">
        <v>242</v>
      </c>
      <c r="DZO2" s="13" t="s">
        <v>160</v>
      </c>
      <c r="DZP2" s="13" t="s">
        <v>155</v>
      </c>
      <c r="DZQ2" s="13" t="s">
        <v>230</v>
      </c>
      <c r="DZR2" s="13" t="s">
        <v>156</v>
      </c>
      <c r="DZS2" s="13" t="s">
        <v>368</v>
      </c>
      <c r="DZT2" s="13" t="s">
        <v>371</v>
      </c>
      <c r="DZU2" s="13" t="s">
        <v>161</v>
      </c>
      <c r="DZV2" s="13" t="s">
        <v>162</v>
      </c>
      <c r="DZW2" s="13" t="s">
        <v>158</v>
      </c>
      <c r="DZX2" s="13" t="s">
        <v>159</v>
      </c>
      <c r="DZY2" s="13" t="s">
        <v>160</v>
      </c>
      <c r="DZZ2" s="13" t="s">
        <v>155</v>
      </c>
      <c r="EAA2" s="13" t="s">
        <v>230</v>
      </c>
      <c r="EAB2" s="13" t="s">
        <v>156</v>
      </c>
      <c r="EAC2" s="13" t="s">
        <v>368</v>
      </c>
      <c r="EAD2" s="13" t="s">
        <v>371</v>
      </c>
      <c r="EAE2" s="13" t="s">
        <v>161</v>
      </c>
      <c r="EAF2" s="13" t="s">
        <v>162</v>
      </c>
      <c r="EAG2" s="13" t="s">
        <v>158</v>
      </c>
      <c r="EAH2" s="13" t="s">
        <v>159</v>
      </c>
      <c r="EAI2" s="13" t="s">
        <v>160</v>
      </c>
      <c r="EAJ2" s="13" t="s">
        <v>155</v>
      </c>
      <c r="EAK2" s="13" t="s">
        <v>230</v>
      </c>
      <c r="EAL2" s="13" t="s">
        <v>156</v>
      </c>
      <c r="EAM2" s="13" t="s">
        <v>368</v>
      </c>
      <c r="EAN2" s="13" t="s">
        <v>371</v>
      </c>
      <c r="EAO2" s="13" t="s">
        <v>224</v>
      </c>
      <c r="EAP2" s="13" t="s">
        <v>161</v>
      </c>
      <c r="EAQ2" s="13" t="s">
        <v>162</v>
      </c>
      <c r="EAR2" s="13" t="s">
        <v>158</v>
      </c>
      <c r="EAS2" s="13" t="s">
        <v>159</v>
      </c>
      <c r="EAT2" s="13" t="s">
        <v>242</v>
      </c>
      <c r="EAU2" s="13" t="s">
        <v>160</v>
      </c>
      <c r="EAV2" s="13" t="s">
        <v>155</v>
      </c>
      <c r="EAW2" s="13" t="s">
        <v>230</v>
      </c>
      <c r="EAX2" s="13" t="s">
        <v>156</v>
      </c>
      <c r="EAY2" s="13" t="s">
        <v>368</v>
      </c>
      <c r="EAZ2" s="13" t="s">
        <v>371</v>
      </c>
      <c r="EBA2" s="13" t="s">
        <v>161</v>
      </c>
      <c r="EBB2" s="13" t="s">
        <v>162</v>
      </c>
      <c r="EBC2" s="13" t="s">
        <v>158</v>
      </c>
      <c r="EBD2" s="13" t="s">
        <v>159</v>
      </c>
      <c r="EBE2" s="13" t="s">
        <v>160</v>
      </c>
      <c r="EBF2" s="13" t="s">
        <v>155</v>
      </c>
      <c r="EBG2" s="13" t="s">
        <v>230</v>
      </c>
      <c r="EBH2" s="13" t="s">
        <v>156</v>
      </c>
      <c r="EBI2" s="13" t="s">
        <v>368</v>
      </c>
      <c r="EBJ2" s="13" t="s">
        <v>371</v>
      </c>
      <c r="EBK2" s="13" t="s">
        <v>161</v>
      </c>
      <c r="EBL2" s="13" t="s">
        <v>162</v>
      </c>
      <c r="EBM2" s="13" t="s">
        <v>158</v>
      </c>
      <c r="EBN2" s="13" t="s">
        <v>159</v>
      </c>
      <c r="EBO2" s="13" t="s">
        <v>160</v>
      </c>
      <c r="EBP2" s="13" t="s">
        <v>155</v>
      </c>
      <c r="EBQ2" s="13" t="s">
        <v>230</v>
      </c>
      <c r="EBR2" s="13" t="s">
        <v>156</v>
      </c>
      <c r="EBS2" s="13" t="s">
        <v>368</v>
      </c>
      <c r="EBT2" s="13" t="s">
        <v>371</v>
      </c>
      <c r="EBU2" s="13" t="s">
        <v>161</v>
      </c>
      <c r="EBV2" s="13" t="s">
        <v>162</v>
      </c>
      <c r="EBW2" s="13" t="s">
        <v>158</v>
      </c>
      <c r="EBX2" s="13" t="s">
        <v>159</v>
      </c>
      <c r="EBY2" s="13" t="s">
        <v>160</v>
      </c>
      <c r="EBZ2" s="13" t="s">
        <v>155</v>
      </c>
      <c r="ECA2" s="13" t="s">
        <v>230</v>
      </c>
      <c r="ECB2" s="13" t="s">
        <v>156</v>
      </c>
      <c r="ECC2" s="13" t="s">
        <v>368</v>
      </c>
      <c r="ECD2" s="13" t="s">
        <v>371</v>
      </c>
      <c r="ECE2" s="13" t="s">
        <v>161</v>
      </c>
      <c r="ECF2" s="13" t="s">
        <v>162</v>
      </c>
      <c r="ECG2" s="13" t="s">
        <v>158</v>
      </c>
      <c r="ECH2" s="13" t="s">
        <v>159</v>
      </c>
      <c r="ECI2" s="13" t="s">
        <v>160</v>
      </c>
      <c r="ECJ2" s="13" t="s">
        <v>155</v>
      </c>
      <c r="ECK2" s="13" t="s">
        <v>230</v>
      </c>
      <c r="ECL2" s="13" t="s">
        <v>156</v>
      </c>
      <c r="ECM2" s="13" t="s">
        <v>368</v>
      </c>
      <c r="ECN2" s="13" t="s">
        <v>371</v>
      </c>
      <c r="ECO2" s="13" t="s">
        <v>224</v>
      </c>
      <c r="ECP2" s="13" t="s">
        <v>161</v>
      </c>
      <c r="ECQ2" s="13" t="s">
        <v>162</v>
      </c>
      <c r="ECR2" s="13" t="s">
        <v>158</v>
      </c>
      <c r="ECS2" s="13" t="s">
        <v>159</v>
      </c>
      <c r="ECT2" s="13" t="s">
        <v>160</v>
      </c>
      <c r="ECU2" s="13" t="s">
        <v>155</v>
      </c>
      <c r="ECV2" s="13" t="s">
        <v>230</v>
      </c>
      <c r="ECW2" s="13" t="s">
        <v>156</v>
      </c>
      <c r="ECX2" s="13" t="s">
        <v>368</v>
      </c>
      <c r="ECY2" s="13" t="s">
        <v>371</v>
      </c>
      <c r="ECZ2" s="13" t="s">
        <v>161</v>
      </c>
      <c r="EDA2" s="13" t="s">
        <v>162</v>
      </c>
      <c r="EDB2" s="13" t="s">
        <v>158</v>
      </c>
      <c r="EDC2" s="13" t="s">
        <v>159</v>
      </c>
      <c r="EDD2" s="13" t="s">
        <v>160</v>
      </c>
      <c r="EDE2" s="13" t="s">
        <v>155</v>
      </c>
      <c r="EDF2" s="13" t="s">
        <v>230</v>
      </c>
      <c r="EDG2" s="13" t="s">
        <v>156</v>
      </c>
      <c r="EDH2" s="13" t="s">
        <v>368</v>
      </c>
      <c r="EDI2" s="13" t="s">
        <v>371</v>
      </c>
      <c r="EDJ2" s="13" t="s">
        <v>161</v>
      </c>
      <c r="EDK2" s="13" t="s">
        <v>162</v>
      </c>
      <c r="EDL2" s="13" t="s">
        <v>158</v>
      </c>
      <c r="EDM2" s="13" t="s">
        <v>159</v>
      </c>
      <c r="EDN2" s="13" t="s">
        <v>160</v>
      </c>
      <c r="EDO2" s="13" t="s">
        <v>155</v>
      </c>
      <c r="EDP2" s="13" t="s">
        <v>230</v>
      </c>
      <c r="EDQ2" s="13" t="s">
        <v>156</v>
      </c>
      <c r="EDR2" s="13" t="s">
        <v>368</v>
      </c>
      <c r="EDS2" s="13" t="s">
        <v>371</v>
      </c>
      <c r="EDT2" s="13" t="s">
        <v>161</v>
      </c>
      <c r="EDU2" s="13" t="s">
        <v>162</v>
      </c>
      <c r="EDV2" s="13" t="s">
        <v>158</v>
      </c>
      <c r="EDW2" s="13" t="s">
        <v>159</v>
      </c>
      <c r="EDX2" s="13" t="s">
        <v>160</v>
      </c>
      <c r="EDY2" s="13" t="s">
        <v>155</v>
      </c>
      <c r="EDZ2" s="13" t="s">
        <v>230</v>
      </c>
      <c r="EEA2" s="13" t="s">
        <v>156</v>
      </c>
      <c r="EEB2" s="13" t="s">
        <v>368</v>
      </c>
      <c r="EEC2" s="13" t="s">
        <v>371</v>
      </c>
      <c r="EED2" s="13" t="s">
        <v>224</v>
      </c>
      <c r="EEE2" s="13" t="s">
        <v>161</v>
      </c>
      <c r="EEF2" s="13" t="s">
        <v>162</v>
      </c>
      <c r="EEG2" s="13" t="s">
        <v>158</v>
      </c>
      <c r="EEH2" s="13" t="s">
        <v>159</v>
      </c>
      <c r="EEI2" s="13" t="s">
        <v>160</v>
      </c>
      <c r="EEJ2" s="13" t="s">
        <v>155</v>
      </c>
      <c r="EEK2" s="13" t="s">
        <v>230</v>
      </c>
      <c r="EEL2" s="13" t="s">
        <v>156</v>
      </c>
      <c r="EEM2" s="13" t="s">
        <v>368</v>
      </c>
      <c r="EEN2" s="13" t="s">
        <v>371</v>
      </c>
      <c r="EEO2" s="13" t="s">
        <v>224</v>
      </c>
      <c r="EEP2" s="13" t="s">
        <v>161</v>
      </c>
      <c r="EEQ2" s="13" t="s">
        <v>162</v>
      </c>
      <c r="EER2" s="13" t="s">
        <v>158</v>
      </c>
      <c r="EES2" s="13" t="s">
        <v>159</v>
      </c>
      <c r="EET2" s="13" t="s">
        <v>160</v>
      </c>
      <c r="EEU2" s="13" t="s">
        <v>155</v>
      </c>
      <c r="EEV2" s="13" t="s">
        <v>230</v>
      </c>
      <c r="EEW2" s="13" t="s">
        <v>156</v>
      </c>
      <c r="EEX2" s="13" t="s">
        <v>368</v>
      </c>
      <c r="EEY2" s="13" t="s">
        <v>371</v>
      </c>
      <c r="EEZ2" s="13" t="s">
        <v>224</v>
      </c>
      <c r="EFA2" s="13" t="s">
        <v>161</v>
      </c>
      <c r="EFB2" s="13" t="s">
        <v>162</v>
      </c>
      <c r="EFC2" s="13" t="s">
        <v>158</v>
      </c>
      <c r="EFD2" s="13" t="s">
        <v>159</v>
      </c>
      <c r="EFE2" s="13" t="s">
        <v>160</v>
      </c>
      <c r="EFF2" s="13" t="s">
        <v>485</v>
      </c>
      <c r="EFG2" s="13" t="s">
        <v>155</v>
      </c>
      <c r="EFH2" s="13" t="s">
        <v>230</v>
      </c>
      <c r="EFI2" s="13" t="s">
        <v>156</v>
      </c>
      <c r="EFJ2" s="13" t="s">
        <v>368</v>
      </c>
      <c r="EFK2" s="13" t="s">
        <v>371</v>
      </c>
      <c r="EFL2" s="13" t="s">
        <v>224</v>
      </c>
      <c r="EFM2" s="13" t="s">
        <v>243</v>
      </c>
      <c r="EFN2" s="13" t="s">
        <v>162</v>
      </c>
      <c r="EFO2" s="13" t="s">
        <v>158</v>
      </c>
      <c r="EFP2" s="13" t="s">
        <v>159</v>
      </c>
      <c r="EFQ2" s="13" t="s">
        <v>242</v>
      </c>
      <c r="EFR2" s="13" t="s">
        <v>160</v>
      </c>
      <c r="EFS2" s="13" t="s">
        <v>155</v>
      </c>
      <c r="EFT2" s="13" t="s">
        <v>230</v>
      </c>
      <c r="EFU2" s="13" t="s">
        <v>156</v>
      </c>
      <c r="EFV2" s="13" t="s">
        <v>368</v>
      </c>
      <c r="EFW2" s="13" t="s">
        <v>371</v>
      </c>
      <c r="EFX2" s="13" t="s">
        <v>161</v>
      </c>
      <c r="EFY2" s="13" t="s">
        <v>162</v>
      </c>
      <c r="EFZ2" s="13" t="s">
        <v>158</v>
      </c>
      <c r="EGA2" s="13" t="s">
        <v>159</v>
      </c>
      <c r="EGB2" s="13" t="s">
        <v>160</v>
      </c>
      <c r="EGC2" s="13" t="s">
        <v>155</v>
      </c>
      <c r="EGD2" s="13" t="s">
        <v>230</v>
      </c>
      <c r="EGE2" s="13" t="s">
        <v>156</v>
      </c>
      <c r="EGF2" s="13" t="s">
        <v>368</v>
      </c>
      <c r="EGG2" s="13" t="s">
        <v>371</v>
      </c>
      <c r="EGH2" s="13" t="s">
        <v>161</v>
      </c>
      <c r="EGI2" s="13" t="s">
        <v>162</v>
      </c>
      <c r="EGJ2" s="13" t="s">
        <v>158</v>
      </c>
      <c r="EGK2" s="13" t="s">
        <v>159</v>
      </c>
      <c r="EGL2" s="13" t="s">
        <v>160</v>
      </c>
      <c r="EGM2" s="13" t="s">
        <v>155</v>
      </c>
      <c r="EGN2" s="13" t="s">
        <v>230</v>
      </c>
      <c r="EGO2" s="13" t="s">
        <v>156</v>
      </c>
      <c r="EGP2" s="13" t="s">
        <v>368</v>
      </c>
      <c r="EGQ2" s="13" t="s">
        <v>371</v>
      </c>
      <c r="EGR2" s="13" t="s">
        <v>161</v>
      </c>
      <c r="EGS2" s="13" t="s">
        <v>244</v>
      </c>
      <c r="EGT2" s="13" t="s">
        <v>158</v>
      </c>
      <c r="EGU2" s="13" t="s">
        <v>159</v>
      </c>
      <c r="EGV2" s="13" t="s">
        <v>160</v>
      </c>
      <c r="EGW2" s="13" t="s">
        <v>155</v>
      </c>
      <c r="EGX2" s="13" t="s">
        <v>230</v>
      </c>
      <c r="EGY2" s="13" t="s">
        <v>156</v>
      </c>
      <c r="EGZ2" s="13" t="s">
        <v>368</v>
      </c>
      <c r="EHA2" s="13" t="s">
        <v>371</v>
      </c>
      <c r="EHB2" s="13" t="s">
        <v>381</v>
      </c>
      <c r="EHC2" s="13" t="s">
        <v>244</v>
      </c>
      <c r="EHD2" s="13" t="s">
        <v>158</v>
      </c>
      <c r="EHE2" s="13" t="s">
        <v>159</v>
      </c>
      <c r="EHF2" s="13" t="s">
        <v>160</v>
      </c>
      <c r="EHG2" s="13" t="s">
        <v>155</v>
      </c>
      <c r="EHH2" s="13" t="s">
        <v>230</v>
      </c>
      <c r="EHI2" s="13" t="s">
        <v>156</v>
      </c>
      <c r="EHJ2" s="13" t="s">
        <v>368</v>
      </c>
      <c r="EHK2" s="13" t="s">
        <v>371</v>
      </c>
      <c r="EHL2" s="13" t="s">
        <v>161</v>
      </c>
      <c r="EHM2" s="13" t="s">
        <v>162</v>
      </c>
      <c r="EHN2" s="13" t="s">
        <v>158</v>
      </c>
      <c r="EHO2" s="13" t="s">
        <v>159</v>
      </c>
      <c r="EHP2" s="13" t="s">
        <v>160</v>
      </c>
      <c r="EHQ2" s="13" t="s">
        <v>155</v>
      </c>
      <c r="EHR2" s="13" t="s">
        <v>230</v>
      </c>
      <c r="EHS2" s="13" t="s">
        <v>156</v>
      </c>
      <c r="EHT2" s="13" t="s">
        <v>368</v>
      </c>
      <c r="EHU2" s="13" t="s">
        <v>371</v>
      </c>
      <c r="EHV2" s="13" t="s">
        <v>311</v>
      </c>
      <c r="EHW2" s="13" t="s">
        <v>162</v>
      </c>
      <c r="EHX2" s="13" t="s">
        <v>158</v>
      </c>
      <c r="EHY2" s="13" t="s">
        <v>159</v>
      </c>
      <c r="EHZ2" s="13" t="s">
        <v>160</v>
      </c>
      <c r="EIA2" s="13" t="s">
        <v>155</v>
      </c>
      <c r="EIB2" s="13" t="s">
        <v>230</v>
      </c>
      <c r="EIC2" s="13" t="s">
        <v>156</v>
      </c>
      <c r="EID2" s="13" t="s">
        <v>368</v>
      </c>
      <c r="EIE2" s="13" t="s">
        <v>371</v>
      </c>
      <c r="EIF2" s="13" t="s">
        <v>315</v>
      </c>
      <c r="EIG2" s="13" t="s">
        <v>162</v>
      </c>
      <c r="EIH2" s="13" t="s">
        <v>158</v>
      </c>
      <c r="EII2" s="13" t="s">
        <v>159</v>
      </c>
      <c r="EIJ2" s="13" t="s">
        <v>160</v>
      </c>
      <c r="EIK2" s="13" t="s">
        <v>155</v>
      </c>
      <c r="EIL2" s="13" t="s">
        <v>230</v>
      </c>
      <c r="EIM2" s="13" t="s">
        <v>156</v>
      </c>
      <c r="EIN2" s="13" t="s">
        <v>368</v>
      </c>
      <c r="EIO2" s="13" t="s">
        <v>371</v>
      </c>
      <c r="EIP2" s="13" t="s">
        <v>315</v>
      </c>
      <c r="EIQ2" s="13" t="s">
        <v>162</v>
      </c>
      <c r="EIR2" s="13" t="s">
        <v>158</v>
      </c>
      <c r="EIS2" s="13" t="s">
        <v>159</v>
      </c>
      <c r="EIT2" s="13" t="s">
        <v>160</v>
      </c>
      <c r="EIU2" s="13" t="s">
        <v>155</v>
      </c>
      <c r="EIV2" s="13" t="s">
        <v>230</v>
      </c>
      <c r="EIW2" s="13" t="s">
        <v>156</v>
      </c>
      <c r="EIX2" s="13" t="s">
        <v>368</v>
      </c>
      <c r="EIY2" s="13" t="s">
        <v>371</v>
      </c>
      <c r="EIZ2" s="13" t="s">
        <v>315</v>
      </c>
      <c r="EJA2" s="13" t="s">
        <v>162</v>
      </c>
      <c r="EJB2" s="13" t="s">
        <v>158</v>
      </c>
      <c r="EJC2" s="13" t="s">
        <v>159</v>
      </c>
      <c r="EJD2" s="13" t="s">
        <v>160</v>
      </c>
      <c r="EJE2" s="13" t="s">
        <v>155</v>
      </c>
      <c r="EJF2" s="13" t="s">
        <v>230</v>
      </c>
      <c r="EJG2" s="13" t="s">
        <v>156</v>
      </c>
      <c r="EJH2" s="13" t="s">
        <v>368</v>
      </c>
      <c r="EJI2" s="13" t="s">
        <v>371</v>
      </c>
      <c r="EJJ2" s="13" t="s">
        <v>315</v>
      </c>
      <c r="EJK2" s="13" t="s">
        <v>162</v>
      </c>
      <c r="EJL2" s="13" t="s">
        <v>158</v>
      </c>
      <c r="EJM2" s="13" t="s">
        <v>159</v>
      </c>
      <c r="EJN2" s="13" t="s">
        <v>160</v>
      </c>
      <c r="EJO2" s="13" t="s">
        <v>155</v>
      </c>
      <c r="EJP2" s="13" t="s">
        <v>230</v>
      </c>
      <c r="EJQ2" s="13" t="s">
        <v>156</v>
      </c>
      <c r="EJR2" s="13" t="s">
        <v>368</v>
      </c>
      <c r="EJS2" s="13" t="s">
        <v>371</v>
      </c>
      <c r="EJT2" s="13" t="s">
        <v>161</v>
      </c>
      <c r="EJU2" s="13" t="s">
        <v>162</v>
      </c>
      <c r="EJV2" s="13" t="s">
        <v>158</v>
      </c>
      <c r="EJW2" s="13" t="s">
        <v>159</v>
      </c>
      <c r="EJX2" s="13" t="s">
        <v>160</v>
      </c>
      <c r="EJY2" s="13" t="s">
        <v>155</v>
      </c>
      <c r="EJZ2" s="13" t="s">
        <v>230</v>
      </c>
      <c r="EKA2" s="13" t="s">
        <v>156</v>
      </c>
      <c r="EKB2" s="13" t="s">
        <v>368</v>
      </c>
      <c r="EKC2" s="13" t="s">
        <v>371</v>
      </c>
      <c r="EKD2" s="13" t="s">
        <v>315</v>
      </c>
      <c r="EKE2" s="13" t="s">
        <v>162</v>
      </c>
      <c r="EKF2" s="13" t="s">
        <v>158</v>
      </c>
      <c r="EKG2" s="13" t="s">
        <v>159</v>
      </c>
      <c r="EKH2" s="13" t="s">
        <v>160</v>
      </c>
      <c r="EKI2" s="13" t="s">
        <v>155</v>
      </c>
      <c r="EKJ2" s="13" t="s">
        <v>230</v>
      </c>
      <c r="EKK2" s="13" t="s">
        <v>156</v>
      </c>
      <c r="EKL2" s="13" t="s">
        <v>368</v>
      </c>
      <c r="EKM2" s="13" t="s">
        <v>371</v>
      </c>
      <c r="EKN2" s="13" t="s">
        <v>161</v>
      </c>
      <c r="EKO2" s="13" t="s">
        <v>162</v>
      </c>
      <c r="EKP2" s="13" t="s">
        <v>158</v>
      </c>
      <c r="EKQ2" s="13" t="s">
        <v>159</v>
      </c>
      <c r="EKR2" s="13" t="s">
        <v>160</v>
      </c>
      <c r="EKS2" s="13" t="s">
        <v>155</v>
      </c>
      <c r="EKT2" s="13" t="s">
        <v>230</v>
      </c>
      <c r="EKU2" s="13" t="s">
        <v>156</v>
      </c>
      <c r="EKV2" s="13" t="s">
        <v>368</v>
      </c>
      <c r="EKW2" s="13" t="s">
        <v>371</v>
      </c>
      <c r="EKX2" s="13" t="s">
        <v>375</v>
      </c>
      <c r="EKY2" s="13" t="s">
        <v>162</v>
      </c>
      <c r="EKZ2" s="13" t="s">
        <v>158</v>
      </c>
      <c r="ELA2" s="13" t="s">
        <v>159</v>
      </c>
      <c r="ELB2" s="13" t="s">
        <v>160</v>
      </c>
      <c r="ELC2" s="13" t="s">
        <v>155</v>
      </c>
      <c r="ELD2" s="13" t="s">
        <v>230</v>
      </c>
      <c r="ELE2" s="13" t="s">
        <v>156</v>
      </c>
      <c r="ELF2" s="13" t="s">
        <v>368</v>
      </c>
      <c r="ELG2" s="13" t="s">
        <v>371</v>
      </c>
      <c r="ELH2" s="13" t="s">
        <v>375</v>
      </c>
      <c r="ELI2" s="13" t="s">
        <v>162</v>
      </c>
      <c r="ELJ2" s="13" t="s">
        <v>158</v>
      </c>
      <c r="ELK2" s="13" t="s">
        <v>159</v>
      </c>
      <c r="ELL2" s="13" t="s">
        <v>160</v>
      </c>
      <c r="ELM2" s="13" t="s">
        <v>155</v>
      </c>
      <c r="ELN2" s="13" t="s">
        <v>230</v>
      </c>
      <c r="ELO2" s="13" t="s">
        <v>156</v>
      </c>
      <c r="ELP2" s="13" t="s">
        <v>368</v>
      </c>
      <c r="ELQ2" s="13" t="s">
        <v>371</v>
      </c>
      <c r="ELR2" s="13" t="s">
        <v>375</v>
      </c>
      <c r="ELS2" s="13" t="s">
        <v>162</v>
      </c>
      <c r="ELT2" s="13" t="s">
        <v>158</v>
      </c>
      <c r="ELU2" s="13" t="s">
        <v>159</v>
      </c>
      <c r="ELV2" s="13" t="s">
        <v>160</v>
      </c>
      <c r="ELW2" s="13" t="s">
        <v>155</v>
      </c>
      <c r="ELX2" s="13" t="s">
        <v>230</v>
      </c>
      <c r="ELY2" s="13" t="s">
        <v>156</v>
      </c>
      <c r="ELZ2" s="13" t="s">
        <v>368</v>
      </c>
      <c r="EMA2" s="13" t="s">
        <v>371</v>
      </c>
      <c r="EMB2" s="13" t="s">
        <v>224</v>
      </c>
      <c r="EMC2" s="13" t="s">
        <v>161</v>
      </c>
      <c r="EMD2" s="13" t="s">
        <v>162</v>
      </c>
      <c r="EME2" s="13" t="s">
        <v>158</v>
      </c>
      <c r="EMF2" s="13" t="s">
        <v>159</v>
      </c>
      <c r="EMG2" s="13" t="s">
        <v>160</v>
      </c>
      <c r="EMH2" s="13" t="s">
        <v>155</v>
      </c>
      <c r="EMI2" s="13" t="s">
        <v>230</v>
      </c>
      <c r="EMJ2" s="13" t="s">
        <v>156</v>
      </c>
      <c r="EMK2" s="13" t="s">
        <v>368</v>
      </c>
      <c r="EML2" s="13" t="s">
        <v>371</v>
      </c>
      <c r="EMM2" s="13" t="s">
        <v>161</v>
      </c>
      <c r="EMN2" s="13" t="s">
        <v>162</v>
      </c>
      <c r="EMO2" s="13" t="s">
        <v>158</v>
      </c>
      <c r="EMP2" s="13" t="s">
        <v>159</v>
      </c>
      <c r="EMQ2" s="13" t="s">
        <v>160</v>
      </c>
      <c r="EMR2" s="13" t="s">
        <v>155</v>
      </c>
      <c r="EMS2" s="13" t="s">
        <v>230</v>
      </c>
      <c r="EMT2" s="13" t="s">
        <v>156</v>
      </c>
      <c r="EMU2" s="13" t="s">
        <v>368</v>
      </c>
      <c r="EMV2" s="13" t="s">
        <v>371</v>
      </c>
      <c r="EMW2" s="13" t="s">
        <v>382</v>
      </c>
      <c r="EMX2" s="13" t="s">
        <v>162</v>
      </c>
      <c r="EMY2" s="13" t="s">
        <v>158</v>
      </c>
      <c r="EMZ2" s="13" t="s">
        <v>159</v>
      </c>
      <c r="ENA2" s="13" t="s">
        <v>160</v>
      </c>
      <c r="ENB2" s="13" t="s">
        <v>155</v>
      </c>
      <c r="ENC2" s="13" t="s">
        <v>230</v>
      </c>
      <c r="END2" s="13" t="s">
        <v>156</v>
      </c>
      <c r="ENE2" s="13" t="s">
        <v>368</v>
      </c>
      <c r="ENF2" s="13" t="s">
        <v>371</v>
      </c>
      <c r="ENG2" s="13" t="s">
        <v>161</v>
      </c>
      <c r="ENH2" s="13" t="s">
        <v>162</v>
      </c>
      <c r="ENI2" s="13" t="s">
        <v>158</v>
      </c>
      <c r="ENJ2" s="13" t="s">
        <v>159</v>
      </c>
      <c r="ENK2" s="13" t="s">
        <v>160</v>
      </c>
      <c r="ENL2" s="13" t="s">
        <v>155</v>
      </c>
      <c r="ENM2" s="13" t="s">
        <v>230</v>
      </c>
      <c r="ENN2" s="13" t="s">
        <v>156</v>
      </c>
      <c r="ENO2" s="13" t="s">
        <v>368</v>
      </c>
      <c r="ENP2" s="13" t="s">
        <v>371</v>
      </c>
      <c r="ENQ2" s="13" t="s">
        <v>375</v>
      </c>
      <c r="ENR2" s="13" t="s">
        <v>162</v>
      </c>
      <c r="ENS2" s="13" t="s">
        <v>158</v>
      </c>
      <c r="ENT2" s="13" t="s">
        <v>159</v>
      </c>
      <c r="ENU2" s="13" t="s">
        <v>160</v>
      </c>
      <c r="ENV2" s="13" t="s">
        <v>155</v>
      </c>
      <c r="ENW2" s="13" t="s">
        <v>230</v>
      </c>
      <c r="ENX2" s="13" t="s">
        <v>156</v>
      </c>
      <c r="ENY2" s="13" t="s">
        <v>368</v>
      </c>
      <c r="ENZ2" s="13" t="s">
        <v>371</v>
      </c>
      <c r="EOA2" s="13" t="s">
        <v>161</v>
      </c>
      <c r="EOB2" s="13" t="s">
        <v>162</v>
      </c>
      <c r="EOC2" s="13" t="s">
        <v>158</v>
      </c>
      <c r="EOD2" s="13" t="s">
        <v>159</v>
      </c>
      <c r="EOE2" s="13" t="s">
        <v>160</v>
      </c>
      <c r="EOF2" s="13" t="s">
        <v>155</v>
      </c>
      <c r="EOG2" s="13" t="s">
        <v>230</v>
      </c>
      <c r="EOH2" s="13" t="s">
        <v>156</v>
      </c>
      <c r="EOI2" s="13" t="s">
        <v>368</v>
      </c>
      <c r="EOJ2" s="13" t="s">
        <v>371</v>
      </c>
      <c r="EOK2" s="13" t="s">
        <v>161</v>
      </c>
      <c r="EOL2" s="13" t="s">
        <v>162</v>
      </c>
      <c r="EOM2" s="13" t="s">
        <v>158</v>
      </c>
      <c r="EON2" s="13" t="s">
        <v>159</v>
      </c>
      <c r="EOO2" s="13" t="s">
        <v>160</v>
      </c>
      <c r="EOP2" s="13" t="s">
        <v>155</v>
      </c>
      <c r="EOQ2" s="13" t="s">
        <v>230</v>
      </c>
      <c r="EOR2" s="13" t="s">
        <v>156</v>
      </c>
      <c r="EOS2" s="13" t="s">
        <v>368</v>
      </c>
      <c r="EOT2" s="13" t="s">
        <v>371</v>
      </c>
      <c r="EOU2" s="13" t="s">
        <v>161</v>
      </c>
      <c r="EOV2" s="13" t="s">
        <v>162</v>
      </c>
      <c r="EOW2" s="13" t="s">
        <v>158</v>
      </c>
      <c r="EOX2" s="13" t="s">
        <v>159</v>
      </c>
      <c r="EOY2" s="13" t="s">
        <v>160</v>
      </c>
      <c r="EOZ2" s="13" t="s">
        <v>155</v>
      </c>
      <c r="EPA2" s="13" t="s">
        <v>230</v>
      </c>
      <c r="EPB2" s="13" t="s">
        <v>156</v>
      </c>
      <c r="EPC2" s="13" t="s">
        <v>368</v>
      </c>
      <c r="EPD2" s="13" t="s">
        <v>371</v>
      </c>
      <c r="EPE2" s="13" t="s">
        <v>161</v>
      </c>
      <c r="EPF2" s="13" t="s">
        <v>162</v>
      </c>
      <c r="EPG2" s="13" t="s">
        <v>158</v>
      </c>
      <c r="EPH2" s="13" t="s">
        <v>159</v>
      </c>
      <c r="EPI2" s="13" t="s">
        <v>160</v>
      </c>
      <c r="EPJ2" s="13" t="s">
        <v>439</v>
      </c>
      <c r="EPK2" s="13" t="s">
        <v>155</v>
      </c>
      <c r="EPL2" s="13" t="s">
        <v>230</v>
      </c>
      <c r="EPM2" s="13" t="s">
        <v>156</v>
      </c>
      <c r="EPN2" s="13" t="s">
        <v>368</v>
      </c>
      <c r="EPO2" s="13" t="s">
        <v>371</v>
      </c>
      <c r="EPP2" s="13" t="s">
        <v>224</v>
      </c>
      <c r="EPQ2" s="13" t="s">
        <v>161</v>
      </c>
      <c r="EPR2" s="13" t="s">
        <v>162</v>
      </c>
      <c r="EPS2" s="13" t="s">
        <v>158</v>
      </c>
      <c r="EPT2" s="13" t="s">
        <v>159</v>
      </c>
      <c r="EPU2" s="13" t="s">
        <v>160</v>
      </c>
      <c r="EPV2" s="13" t="s">
        <v>155</v>
      </c>
      <c r="EPW2" s="13" t="s">
        <v>230</v>
      </c>
      <c r="EPX2" s="13" t="s">
        <v>156</v>
      </c>
      <c r="EPY2" s="13" t="s">
        <v>368</v>
      </c>
      <c r="EPZ2" s="13" t="s">
        <v>371</v>
      </c>
      <c r="EQA2" s="13" t="s">
        <v>161</v>
      </c>
      <c r="EQB2" s="13" t="s">
        <v>162</v>
      </c>
      <c r="EQC2" s="13" t="s">
        <v>158</v>
      </c>
      <c r="EQD2" s="13" t="s">
        <v>159</v>
      </c>
      <c r="EQE2" s="13" t="s">
        <v>160</v>
      </c>
      <c r="EQF2" s="13" t="s">
        <v>155</v>
      </c>
      <c r="EQG2" s="13" t="s">
        <v>230</v>
      </c>
      <c r="EQH2" s="13" t="s">
        <v>156</v>
      </c>
      <c r="EQI2" s="13" t="s">
        <v>368</v>
      </c>
      <c r="EQJ2" s="13" t="s">
        <v>371</v>
      </c>
      <c r="EQK2" s="13" t="s">
        <v>161</v>
      </c>
      <c r="EQL2" s="13" t="s">
        <v>162</v>
      </c>
      <c r="EQM2" s="13" t="s">
        <v>158</v>
      </c>
      <c r="EQN2" s="13" t="s">
        <v>159</v>
      </c>
      <c r="EQO2" s="13" t="s">
        <v>160</v>
      </c>
      <c r="EQP2" s="13" t="s">
        <v>155</v>
      </c>
      <c r="EQQ2" s="13" t="s">
        <v>230</v>
      </c>
      <c r="EQR2" s="13" t="s">
        <v>156</v>
      </c>
      <c r="EQS2" s="13" t="s">
        <v>368</v>
      </c>
      <c r="EQT2" s="13" t="s">
        <v>371</v>
      </c>
      <c r="EQU2" s="13" t="s">
        <v>224</v>
      </c>
      <c r="EQV2" s="13" t="s">
        <v>161</v>
      </c>
      <c r="EQW2" s="13" t="s">
        <v>162</v>
      </c>
      <c r="EQX2" s="13" t="s">
        <v>158</v>
      </c>
      <c r="EQY2" s="13" t="s">
        <v>159</v>
      </c>
      <c r="EQZ2" s="13" t="s">
        <v>160</v>
      </c>
      <c r="ERA2" s="13" t="s">
        <v>155</v>
      </c>
      <c r="ERB2" s="13" t="s">
        <v>230</v>
      </c>
      <c r="ERC2" s="13" t="s">
        <v>156</v>
      </c>
      <c r="ERD2" s="13" t="s">
        <v>368</v>
      </c>
      <c r="ERE2" s="13" t="s">
        <v>371</v>
      </c>
      <c r="ERF2" s="13" t="s">
        <v>161</v>
      </c>
      <c r="ERG2" s="13" t="s">
        <v>162</v>
      </c>
      <c r="ERH2" s="13" t="s">
        <v>158</v>
      </c>
      <c r="ERI2" s="13" t="s">
        <v>159</v>
      </c>
      <c r="ERJ2" s="13" t="s">
        <v>160</v>
      </c>
      <c r="ERK2" s="13" t="s">
        <v>155</v>
      </c>
      <c r="ERL2" s="13" t="s">
        <v>230</v>
      </c>
      <c r="ERM2" s="13" t="s">
        <v>156</v>
      </c>
      <c r="ERN2" s="13" t="s">
        <v>368</v>
      </c>
      <c r="ERO2" s="13" t="s">
        <v>371</v>
      </c>
      <c r="ERP2" s="13" t="s">
        <v>161</v>
      </c>
      <c r="ERQ2" s="13" t="s">
        <v>162</v>
      </c>
      <c r="ERR2" s="13" t="s">
        <v>158</v>
      </c>
      <c r="ERS2" s="13" t="s">
        <v>159</v>
      </c>
      <c r="ERT2" s="13" t="s">
        <v>160</v>
      </c>
      <c r="ERU2" s="13" t="s">
        <v>155</v>
      </c>
      <c r="ERV2" s="13" t="s">
        <v>230</v>
      </c>
      <c r="ERW2" s="13" t="s">
        <v>156</v>
      </c>
      <c r="ERX2" s="13" t="s">
        <v>368</v>
      </c>
      <c r="ERY2" s="13" t="s">
        <v>371</v>
      </c>
      <c r="ERZ2" s="13" t="s">
        <v>161</v>
      </c>
      <c r="ESA2" s="13" t="s">
        <v>162</v>
      </c>
      <c r="ESB2" s="13" t="s">
        <v>158</v>
      </c>
      <c r="ESC2" s="13" t="s">
        <v>159</v>
      </c>
      <c r="ESD2" s="13" t="s">
        <v>160</v>
      </c>
      <c r="ESE2" s="13" t="s">
        <v>155</v>
      </c>
      <c r="ESF2" s="13" t="s">
        <v>230</v>
      </c>
      <c r="ESG2" s="13" t="s">
        <v>156</v>
      </c>
      <c r="ESH2" s="13" t="s">
        <v>368</v>
      </c>
      <c r="ESI2" s="13" t="s">
        <v>371</v>
      </c>
      <c r="ESJ2" s="13" t="s">
        <v>161</v>
      </c>
      <c r="ESK2" s="13" t="s">
        <v>162</v>
      </c>
      <c r="ESL2" s="13" t="s">
        <v>158</v>
      </c>
      <c r="ESM2" s="13" t="s">
        <v>159</v>
      </c>
      <c r="ESN2" s="13" t="s">
        <v>160</v>
      </c>
      <c r="ESO2" s="13" t="s">
        <v>155</v>
      </c>
      <c r="ESP2" s="13" t="s">
        <v>230</v>
      </c>
      <c r="ESQ2" s="13" t="s">
        <v>156</v>
      </c>
      <c r="ESR2" s="13" t="s">
        <v>368</v>
      </c>
      <c r="ESS2" s="13" t="s">
        <v>371</v>
      </c>
      <c r="EST2" s="13" t="s">
        <v>337</v>
      </c>
      <c r="ESU2" s="13" t="s">
        <v>162</v>
      </c>
      <c r="ESV2" s="13" t="s">
        <v>439</v>
      </c>
      <c r="ESW2" s="13" t="s">
        <v>155</v>
      </c>
      <c r="ESX2" s="13" t="s">
        <v>230</v>
      </c>
      <c r="ESY2" s="13" t="s">
        <v>156</v>
      </c>
      <c r="ESZ2" s="13" t="s">
        <v>368</v>
      </c>
      <c r="ETA2" s="13" t="s">
        <v>371</v>
      </c>
      <c r="ETB2" s="13" t="s">
        <v>224</v>
      </c>
      <c r="ETC2" s="13" t="s">
        <v>161</v>
      </c>
      <c r="ETD2" s="13" t="s">
        <v>162</v>
      </c>
      <c r="ETE2" s="13" t="s">
        <v>158</v>
      </c>
      <c r="ETF2" s="13" t="s">
        <v>159</v>
      </c>
      <c r="ETG2" s="13" t="s">
        <v>160</v>
      </c>
      <c r="ETH2" s="13" t="s">
        <v>155</v>
      </c>
      <c r="ETI2" s="13" t="s">
        <v>230</v>
      </c>
      <c r="ETJ2" s="13" t="s">
        <v>156</v>
      </c>
      <c r="ETK2" s="13" t="s">
        <v>368</v>
      </c>
      <c r="ETL2" s="13" t="s">
        <v>371</v>
      </c>
      <c r="ETM2" s="13" t="s">
        <v>161</v>
      </c>
      <c r="ETN2" s="13" t="s">
        <v>162</v>
      </c>
      <c r="ETO2" s="13" t="s">
        <v>158</v>
      </c>
      <c r="ETP2" s="13" t="s">
        <v>159</v>
      </c>
      <c r="ETQ2" s="13" t="s">
        <v>160</v>
      </c>
      <c r="ETR2" s="13" t="s">
        <v>155</v>
      </c>
      <c r="ETS2" s="13" t="s">
        <v>230</v>
      </c>
      <c r="ETT2" s="13" t="s">
        <v>156</v>
      </c>
      <c r="ETU2" s="13" t="s">
        <v>368</v>
      </c>
      <c r="ETV2" s="13" t="s">
        <v>371</v>
      </c>
      <c r="ETW2" s="13" t="s">
        <v>484</v>
      </c>
      <c r="ETX2" s="13" t="s">
        <v>244</v>
      </c>
      <c r="ETY2" s="13" t="s">
        <v>158</v>
      </c>
      <c r="ETZ2" s="13" t="s">
        <v>159</v>
      </c>
      <c r="EUA2" s="13" t="s">
        <v>160</v>
      </c>
      <c r="EUB2" s="13" t="s">
        <v>155</v>
      </c>
      <c r="EUC2" s="13" t="s">
        <v>230</v>
      </c>
      <c r="EUD2" s="13" t="s">
        <v>156</v>
      </c>
      <c r="EUE2" s="13" t="s">
        <v>368</v>
      </c>
      <c r="EUF2" s="13" t="s">
        <v>371</v>
      </c>
      <c r="EUG2" s="13" t="s">
        <v>161</v>
      </c>
      <c r="EUH2" s="13" t="s">
        <v>162</v>
      </c>
      <c r="EUI2" s="13" t="s">
        <v>158</v>
      </c>
      <c r="EUJ2" s="13" t="s">
        <v>159</v>
      </c>
      <c r="EUK2" s="13" t="s">
        <v>1033</v>
      </c>
      <c r="EUL2" s="13" t="s">
        <v>160</v>
      </c>
      <c r="EUM2" s="13" t="s">
        <v>155</v>
      </c>
      <c r="EUN2" s="13" t="s">
        <v>230</v>
      </c>
      <c r="EUO2" s="13" t="s">
        <v>156</v>
      </c>
      <c r="EUP2" s="13" t="s">
        <v>368</v>
      </c>
      <c r="EUQ2" s="13" t="s">
        <v>371</v>
      </c>
      <c r="EUR2" s="13" t="s">
        <v>161</v>
      </c>
      <c r="EUS2" s="13" t="s">
        <v>244</v>
      </c>
      <c r="EUT2" s="13" t="s">
        <v>158</v>
      </c>
      <c r="EUU2" s="13" t="s">
        <v>159</v>
      </c>
      <c r="EUV2" s="13" t="s">
        <v>160</v>
      </c>
      <c r="EUW2" s="13" t="s">
        <v>155</v>
      </c>
      <c r="EUX2" s="13" t="s">
        <v>230</v>
      </c>
      <c r="EUY2" s="13" t="s">
        <v>156</v>
      </c>
      <c r="EUZ2" s="13" t="s">
        <v>368</v>
      </c>
      <c r="EVA2" s="13" t="s">
        <v>371</v>
      </c>
      <c r="EVB2" s="13" t="s">
        <v>311</v>
      </c>
      <c r="EVC2" s="13" t="s">
        <v>244</v>
      </c>
      <c r="EVD2" s="13" t="s">
        <v>158</v>
      </c>
      <c r="EVE2" s="13" t="s">
        <v>159</v>
      </c>
      <c r="EVF2" s="13" t="s">
        <v>160</v>
      </c>
      <c r="EVG2" s="13" t="s">
        <v>155</v>
      </c>
      <c r="EVH2" s="13" t="s">
        <v>230</v>
      </c>
      <c r="EVI2" s="13" t="s">
        <v>156</v>
      </c>
      <c r="EVJ2" s="13" t="s">
        <v>368</v>
      </c>
      <c r="EVK2" s="13" t="s">
        <v>371</v>
      </c>
      <c r="EVL2" s="13" t="s">
        <v>397</v>
      </c>
      <c r="EVM2" s="13" t="s">
        <v>162</v>
      </c>
      <c r="EVN2" s="13" t="s">
        <v>158</v>
      </c>
      <c r="EVO2" s="13" t="s">
        <v>159</v>
      </c>
      <c r="EVP2" s="13" t="s">
        <v>160</v>
      </c>
      <c r="EVQ2" s="13" t="s">
        <v>155</v>
      </c>
      <c r="EVR2" s="13" t="s">
        <v>230</v>
      </c>
      <c r="EVS2" s="13" t="s">
        <v>156</v>
      </c>
      <c r="EVT2" s="13" t="s">
        <v>368</v>
      </c>
      <c r="EVU2" s="13" t="s">
        <v>371</v>
      </c>
      <c r="EVV2" s="13" t="s">
        <v>161</v>
      </c>
      <c r="EVW2" s="13" t="s">
        <v>162</v>
      </c>
      <c r="EVX2" s="13" t="s">
        <v>158</v>
      </c>
      <c r="EVY2" s="13" t="s">
        <v>159</v>
      </c>
      <c r="EVZ2" s="13" t="s">
        <v>160</v>
      </c>
      <c r="EWA2" s="13" t="s">
        <v>155</v>
      </c>
      <c r="EWB2" s="13" t="s">
        <v>230</v>
      </c>
      <c r="EWC2" s="13" t="s">
        <v>156</v>
      </c>
      <c r="EWD2" s="13" t="s">
        <v>368</v>
      </c>
      <c r="EWE2" s="13" t="s">
        <v>371</v>
      </c>
      <c r="EWF2" s="13" t="s">
        <v>161</v>
      </c>
      <c r="EWG2" s="13" t="s">
        <v>162</v>
      </c>
      <c r="EWH2" s="13" t="s">
        <v>158</v>
      </c>
      <c r="EWI2" s="13" t="s">
        <v>159</v>
      </c>
      <c r="EWJ2" s="13" t="s">
        <v>160</v>
      </c>
      <c r="EWK2" s="13" t="s">
        <v>155</v>
      </c>
      <c r="EWL2" s="13" t="s">
        <v>230</v>
      </c>
      <c r="EWM2" s="13" t="s">
        <v>156</v>
      </c>
      <c r="EWN2" s="13" t="s">
        <v>368</v>
      </c>
      <c r="EWO2" s="13" t="s">
        <v>371</v>
      </c>
      <c r="EWP2" s="13" t="s">
        <v>224</v>
      </c>
      <c r="EWQ2" s="13" t="s">
        <v>161</v>
      </c>
      <c r="EWR2" s="13" t="s">
        <v>162</v>
      </c>
      <c r="EWS2" s="13" t="s">
        <v>158</v>
      </c>
      <c r="EWT2" s="13" t="s">
        <v>159</v>
      </c>
      <c r="EWU2" s="13" t="s">
        <v>160</v>
      </c>
      <c r="EWV2" s="13" t="s">
        <v>155</v>
      </c>
      <c r="EWW2" s="13" t="s">
        <v>230</v>
      </c>
      <c r="EWX2" s="13" t="s">
        <v>156</v>
      </c>
      <c r="EWY2" s="13" t="s">
        <v>368</v>
      </c>
      <c r="EWZ2" s="13" t="s">
        <v>371</v>
      </c>
      <c r="EXA2" s="13" t="s">
        <v>224</v>
      </c>
      <c r="EXB2" s="13" t="s">
        <v>161</v>
      </c>
      <c r="EXC2" s="13" t="s">
        <v>162</v>
      </c>
      <c r="EXD2" s="13" t="s">
        <v>158</v>
      </c>
      <c r="EXE2" s="13" t="s">
        <v>159</v>
      </c>
      <c r="EXF2" s="13" t="s">
        <v>160</v>
      </c>
      <c r="EXG2" s="13" t="s">
        <v>155</v>
      </c>
      <c r="EXH2" s="13" t="s">
        <v>230</v>
      </c>
      <c r="EXI2" s="13" t="s">
        <v>156</v>
      </c>
      <c r="EXJ2" s="13" t="s">
        <v>368</v>
      </c>
      <c r="EXK2" s="13" t="s">
        <v>371</v>
      </c>
      <c r="EXL2" s="13" t="s">
        <v>758</v>
      </c>
      <c r="EXM2" s="13" t="s">
        <v>162</v>
      </c>
      <c r="EXN2" s="13" t="s">
        <v>1766</v>
      </c>
      <c r="EXO2" s="13" t="s">
        <v>159</v>
      </c>
      <c r="EXP2" s="13" t="s">
        <v>160</v>
      </c>
      <c r="EXQ2" s="13" t="s">
        <v>155</v>
      </c>
      <c r="EXR2" s="13" t="s">
        <v>230</v>
      </c>
      <c r="EXS2" s="13" t="s">
        <v>156</v>
      </c>
      <c r="EXT2" s="13" t="s">
        <v>368</v>
      </c>
      <c r="EXU2" s="13" t="s">
        <v>371</v>
      </c>
      <c r="EXV2" s="13" t="s">
        <v>316</v>
      </c>
      <c r="EXW2" s="13" t="s">
        <v>162</v>
      </c>
      <c r="EXX2" s="13" t="s">
        <v>1018</v>
      </c>
      <c r="EXY2" s="13" t="s">
        <v>159</v>
      </c>
      <c r="EXZ2" s="13" t="s">
        <v>160</v>
      </c>
      <c r="EYA2" s="13" t="s">
        <v>155</v>
      </c>
      <c r="EYB2" s="13" t="s">
        <v>230</v>
      </c>
      <c r="EYC2" s="13" t="s">
        <v>156</v>
      </c>
      <c r="EYD2" s="13" t="s">
        <v>368</v>
      </c>
      <c r="EYE2" s="13" t="s">
        <v>371</v>
      </c>
      <c r="EYF2" s="13" t="s">
        <v>161</v>
      </c>
      <c r="EYG2" s="13" t="s">
        <v>162</v>
      </c>
      <c r="EYH2" s="13" t="s">
        <v>1018</v>
      </c>
      <c r="EYI2" s="13" t="s">
        <v>159</v>
      </c>
      <c r="EYJ2" s="13" t="s">
        <v>160</v>
      </c>
      <c r="EYK2" s="13" t="s">
        <v>155</v>
      </c>
      <c r="EYL2" s="13" t="s">
        <v>230</v>
      </c>
      <c r="EYM2" s="13" t="s">
        <v>156</v>
      </c>
      <c r="EYN2" s="13" t="s">
        <v>368</v>
      </c>
      <c r="EYO2" s="13" t="s">
        <v>371</v>
      </c>
      <c r="EYP2" s="13" t="s">
        <v>758</v>
      </c>
      <c r="EYQ2" s="13" t="s">
        <v>162</v>
      </c>
      <c r="EYR2" s="13" t="s">
        <v>1018</v>
      </c>
      <c r="EYS2" s="13" t="s">
        <v>159</v>
      </c>
      <c r="EYT2" s="13" t="s">
        <v>160</v>
      </c>
      <c r="EYU2" s="13" t="s">
        <v>155</v>
      </c>
      <c r="EYV2" s="13" t="s">
        <v>230</v>
      </c>
      <c r="EYW2" s="13" t="s">
        <v>156</v>
      </c>
      <c r="EYX2" s="13" t="s">
        <v>368</v>
      </c>
      <c r="EYY2" s="13" t="s">
        <v>371</v>
      </c>
      <c r="EYZ2" s="13" t="s">
        <v>316</v>
      </c>
      <c r="EZA2" s="13" t="s">
        <v>162</v>
      </c>
      <c r="EZB2" s="13" t="s">
        <v>1018</v>
      </c>
      <c r="EZC2" s="13" t="s">
        <v>159</v>
      </c>
      <c r="EZD2" s="13" t="s">
        <v>160</v>
      </c>
      <c r="EZE2" s="13" t="s">
        <v>155</v>
      </c>
      <c r="EZF2" s="13" t="s">
        <v>230</v>
      </c>
      <c r="EZG2" s="13" t="s">
        <v>156</v>
      </c>
      <c r="EZH2" s="13" t="s">
        <v>368</v>
      </c>
      <c r="EZI2" s="13" t="s">
        <v>371</v>
      </c>
      <c r="EZJ2" s="13" t="s">
        <v>161</v>
      </c>
      <c r="EZK2" s="13" t="s">
        <v>162</v>
      </c>
      <c r="EZL2" s="13" t="s">
        <v>158</v>
      </c>
      <c r="EZM2" s="13" t="s">
        <v>159</v>
      </c>
      <c r="EZN2" s="13" t="s">
        <v>160</v>
      </c>
      <c r="EZO2" s="13" t="s">
        <v>1766</v>
      </c>
      <c r="EZP2" s="13" t="s">
        <v>155</v>
      </c>
      <c r="EZQ2" s="13" t="s">
        <v>230</v>
      </c>
      <c r="EZR2" s="13" t="s">
        <v>156</v>
      </c>
      <c r="EZS2" s="13" t="s">
        <v>368</v>
      </c>
      <c r="EZT2" s="13" t="s">
        <v>371</v>
      </c>
      <c r="EZU2" s="13" t="s">
        <v>316</v>
      </c>
      <c r="EZV2" s="13" t="s">
        <v>162</v>
      </c>
      <c r="EZW2" s="13" t="s">
        <v>158</v>
      </c>
      <c r="EZX2" s="13" t="s">
        <v>159</v>
      </c>
      <c r="EZY2" s="13" t="s">
        <v>160</v>
      </c>
      <c r="EZZ2" s="13" t="s">
        <v>155</v>
      </c>
      <c r="FAA2" s="13" t="s">
        <v>230</v>
      </c>
      <c r="FAB2" s="13" t="s">
        <v>156</v>
      </c>
      <c r="FAC2" s="13" t="s">
        <v>368</v>
      </c>
      <c r="FAD2" s="13" t="s">
        <v>371</v>
      </c>
      <c r="FAE2" s="13" t="s">
        <v>1788</v>
      </c>
      <c r="FAF2" s="13" t="s">
        <v>162</v>
      </c>
      <c r="FAG2" s="13" t="s">
        <v>158</v>
      </c>
      <c r="FAH2" s="13" t="s">
        <v>159</v>
      </c>
      <c r="FAI2" s="13" t="s">
        <v>160</v>
      </c>
      <c r="FAJ2" s="13" t="s">
        <v>155</v>
      </c>
      <c r="FAK2" s="13" t="s">
        <v>230</v>
      </c>
      <c r="FAL2" s="13" t="s">
        <v>156</v>
      </c>
      <c r="FAM2" s="13" t="s">
        <v>368</v>
      </c>
      <c r="FAN2" s="13" t="s">
        <v>371</v>
      </c>
      <c r="FAO2" s="13" t="s">
        <v>377</v>
      </c>
      <c r="FAP2" s="13" t="s">
        <v>162</v>
      </c>
      <c r="FAQ2" s="13" t="s">
        <v>158</v>
      </c>
      <c r="FAR2" s="13" t="s">
        <v>159</v>
      </c>
      <c r="FAS2" s="13" t="s">
        <v>160</v>
      </c>
      <c r="FAT2" s="13" t="s">
        <v>155</v>
      </c>
      <c r="FAU2" s="13" t="s">
        <v>230</v>
      </c>
      <c r="FAV2" s="13" t="s">
        <v>156</v>
      </c>
      <c r="FAW2" s="13" t="s">
        <v>368</v>
      </c>
      <c r="FAX2" s="13" t="s">
        <v>371</v>
      </c>
      <c r="FAY2" s="13" t="s">
        <v>161</v>
      </c>
      <c r="FAZ2" s="13" t="s">
        <v>162</v>
      </c>
      <c r="FBA2" s="13" t="s">
        <v>158</v>
      </c>
      <c r="FBB2" s="13" t="s">
        <v>159</v>
      </c>
      <c r="FBC2" s="13" t="s">
        <v>160</v>
      </c>
      <c r="FBD2" s="13" t="s">
        <v>155</v>
      </c>
      <c r="FBE2" s="13" t="s">
        <v>230</v>
      </c>
      <c r="FBF2" s="13" t="s">
        <v>156</v>
      </c>
      <c r="FBG2" s="13" t="s">
        <v>368</v>
      </c>
      <c r="FBH2" s="13" t="s">
        <v>371</v>
      </c>
      <c r="FBI2" s="13" t="s">
        <v>224</v>
      </c>
      <c r="FBJ2" s="13" t="s">
        <v>161</v>
      </c>
      <c r="FBK2" s="13" t="s">
        <v>162</v>
      </c>
      <c r="FBL2" s="13" t="s">
        <v>158</v>
      </c>
      <c r="FBM2" s="13" t="s">
        <v>159</v>
      </c>
      <c r="FBN2" s="13" t="s">
        <v>160</v>
      </c>
      <c r="FBO2" s="13" t="s">
        <v>155</v>
      </c>
      <c r="FBP2" s="13" t="s">
        <v>230</v>
      </c>
      <c r="FBQ2" s="13" t="s">
        <v>156</v>
      </c>
      <c r="FBR2" s="13" t="s">
        <v>368</v>
      </c>
      <c r="FBS2" s="13" t="s">
        <v>371</v>
      </c>
      <c r="FBT2" s="13" t="s">
        <v>161</v>
      </c>
      <c r="FBU2" s="13" t="s">
        <v>162</v>
      </c>
      <c r="FBV2" s="13" t="s">
        <v>158</v>
      </c>
      <c r="FBW2" s="13" t="s">
        <v>159</v>
      </c>
      <c r="FBX2" s="13" t="s">
        <v>160</v>
      </c>
      <c r="FBY2" s="13" t="s">
        <v>155</v>
      </c>
      <c r="FBZ2" s="13" t="s">
        <v>230</v>
      </c>
      <c r="FCA2" s="13" t="s">
        <v>156</v>
      </c>
      <c r="FCB2" s="13" t="s">
        <v>368</v>
      </c>
      <c r="FCC2" s="13" t="s">
        <v>371</v>
      </c>
      <c r="FCD2" s="13" t="s">
        <v>358</v>
      </c>
      <c r="FCE2" s="13" t="s">
        <v>162</v>
      </c>
      <c r="FCF2" s="13" t="s">
        <v>158</v>
      </c>
      <c r="FCG2" s="13" t="s">
        <v>159</v>
      </c>
      <c r="FCH2" s="13" t="s">
        <v>160</v>
      </c>
      <c r="FCI2" s="13" t="s">
        <v>155</v>
      </c>
      <c r="FCJ2" s="13" t="s">
        <v>230</v>
      </c>
      <c r="FCK2" s="13" t="s">
        <v>156</v>
      </c>
      <c r="FCL2" s="13" t="s">
        <v>368</v>
      </c>
      <c r="FCM2" s="13" t="s">
        <v>371</v>
      </c>
      <c r="FCN2" s="13" t="s">
        <v>161</v>
      </c>
      <c r="FCO2" s="13" t="s">
        <v>162</v>
      </c>
      <c r="FCP2" s="13" t="s">
        <v>158</v>
      </c>
      <c r="FCQ2" s="13" t="s">
        <v>159</v>
      </c>
      <c r="FCR2" s="13" t="s">
        <v>160</v>
      </c>
      <c r="FCS2" s="13" t="s">
        <v>155</v>
      </c>
      <c r="FCT2" s="13" t="s">
        <v>230</v>
      </c>
      <c r="FCU2" s="13" t="s">
        <v>156</v>
      </c>
      <c r="FCV2" s="13" t="s">
        <v>368</v>
      </c>
      <c r="FCW2" s="13" t="s">
        <v>371</v>
      </c>
      <c r="FCX2" s="13" t="s">
        <v>161</v>
      </c>
      <c r="FCY2" s="13" t="s">
        <v>162</v>
      </c>
      <c r="FCZ2" s="13" t="s">
        <v>158</v>
      </c>
      <c r="FDA2" s="13" t="s">
        <v>159</v>
      </c>
      <c r="FDB2" s="13" t="s">
        <v>160</v>
      </c>
      <c r="FDC2" s="13" t="s">
        <v>155</v>
      </c>
      <c r="FDD2" s="13" t="s">
        <v>230</v>
      </c>
      <c r="FDE2" s="13" t="s">
        <v>156</v>
      </c>
      <c r="FDF2" s="13" t="s">
        <v>368</v>
      </c>
      <c r="FDG2" s="13" t="s">
        <v>371</v>
      </c>
      <c r="FDH2" s="13" t="s">
        <v>161</v>
      </c>
      <c r="FDI2" s="13" t="s">
        <v>162</v>
      </c>
      <c r="FDJ2" s="13" t="s">
        <v>158</v>
      </c>
      <c r="FDK2" s="13" t="s">
        <v>159</v>
      </c>
      <c r="FDL2" s="13" t="s">
        <v>160</v>
      </c>
      <c r="FDM2" s="13" t="s">
        <v>155</v>
      </c>
      <c r="FDN2" s="13" t="s">
        <v>230</v>
      </c>
      <c r="FDO2" s="13" t="s">
        <v>156</v>
      </c>
      <c r="FDP2" s="13" t="s">
        <v>368</v>
      </c>
      <c r="FDQ2" s="13" t="s">
        <v>371</v>
      </c>
      <c r="FDR2" s="13" t="s">
        <v>161</v>
      </c>
      <c r="FDS2" s="13" t="s">
        <v>162</v>
      </c>
      <c r="FDT2" s="13" t="s">
        <v>158</v>
      </c>
      <c r="FDU2" s="13" t="s">
        <v>159</v>
      </c>
      <c r="FDV2" s="13" t="s">
        <v>160</v>
      </c>
      <c r="FDW2" s="13" t="s">
        <v>155</v>
      </c>
      <c r="FDX2" s="13" t="s">
        <v>230</v>
      </c>
      <c r="FDY2" s="13" t="s">
        <v>156</v>
      </c>
      <c r="FDZ2" s="13" t="s">
        <v>368</v>
      </c>
      <c r="FEA2" s="13" t="s">
        <v>371</v>
      </c>
      <c r="FEB2" s="13" t="s">
        <v>161</v>
      </c>
      <c r="FEC2" s="13" t="s">
        <v>162</v>
      </c>
      <c r="FED2" s="13" t="s">
        <v>158</v>
      </c>
      <c r="FEE2" s="13" t="s">
        <v>159</v>
      </c>
      <c r="FEF2" s="13" t="s">
        <v>160</v>
      </c>
      <c r="FEG2" s="13" t="s">
        <v>155</v>
      </c>
      <c r="FEH2" s="13" t="s">
        <v>230</v>
      </c>
      <c r="FEI2" s="13" t="s">
        <v>156</v>
      </c>
      <c r="FEJ2" s="13" t="s">
        <v>368</v>
      </c>
      <c r="FEK2" s="13" t="s">
        <v>371</v>
      </c>
      <c r="FEL2" s="13" t="s">
        <v>758</v>
      </c>
      <c r="FEM2" s="13" t="s">
        <v>162</v>
      </c>
      <c r="FEN2" s="13" t="s">
        <v>158</v>
      </c>
      <c r="FEO2" s="13" t="s">
        <v>159</v>
      </c>
      <c r="FEP2" s="13" t="s">
        <v>242</v>
      </c>
      <c r="FEQ2" s="13" t="s">
        <v>160</v>
      </c>
      <c r="FER2" s="13" t="s">
        <v>155</v>
      </c>
      <c r="FES2" s="13" t="s">
        <v>230</v>
      </c>
      <c r="FET2" s="13" t="s">
        <v>156</v>
      </c>
      <c r="FEU2" s="13" t="s">
        <v>368</v>
      </c>
      <c r="FEV2" s="13" t="s">
        <v>371</v>
      </c>
      <c r="FEW2" s="13" t="s">
        <v>358</v>
      </c>
      <c r="FEX2" s="13" t="s">
        <v>162</v>
      </c>
      <c r="FEY2" s="13" t="s">
        <v>158</v>
      </c>
      <c r="FEZ2" s="13" t="s">
        <v>159</v>
      </c>
      <c r="FFA2" s="13" t="s">
        <v>160</v>
      </c>
      <c r="FFB2" s="13" t="s">
        <v>155</v>
      </c>
      <c r="FFC2" s="13" t="s">
        <v>230</v>
      </c>
      <c r="FFD2" s="13" t="s">
        <v>156</v>
      </c>
      <c r="FFE2" s="13" t="s">
        <v>368</v>
      </c>
      <c r="FFF2" s="13" t="s">
        <v>371</v>
      </c>
      <c r="FFG2" s="13" t="s">
        <v>358</v>
      </c>
      <c r="FFH2" s="13" t="s">
        <v>162</v>
      </c>
      <c r="FFI2" s="13" t="s">
        <v>158</v>
      </c>
      <c r="FFJ2" s="13" t="s">
        <v>159</v>
      </c>
      <c r="FFK2" s="13" t="s">
        <v>160</v>
      </c>
      <c r="FFL2" s="13" t="s">
        <v>155</v>
      </c>
      <c r="FFM2" s="13" t="s">
        <v>230</v>
      </c>
      <c r="FFN2" s="13" t="s">
        <v>156</v>
      </c>
      <c r="FFO2" s="13" t="s">
        <v>368</v>
      </c>
      <c r="FFP2" s="13" t="s">
        <v>371</v>
      </c>
      <c r="FFQ2" s="13" t="s">
        <v>161</v>
      </c>
      <c r="FFR2" s="13" t="s">
        <v>162</v>
      </c>
      <c r="FFS2" s="13" t="s">
        <v>158</v>
      </c>
      <c r="FFT2" s="13" t="s">
        <v>159</v>
      </c>
      <c r="FFU2" s="13" t="s">
        <v>160</v>
      </c>
      <c r="FFV2" s="13" t="s">
        <v>155</v>
      </c>
      <c r="FFW2" s="13" t="s">
        <v>230</v>
      </c>
      <c r="FFX2" s="13" t="s">
        <v>156</v>
      </c>
      <c r="FFY2" s="13" t="s">
        <v>368</v>
      </c>
      <c r="FFZ2" s="13" t="s">
        <v>371</v>
      </c>
      <c r="FGA2" s="13" t="s">
        <v>358</v>
      </c>
      <c r="FGB2" s="13" t="s">
        <v>162</v>
      </c>
      <c r="FGC2" s="13" t="s">
        <v>158</v>
      </c>
      <c r="FGD2" s="13" t="s">
        <v>159</v>
      </c>
      <c r="FGE2" s="13" t="s">
        <v>160</v>
      </c>
      <c r="FGF2" s="13" t="s">
        <v>155</v>
      </c>
      <c r="FGG2" s="13" t="s">
        <v>230</v>
      </c>
      <c r="FGH2" s="13" t="s">
        <v>156</v>
      </c>
      <c r="FGI2" s="13" t="s">
        <v>368</v>
      </c>
      <c r="FGJ2" s="13" t="s">
        <v>371</v>
      </c>
      <c r="FGK2" s="13" t="s">
        <v>161</v>
      </c>
      <c r="FGL2" s="13" t="s">
        <v>162</v>
      </c>
      <c r="FGM2" s="13" t="s">
        <v>158</v>
      </c>
      <c r="FGN2" s="13" t="s">
        <v>159</v>
      </c>
      <c r="FGO2" s="13" t="s">
        <v>160</v>
      </c>
      <c r="FGP2" s="13" t="s">
        <v>155</v>
      </c>
      <c r="FGQ2" s="13" t="s">
        <v>230</v>
      </c>
      <c r="FGR2" s="13" t="s">
        <v>156</v>
      </c>
      <c r="FGS2" s="13" t="s">
        <v>368</v>
      </c>
      <c r="FGT2" s="13" t="s">
        <v>371</v>
      </c>
      <c r="FGU2" s="13" t="s">
        <v>224</v>
      </c>
      <c r="FGV2" s="13" t="s">
        <v>161</v>
      </c>
      <c r="FGW2" s="13" t="s">
        <v>162</v>
      </c>
      <c r="FGX2" s="13" t="s">
        <v>158</v>
      </c>
      <c r="FGY2" s="13" t="s">
        <v>159</v>
      </c>
      <c r="FGZ2" s="13" t="s">
        <v>160</v>
      </c>
      <c r="FHA2" s="13" t="s">
        <v>155</v>
      </c>
      <c r="FHB2" s="13" t="s">
        <v>230</v>
      </c>
      <c r="FHC2" s="13" t="s">
        <v>156</v>
      </c>
      <c r="FHD2" s="13" t="s">
        <v>368</v>
      </c>
      <c r="FHE2" s="13" t="s">
        <v>371</v>
      </c>
      <c r="FHF2" s="13" t="s">
        <v>161</v>
      </c>
      <c r="FHG2" s="13" t="s">
        <v>162</v>
      </c>
      <c r="FHH2" s="13" t="s">
        <v>158</v>
      </c>
      <c r="FHI2" s="13" t="s">
        <v>159</v>
      </c>
      <c r="FHJ2" s="13" t="s">
        <v>160</v>
      </c>
      <c r="FHK2" s="13" t="s">
        <v>155</v>
      </c>
      <c r="FHL2" s="13" t="s">
        <v>230</v>
      </c>
      <c r="FHM2" s="13" t="s">
        <v>156</v>
      </c>
      <c r="FHN2" s="13" t="s">
        <v>368</v>
      </c>
      <c r="FHO2" s="13" t="s">
        <v>371</v>
      </c>
      <c r="FHP2" s="13" t="s">
        <v>161</v>
      </c>
      <c r="FHQ2" s="13" t="s">
        <v>162</v>
      </c>
      <c r="FHR2" s="13" t="s">
        <v>158</v>
      </c>
      <c r="FHS2" s="13" t="s">
        <v>159</v>
      </c>
      <c r="FHT2" s="13" t="s">
        <v>160</v>
      </c>
      <c r="FHU2" s="13" t="s">
        <v>155</v>
      </c>
      <c r="FHV2" s="13" t="s">
        <v>230</v>
      </c>
      <c r="FHW2" s="13" t="s">
        <v>156</v>
      </c>
      <c r="FHX2" s="13" t="s">
        <v>368</v>
      </c>
      <c r="FHY2" s="13" t="s">
        <v>371</v>
      </c>
      <c r="FHZ2" s="13" t="s">
        <v>161</v>
      </c>
      <c r="FIA2" s="13" t="s">
        <v>162</v>
      </c>
      <c r="FIB2" s="13" t="s">
        <v>158</v>
      </c>
      <c r="FIC2" s="13" t="s">
        <v>159</v>
      </c>
      <c r="FID2" s="13" t="s">
        <v>160</v>
      </c>
      <c r="FIE2" s="13" t="s">
        <v>155</v>
      </c>
      <c r="FIF2" s="13" t="s">
        <v>230</v>
      </c>
      <c r="FIG2" s="13" t="s">
        <v>156</v>
      </c>
      <c r="FIH2" s="13" t="s">
        <v>368</v>
      </c>
      <c r="FII2" s="13" t="s">
        <v>371</v>
      </c>
      <c r="FIJ2" s="13" t="s">
        <v>161</v>
      </c>
      <c r="FIK2" s="13" t="s">
        <v>162</v>
      </c>
      <c r="FIL2" s="13" t="s">
        <v>158</v>
      </c>
      <c r="FIM2" s="13" t="s">
        <v>159</v>
      </c>
      <c r="FIN2" s="13" t="s">
        <v>160</v>
      </c>
      <c r="FIO2" s="13" t="s">
        <v>155</v>
      </c>
      <c r="FIP2" s="13" t="s">
        <v>230</v>
      </c>
      <c r="FIQ2" s="13" t="s">
        <v>156</v>
      </c>
      <c r="FIR2" s="13" t="s">
        <v>368</v>
      </c>
      <c r="FIS2" s="13" t="s">
        <v>371</v>
      </c>
      <c r="FIT2" s="13" t="s">
        <v>161</v>
      </c>
      <c r="FIU2" s="13" t="s">
        <v>162</v>
      </c>
      <c r="FIV2" s="13" t="s">
        <v>158</v>
      </c>
      <c r="FIW2" s="13" t="s">
        <v>159</v>
      </c>
      <c r="FIX2" s="13" t="s">
        <v>160</v>
      </c>
      <c r="FIY2" s="13" t="s">
        <v>155</v>
      </c>
      <c r="FIZ2" s="13" t="s">
        <v>230</v>
      </c>
      <c r="FJA2" s="13" t="s">
        <v>156</v>
      </c>
      <c r="FJB2" s="13" t="s">
        <v>368</v>
      </c>
      <c r="FJC2" s="13" t="s">
        <v>371</v>
      </c>
      <c r="FJD2" s="13" t="s">
        <v>224</v>
      </c>
      <c r="FJE2" s="13" t="s">
        <v>161</v>
      </c>
      <c r="FJF2" s="13" t="s">
        <v>162</v>
      </c>
      <c r="FJG2" s="13" t="s">
        <v>158</v>
      </c>
      <c r="FJH2" s="13" t="s">
        <v>159</v>
      </c>
      <c r="FJI2" s="13" t="s">
        <v>160</v>
      </c>
      <c r="FJJ2" s="13" t="s">
        <v>155</v>
      </c>
      <c r="FJK2" s="13" t="s">
        <v>230</v>
      </c>
      <c r="FJL2" s="13" t="s">
        <v>156</v>
      </c>
      <c r="FJM2" s="13" t="s">
        <v>368</v>
      </c>
      <c r="FJN2" s="13" t="s">
        <v>371</v>
      </c>
      <c r="FJO2" s="13" t="s">
        <v>161</v>
      </c>
      <c r="FJP2" s="13" t="s">
        <v>162</v>
      </c>
      <c r="FJQ2" s="13" t="s">
        <v>158</v>
      </c>
      <c r="FJR2" s="13" t="s">
        <v>159</v>
      </c>
      <c r="FJS2" s="13" t="s">
        <v>160</v>
      </c>
      <c r="FJT2" s="13" t="s">
        <v>155</v>
      </c>
      <c r="FJU2" s="13" t="s">
        <v>230</v>
      </c>
      <c r="FJV2" s="13" t="s">
        <v>156</v>
      </c>
      <c r="FJW2" s="13" t="s">
        <v>368</v>
      </c>
      <c r="FJX2" s="13" t="s">
        <v>371</v>
      </c>
      <c r="FJY2" s="13" t="s">
        <v>161</v>
      </c>
      <c r="FJZ2" s="13" t="s">
        <v>162</v>
      </c>
      <c r="FKA2" s="13" t="s">
        <v>158</v>
      </c>
      <c r="FKB2" s="13" t="s">
        <v>159</v>
      </c>
      <c r="FKC2" s="13" t="s">
        <v>160</v>
      </c>
      <c r="FKD2" s="13" t="s">
        <v>155</v>
      </c>
      <c r="FKE2" s="13" t="s">
        <v>230</v>
      </c>
      <c r="FKF2" s="13" t="s">
        <v>156</v>
      </c>
      <c r="FKG2" s="13" t="s">
        <v>368</v>
      </c>
      <c r="FKH2" s="13" t="s">
        <v>371</v>
      </c>
      <c r="FKI2" s="13" t="s">
        <v>161</v>
      </c>
      <c r="FKJ2" s="13" t="s">
        <v>162</v>
      </c>
      <c r="FKK2" s="13" t="s">
        <v>158</v>
      </c>
      <c r="FKL2" s="13" t="s">
        <v>159</v>
      </c>
      <c r="FKM2" s="13" t="s">
        <v>160</v>
      </c>
      <c r="FKN2" s="13" t="s">
        <v>155</v>
      </c>
      <c r="FKO2" s="13" t="s">
        <v>230</v>
      </c>
      <c r="FKP2" s="13" t="s">
        <v>156</v>
      </c>
      <c r="FKQ2" s="13" t="s">
        <v>368</v>
      </c>
      <c r="FKR2" s="13" t="s">
        <v>371</v>
      </c>
      <c r="FKS2" s="13" t="s">
        <v>161</v>
      </c>
      <c r="FKT2" s="13" t="s">
        <v>162</v>
      </c>
      <c r="FKU2" s="13" t="s">
        <v>158</v>
      </c>
      <c r="FKV2" s="13" t="s">
        <v>159</v>
      </c>
      <c r="FKW2" s="13" t="s">
        <v>160</v>
      </c>
      <c r="FKX2" s="13" t="s">
        <v>155</v>
      </c>
      <c r="FKY2" s="13" t="s">
        <v>230</v>
      </c>
      <c r="FKZ2" s="13" t="s">
        <v>156</v>
      </c>
      <c r="FLA2" s="13" t="s">
        <v>368</v>
      </c>
      <c r="FLB2" s="13" t="s">
        <v>371</v>
      </c>
      <c r="FLC2" s="13" t="s">
        <v>161</v>
      </c>
      <c r="FLD2" s="13" t="s">
        <v>162</v>
      </c>
      <c r="FLE2" s="13" t="s">
        <v>158</v>
      </c>
      <c r="FLF2" s="13" t="s">
        <v>159</v>
      </c>
      <c r="FLG2" s="13" t="s">
        <v>160</v>
      </c>
      <c r="FLH2" s="13" t="s">
        <v>155</v>
      </c>
      <c r="FLI2" s="13" t="s">
        <v>230</v>
      </c>
      <c r="FLJ2" s="13" t="s">
        <v>156</v>
      </c>
      <c r="FLK2" s="13" t="s">
        <v>368</v>
      </c>
      <c r="FLL2" s="13" t="s">
        <v>371</v>
      </c>
      <c r="FLM2" s="13" t="s">
        <v>161</v>
      </c>
      <c r="FLN2" s="13" t="s">
        <v>162</v>
      </c>
      <c r="FLO2" s="13" t="s">
        <v>158</v>
      </c>
      <c r="FLP2" s="13" t="s">
        <v>159</v>
      </c>
      <c r="FLQ2" s="13" t="s">
        <v>160</v>
      </c>
      <c r="FLR2" s="13" t="s">
        <v>155</v>
      </c>
      <c r="FLS2" s="13" t="s">
        <v>230</v>
      </c>
      <c r="FLT2" s="13" t="s">
        <v>156</v>
      </c>
      <c r="FLU2" s="13" t="s">
        <v>368</v>
      </c>
      <c r="FLV2" s="13" t="s">
        <v>371</v>
      </c>
      <c r="FLW2" s="13" t="s">
        <v>161</v>
      </c>
      <c r="FLX2" s="13" t="s">
        <v>162</v>
      </c>
      <c r="FLY2" s="13" t="s">
        <v>158</v>
      </c>
      <c r="FLZ2" s="13" t="s">
        <v>159</v>
      </c>
      <c r="FMA2" s="13" t="s">
        <v>160</v>
      </c>
      <c r="FMB2" s="13" t="s">
        <v>155</v>
      </c>
      <c r="FMC2" s="13" t="s">
        <v>230</v>
      </c>
      <c r="FMD2" s="13" t="s">
        <v>156</v>
      </c>
      <c r="FME2" s="13" t="s">
        <v>368</v>
      </c>
      <c r="FMF2" s="13" t="s">
        <v>371</v>
      </c>
      <c r="FMG2" s="13" t="s">
        <v>161</v>
      </c>
      <c r="FMH2" s="13" t="s">
        <v>162</v>
      </c>
      <c r="FMI2" s="13" t="s">
        <v>158</v>
      </c>
      <c r="FMJ2" s="13" t="s">
        <v>159</v>
      </c>
      <c r="FMK2" s="13" t="s">
        <v>160</v>
      </c>
      <c r="FML2" s="13" t="s">
        <v>155</v>
      </c>
      <c r="FMM2" s="13" t="s">
        <v>230</v>
      </c>
      <c r="FMN2" s="13" t="s">
        <v>156</v>
      </c>
      <c r="FMO2" s="13" t="s">
        <v>368</v>
      </c>
      <c r="FMP2" s="13" t="s">
        <v>371</v>
      </c>
      <c r="FMQ2" s="13" t="s">
        <v>224</v>
      </c>
      <c r="FMR2" s="13" t="s">
        <v>161</v>
      </c>
      <c r="FMS2" s="13" t="s">
        <v>162</v>
      </c>
      <c r="FMT2" s="13" t="s">
        <v>158</v>
      </c>
      <c r="FMU2" s="13" t="s">
        <v>159</v>
      </c>
      <c r="FMV2" s="13" t="s">
        <v>160</v>
      </c>
      <c r="FMW2" s="13" t="s">
        <v>155</v>
      </c>
      <c r="FMX2" s="13" t="s">
        <v>230</v>
      </c>
      <c r="FMY2" s="13" t="s">
        <v>156</v>
      </c>
      <c r="FMZ2" s="13" t="s">
        <v>368</v>
      </c>
      <c r="FNA2" s="13" t="s">
        <v>371</v>
      </c>
      <c r="FNB2" s="13" t="s">
        <v>161</v>
      </c>
      <c r="FNC2" s="13" t="s">
        <v>162</v>
      </c>
      <c r="FND2" s="13" t="s">
        <v>158</v>
      </c>
      <c r="FNE2" s="13" t="s">
        <v>159</v>
      </c>
      <c r="FNF2" s="13" t="s">
        <v>160</v>
      </c>
      <c r="FNG2" s="13" t="s">
        <v>155</v>
      </c>
      <c r="FNH2" s="13" t="s">
        <v>230</v>
      </c>
      <c r="FNI2" s="13" t="s">
        <v>156</v>
      </c>
      <c r="FNJ2" s="13" t="s">
        <v>368</v>
      </c>
      <c r="FNK2" s="13" t="s">
        <v>371</v>
      </c>
      <c r="FNL2" s="13" t="s">
        <v>161</v>
      </c>
      <c r="FNM2" s="13" t="s">
        <v>162</v>
      </c>
      <c r="FNN2" s="13" t="s">
        <v>158</v>
      </c>
      <c r="FNO2" s="13" t="s">
        <v>159</v>
      </c>
      <c r="FNP2" s="13" t="s">
        <v>160</v>
      </c>
      <c r="FNQ2" s="13" t="s">
        <v>155</v>
      </c>
      <c r="FNR2" s="13" t="s">
        <v>230</v>
      </c>
      <c r="FNS2" s="13" t="s">
        <v>156</v>
      </c>
      <c r="FNT2" s="13" t="s">
        <v>368</v>
      </c>
      <c r="FNU2" s="13" t="s">
        <v>371</v>
      </c>
      <c r="FNV2" s="13" t="s">
        <v>161</v>
      </c>
      <c r="FNW2" s="13" t="s">
        <v>162</v>
      </c>
      <c r="FNX2" s="13" t="s">
        <v>158</v>
      </c>
      <c r="FNY2" s="13" t="s">
        <v>159</v>
      </c>
      <c r="FNZ2" s="13" t="s">
        <v>160</v>
      </c>
      <c r="FOA2" s="13" t="s">
        <v>155</v>
      </c>
      <c r="FOB2" s="13" t="s">
        <v>230</v>
      </c>
      <c r="FOC2" s="13" t="s">
        <v>156</v>
      </c>
      <c r="FOD2" s="13" t="s">
        <v>368</v>
      </c>
      <c r="FOE2" s="13" t="s">
        <v>371</v>
      </c>
      <c r="FOF2" s="13" t="s">
        <v>161</v>
      </c>
      <c r="FOG2" s="13" t="s">
        <v>162</v>
      </c>
      <c r="FOH2" s="13" t="s">
        <v>158</v>
      </c>
      <c r="FOI2" s="13" t="s">
        <v>159</v>
      </c>
      <c r="FOJ2" s="13" t="s">
        <v>160</v>
      </c>
      <c r="FOK2" s="13" t="s">
        <v>155</v>
      </c>
      <c r="FOL2" s="13" t="s">
        <v>230</v>
      </c>
      <c r="FOM2" s="13" t="s">
        <v>156</v>
      </c>
      <c r="FON2" s="13" t="s">
        <v>368</v>
      </c>
      <c r="FOO2" s="13" t="s">
        <v>371</v>
      </c>
      <c r="FOP2" s="13" t="s">
        <v>161</v>
      </c>
      <c r="FOQ2" s="13" t="s">
        <v>162</v>
      </c>
      <c r="FOR2" s="13" t="s">
        <v>158</v>
      </c>
      <c r="FOS2" s="13" t="s">
        <v>159</v>
      </c>
      <c r="FOT2" s="13" t="s">
        <v>160</v>
      </c>
      <c r="FOU2" s="13" t="s">
        <v>155</v>
      </c>
      <c r="FOV2" s="13" t="s">
        <v>230</v>
      </c>
      <c r="FOW2" s="13" t="s">
        <v>156</v>
      </c>
      <c r="FOX2" s="13" t="s">
        <v>368</v>
      </c>
      <c r="FOY2" s="13" t="s">
        <v>371</v>
      </c>
      <c r="FOZ2" s="13" t="s">
        <v>161</v>
      </c>
      <c r="FPA2" s="13" t="s">
        <v>162</v>
      </c>
      <c r="FPB2" s="13" t="s">
        <v>158</v>
      </c>
      <c r="FPC2" s="13" t="s">
        <v>159</v>
      </c>
      <c r="FPD2" s="13" t="s">
        <v>160</v>
      </c>
      <c r="FPE2" s="13" t="s">
        <v>155</v>
      </c>
      <c r="FPF2" s="13" t="s">
        <v>230</v>
      </c>
      <c r="FPG2" s="13" t="s">
        <v>156</v>
      </c>
      <c r="FPH2" s="13" t="s">
        <v>368</v>
      </c>
      <c r="FPI2" s="13" t="s">
        <v>371</v>
      </c>
      <c r="FPJ2" s="13" t="s">
        <v>161</v>
      </c>
      <c r="FPK2" s="13" t="s">
        <v>162</v>
      </c>
      <c r="FPL2" s="13" t="s">
        <v>158</v>
      </c>
      <c r="FPM2" s="13" t="s">
        <v>159</v>
      </c>
      <c r="FPN2" s="13" t="s">
        <v>160</v>
      </c>
      <c r="FPO2" s="13" t="s">
        <v>155</v>
      </c>
      <c r="FPP2" s="13" t="s">
        <v>230</v>
      </c>
      <c r="FPQ2" s="13" t="s">
        <v>156</v>
      </c>
      <c r="FPR2" s="13" t="s">
        <v>368</v>
      </c>
      <c r="FPS2" s="13" t="s">
        <v>371</v>
      </c>
      <c r="FPT2" s="13" t="s">
        <v>161</v>
      </c>
      <c r="FPU2" s="13" t="s">
        <v>162</v>
      </c>
      <c r="FPV2" s="13" t="s">
        <v>158</v>
      </c>
      <c r="FPW2" s="13" t="s">
        <v>159</v>
      </c>
      <c r="FPX2" s="13" t="s">
        <v>160</v>
      </c>
      <c r="FPY2" s="13" t="s">
        <v>155</v>
      </c>
      <c r="FPZ2" s="13" t="s">
        <v>230</v>
      </c>
      <c r="FQA2" s="13" t="s">
        <v>156</v>
      </c>
      <c r="FQB2" s="13" t="s">
        <v>368</v>
      </c>
      <c r="FQC2" s="13" t="s">
        <v>371</v>
      </c>
      <c r="FQD2" s="13" t="s">
        <v>161</v>
      </c>
      <c r="FQE2" s="13" t="s">
        <v>162</v>
      </c>
      <c r="FQF2" s="13" t="s">
        <v>158</v>
      </c>
      <c r="FQG2" s="13" t="s">
        <v>159</v>
      </c>
      <c r="FQH2" s="13" t="s">
        <v>160</v>
      </c>
      <c r="FQI2" s="13" t="s">
        <v>155</v>
      </c>
      <c r="FQJ2" s="13" t="s">
        <v>230</v>
      </c>
      <c r="FQK2" s="13" t="s">
        <v>156</v>
      </c>
      <c r="FQL2" s="13" t="s">
        <v>368</v>
      </c>
      <c r="FQM2" s="13" t="s">
        <v>371</v>
      </c>
      <c r="FQN2" s="13" t="s">
        <v>379</v>
      </c>
      <c r="FQO2" s="13" t="s">
        <v>162</v>
      </c>
      <c r="FQP2" s="13" t="s">
        <v>158</v>
      </c>
      <c r="FQQ2" s="13" t="s">
        <v>159</v>
      </c>
      <c r="FQR2" s="13" t="s">
        <v>160</v>
      </c>
      <c r="FQS2" s="13" t="s">
        <v>155</v>
      </c>
      <c r="FQT2" s="13" t="s">
        <v>230</v>
      </c>
      <c r="FQU2" s="13" t="s">
        <v>156</v>
      </c>
      <c r="FQV2" s="13" t="s">
        <v>368</v>
      </c>
      <c r="FQW2" s="13" t="s">
        <v>371</v>
      </c>
      <c r="FQX2" s="13" t="s">
        <v>161</v>
      </c>
      <c r="FQY2" s="13" t="s">
        <v>162</v>
      </c>
      <c r="FQZ2" s="13" t="s">
        <v>158</v>
      </c>
      <c r="FRA2" s="13" t="s">
        <v>159</v>
      </c>
      <c r="FRB2" s="13" t="s">
        <v>160</v>
      </c>
      <c r="FRC2" s="13" t="s">
        <v>155</v>
      </c>
      <c r="FRD2" s="13" t="s">
        <v>230</v>
      </c>
      <c r="FRE2" s="13" t="s">
        <v>156</v>
      </c>
      <c r="FRF2" s="13" t="s">
        <v>368</v>
      </c>
      <c r="FRG2" s="13" t="s">
        <v>371</v>
      </c>
      <c r="FRH2" s="13" t="s">
        <v>161</v>
      </c>
      <c r="FRI2" s="13" t="s">
        <v>162</v>
      </c>
      <c r="FRJ2" s="13" t="s">
        <v>158</v>
      </c>
      <c r="FRK2" s="13" t="s">
        <v>159</v>
      </c>
      <c r="FRL2" s="13" t="s">
        <v>160</v>
      </c>
      <c r="FRM2" s="13" t="s">
        <v>155</v>
      </c>
      <c r="FRN2" s="13" t="s">
        <v>230</v>
      </c>
      <c r="FRO2" s="13" t="s">
        <v>156</v>
      </c>
      <c r="FRP2" s="13" t="s">
        <v>368</v>
      </c>
      <c r="FRQ2" s="13" t="s">
        <v>371</v>
      </c>
      <c r="FRR2" s="13" t="s">
        <v>161</v>
      </c>
      <c r="FRS2" s="13" t="s">
        <v>162</v>
      </c>
      <c r="FRT2" s="13" t="s">
        <v>158</v>
      </c>
      <c r="FRU2" s="13" t="s">
        <v>159</v>
      </c>
      <c r="FRV2" s="13" t="s">
        <v>160</v>
      </c>
      <c r="FRW2" s="13" t="s">
        <v>155</v>
      </c>
      <c r="FRX2" s="13" t="s">
        <v>230</v>
      </c>
      <c r="FRY2" s="13" t="s">
        <v>156</v>
      </c>
      <c r="FRZ2" s="13" t="s">
        <v>368</v>
      </c>
      <c r="FSA2" s="13" t="s">
        <v>371</v>
      </c>
      <c r="FSB2" s="13" t="s">
        <v>161</v>
      </c>
      <c r="FSC2" s="13" t="s">
        <v>162</v>
      </c>
      <c r="FSD2" s="13" t="s">
        <v>158</v>
      </c>
      <c r="FSE2" s="13" t="s">
        <v>159</v>
      </c>
      <c r="FSF2" s="13" t="s">
        <v>160</v>
      </c>
      <c r="FSG2" s="13" t="s">
        <v>155</v>
      </c>
      <c r="FSH2" s="13" t="s">
        <v>230</v>
      </c>
      <c r="FSI2" s="13" t="s">
        <v>156</v>
      </c>
      <c r="FSJ2" s="13" t="s">
        <v>368</v>
      </c>
      <c r="FSK2" s="13" t="s">
        <v>371</v>
      </c>
      <c r="FSL2" s="13" t="s">
        <v>161</v>
      </c>
      <c r="FSM2" s="13" t="s">
        <v>162</v>
      </c>
      <c r="FSN2" s="13" t="s">
        <v>158</v>
      </c>
      <c r="FSO2" s="13" t="s">
        <v>159</v>
      </c>
      <c r="FSP2" s="13" t="s">
        <v>160</v>
      </c>
      <c r="FSQ2" s="13" t="s">
        <v>155</v>
      </c>
      <c r="FSR2" s="13" t="s">
        <v>230</v>
      </c>
      <c r="FSS2" s="13" t="s">
        <v>156</v>
      </c>
      <c r="FST2" s="13" t="s">
        <v>368</v>
      </c>
      <c r="FSU2" s="13" t="s">
        <v>371</v>
      </c>
      <c r="FSV2" s="13" t="s">
        <v>418</v>
      </c>
      <c r="FSW2" s="13" t="s">
        <v>162</v>
      </c>
      <c r="FSX2" s="13" t="s">
        <v>158</v>
      </c>
      <c r="FSY2" s="13" t="s">
        <v>159</v>
      </c>
      <c r="FSZ2" s="13" t="s">
        <v>160</v>
      </c>
      <c r="FTA2" s="13" t="s">
        <v>155</v>
      </c>
      <c r="FTB2" s="13" t="s">
        <v>230</v>
      </c>
      <c r="FTC2" s="13" t="s">
        <v>156</v>
      </c>
      <c r="FTD2" s="13" t="s">
        <v>368</v>
      </c>
      <c r="FTE2" s="13" t="s">
        <v>371</v>
      </c>
      <c r="FTF2" s="13" t="s">
        <v>161</v>
      </c>
      <c r="FTG2" s="13" t="s">
        <v>162</v>
      </c>
      <c r="FTH2" s="13" t="s">
        <v>158</v>
      </c>
      <c r="FTI2" s="13" t="s">
        <v>159</v>
      </c>
      <c r="FTJ2" s="13" t="s">
        <v>160</v>
      </c>
      <c r="FTK2" s="13" t="s">
        <v>155</v>
      </c>
      <c r="FTL2" s="13" t="s">
        <v>230</v>
      </c>
      <c r="FTM2" s="13" t="s">
        <v>156</v>
      </c>
      <c r="FTN2" s="13" t="s">
        <v>368</v>
      </c>
      <c r="FTO2" s="13" t="s">
        <v>371</v>
      </c>
      <c r="FTP2" s="13" t="s">
        <v>161</v>
      </c>
      <c r="FTQ2" s="13" t="s">
        <v>162</v>
      </c>
      <c r="FTR2" s="13" t="s">
        <v>158</v>
      </c>
      <c r="FTS2" s="13" t="s">
        <v>159</v>
      </c>
      <c r="FTT2" s="13" t="s">
        <v>160</v>
      </c>
      <c r="FTU2" s="13" t="s">
        <v>155</v>
      </c>
      <c r="FTV2" s="13" t="s">
        <v>230</v>
      </c>
      <c r="FTW2" s="13" t="s">
        <v>156</v>
      </c>
      <c r="FTX2" s="13" t="s">
        <v>368</v>
      </c>
      <c r="FTY2" s="13" t="s">
        <v>371</v>
      </c>
      <c r="FTZ2" s="13" t="s">
        <v>161</v>
      </c>
      <c r="FUA2" s="13" t="s">
        <v>162</v>
      </c>
      <c r="FUB2" s="13" t="s">
        <v>158</v>
      </c>
      <c r="FUC2" s="13" t="s">
        <v>159</v>
      </c>
      <c r="FUD2" s="13" t="s">
        <v>160</v>
      </c>
      <c r="FUE2" s="13" t="s">
        <v>155</v>
      </c>
      <c r="FUF2" s="13" t="s">
        <v>230</v>
      </c>
      <c r="FUG2" s="13" t="s">
        <v>156</v>
      </c>
      <c r="FUH2" s="13" t="s">
        <v>368</v>
      </c>
      <c r="FUI2" s="13" t="s">
        <v>371</v>
      </c>
      <c r="FUJ2" s="13" t="s">
        <v>416</v>
      </c>
      <c r="FUK2" s="13" t="s">
        <v>162</v>
      </c>
      <c r="FUL2" s="13" t="s">
        <v>1033</v>
      </c>
      <c r="FUM2" s="13" t="s">
        <v>155</v>
      </c>
      <c r="FUN2" s="13" t="s">
        <v>230</v>
      </c>
      <c r="FUO2" s="13" t="s">
        <v>156</v>
      </c>
      <c r="FUP2" s="13" t="s">
        <v>368</v>
      </c>
      <c r="FUQ2" s="13" t="s">
        <v>371</v>
      </c>
      <c r="FUR2" s="13" t="s">
        <v>375</v>
      </c>
      <c r="FUS2" s="13" t="s">
        <v>162</v>
      </c>
      <c r="FUT2" s="13" t="s">
        <v>158</v>
      </c>
      <c r="FUU2" s="13" t="s">
        <v>159</v>
      </c>
      <c r="FUV2" s="13" t="s">
        <v>160</v>
      </c>
      <c r="FUW2" s="13" t="s">
        <v>155</v>
      </c>
      <c r="FUX2" s="13" t="s">
        <v>230</v>
      </c>
      <c r="FUY2" s="13" t="s">
        <v>156</v>
      </c>
      <c r="FUZ2" s="13" t="s">
        <v>368</v>
      </c>
      <c r="FVA2" s="13" t="s">
        <v>371</v>
      </c>
      <c r="FVB2" s="13" t="s">
        <v>161</v>
      </c>
      <c r="FVC2" s="13" t="s">
        <v>162</v>
      </c>
      <c r="FVD2" s="13" t="s">
        <v>1033</v>
      </c>
      <c r="FVE2" s="13" t="s">
        <v>155</v>
      </c>
      <c r="FVF2" s="13" t="s">
        <v>230</v>
      </c>
      <c r="FVG2" s="13" t="s">
        <v>156</v>
      </c>
      <c r="FVH2" s="13" t="s">
        <v>368</v>
      </c>
      <c r="FVI2" s="13" t="s">
        <v>371</v>
      </c>
      <c r="FVJ2" s="13" t="s">
        <v>161</v>
      </c>
      <c r="FVK2" s="13" t="s">
        <v>162</v>
      </c>
      <c r="FVL2" s="13" t="s">
        <v>158</v>
      </c>
      <c r="FVM2" s="13" t="s">
        <v>159</v>
      </c>
      <c r="FVN2" s="13" t="s">
        <v>160</v>
      </c>
      <c r="FVO2" s="13" t="s">
        <v>155</v>
      </c>
      <c r="FVP2" s="13" t="s">
        <v>230</v>
      </c>
      <c r="FVQ2" s="13" t="s">
        <v>156</v>
      </c>
      <c r="FVR2" s="13" t="s">
        <v>368</v>
      </c>
      <c r="FVS2" s="13" t="s">
        <v>371</v>
      </c>
      <c r="FVT2" s="13" t="s">
        <v>161</v>
      </c>
      <c r="FVU2" s="13" t="s">
        <v>162</v>
      </c>
      <c r="FVV2" s="13" t="s">
        <v>158</v>
      </c>
      <c r="FVW2" s="13" t="s">
        <v>159</v>
      </c>
      <c r="FVX2" s="13" t="s">
        <v>160</v>
      </c>
      <c r="FVY2" s="13" t="s">
        <v>155</v>
      </c>
      <c r="FVZ2" s="13" t="s">
        <v>230</v>
      </c>
      <c r="FWA2" s="13" t="s">
        <v>156</v>
      </c>
      <c r="FWB2" s="13" t="s">
        <v>368</v>
      </c>
      <c r="FWC2" s="13" t="s">
        <v>371</v>
      </c>
      <c r="FWD2" s="13" t="s">
        <v>161</v>
      </c>
      <c r="FWE2" s="13" t="s">
        <v>162</v>
      </c>
      <c r="FWF2" s="13" t="s">
        <v>158</v>
      </c>
      <c r="FWG2" s="13" t="s">
        <v>159</v>
      </c>
      <c r="FWH2" s="13" t="s">
        <v>160</v>
      </c>
      <c r="FWI2" s="13" t="s">
        <v>155</v>
      </c>
      <c r="FWJ2" s="13" t="s">
        <v>230</v>
      </c>
      <c r="FWK2" s="13" t="s">
        <v>156</v>
      </c>
      <c r="FWL2" s="13" t="s">
        <v>368</v>
      </c>
      <c r="FWM2" s="13" t="s">
        <v>371</v>
      </c>
      <c r="FWN2" s="13" t="s">
        <v>161</v>
      </c>
      <c r="FWO2" s="13" t="s">
        <v>162</v>
      </c>
      <c r="FWP2" s="13" t="s">
        <v>158</v>
      </c>
      <c r="FWQ2" s="13" t="s">
        <v>159</v>
      </c>
      <c r="FWR2" s="13" t="s">
        <v>160</v>
      </c>
      <c r="FWS2" s="13" t="s">
        <v>155</v>
      </c>
      <c r="FWT2" s="13" t="s">
        <v>230</v>
      </c>
      <c r="FWU2" s="13" t="s">
        <v>156</v>
      </c>
      <c r="FWV2" s="13" t="s">
        <v>368</v>
      </c>
      <c r="FWW2" s="13" t="s">
        <v>371</v>
      </c>
      <c r="FWX2" s="13" t="s">
        <v>397</v>
      </c>
      <c r="FWY2" s="13" t="s">
        <v>162</v>
      </c>
      <c r="FWZ2" s="13" t="s">
        <v>158</v>
      </c>
      <c r="FXA2" s="13" t="s">
        <v>159</v>
      </c>
      <c r="FXB2" s="13" t="s">
        <v>160</v>
      </c>
      <c r="FXC2" s="13" t="s">
        <v>155</v>
      </c>
      <c r="FXD2" s="13" t="s">
        <v>230</v>
      </c>
      <c r="FXE2" s="13" t="s">
        <v>156</v>
      </c>
      <c r="FXF2" s="13" t="s">
        <v>368</v>
      </c>
      <c r="FXG2" s="13" t="s">
        <v>371</v>
      </c>
      <c r="FXH2" s="13" t="s">
        <v>161</v>
      </c>
      <c r="FXI2" s="13" t="s">
        <v>162</v>
      </c>
      <c r="FXJ2" s="13" t="s">
        <v>158</v>
      </c>
      <c r="FXK2" s="13" t="s">
        <v>159</v>
      </c>
      <c r="FXL2" s="13" t="s">
        <v>160</v>
      </c>
      <c r="FXM2" s="13" t="s">
        <v>1766</v>
      </c>
      <c r="FXN2" s="13" t="s">
        <v>155</v>
      </c>
      <c r="FXO2" s="13" t="s">
        <v>230</v>
      </c>
      <c r="FXP2" s="13" t="s">
        <v>156</v>
      </c>
      <c r="FXQ2" s="13" t="s">
        <v>368</v>
      </c>
      <c r="FXR2" s="13" t="s">
        <v>371</v>
      </c>
      <c r="FXS2" s="13" t="s">
        <v>375</v>
      </c>
      <c r="FXT2" s="13" t="s">
        <v>162</v>
      </c>
      <c r="FXU2" s="13" t="s">
        <v>158</v>
      </c>
      <c r="FXV2" s="13" t="s">
        <v>159</v>
      </c>
      <c r="FXW2" s="13" t="s">
        <v>160</v>
      </c>
      <c r="FXX2" s="13" t="s">
        <v>155</v>
      </c>
      <c r="FXY2" s="13" t="s">
        <v>230</v>
      </c>
      <c r="FXZ2" s="13" t="s">
        <v>156</v>
      </c>
      <c r="FYA2" s="13" t="s">
        <v>368</v>
      </c>
      <c r="FYB2" s="13" t="s">
        <v>371</v>
      </c>
      <c r="FYC2" s="13" t="s">
        <v>375</v>
      </c>
      <c r="FYD2" s="13" t="s">
        <v>162</v>
      </c>
      <c r="FYE2" s="13" t="s">
        <v>158</v>
      </c>
      <c r="FYF2" s="13" t="s">
        <v>159</v>
      </c>
      <c r="FYG2" s="13" t="s">
        <v>160</v>
      </c>
      <c r="FYH2" s="13" t="s">
        <v>155</v>
      </c>
      <c r="FYI2" s="13" t="s">
        <v>230</v>
      </c>
      <c r="FYJ2" s="13" t="s">
        <v>156</v>
      </c>
      <c r="FYK2" s="13" t="s">
        <v>368</v>
      </c>
      <c r="FYL2" s="13" t="s">
        <v>371</v>
      </c>
      <c r="FYM2" s="13" t="s">
        <v>161</v>
      </c>
      <c r="FYN2" s="13" t="s">
        <v>162</v>
      </c>
      <c r="FYO2" s="13" t="s">
        <v>158</v>
      </c>
      <c r="FYP2" s="13" t="s">
        <v>159</v>
      </c>
      <c r="FYQ2" s="13" t="s">
        <v>160</v>
      </c>
      <c r="FYR2" s="13" t="s">
        <v>155</v>
      </c>
      <c r="FYS2" s="13" t="s">
        <v>230</v>
      </c>
      <c r="FYT2" s="13" t="s">
        <v>156</v>
      </c>
      <c r="FYU2" s="13" t="s">
        <v>368</v>
      </c>
      <c r="FYV2" s="13" t="s">
        <v>371</v>
      </c>
      <c r="FYW2" s="13" t="s">
        <v>758</v>
      </c>
      <c r="FYX2" s="13" t="s">
        <v>162</v>
      </c>
      <c r="FYY2" s="13" t="s">
        <v>158</v>
      </c>
      <c r="FYZ2" s="13" t="s">
        <v>159</v>
      </c>
      <c r="FZA2" s="13" t="s">
        <v>160</v>
      </c>
      <c r="FZB2" s="13" t="s">
        <v>155</v>
      </c>
      <c r="FZC2" s="13" t="s">
        <v>230</v>
      </c>
      <c r="FZD2" s="13" t="s">
        <v>156</v>
      </c>
      <c r="FZE2" s="13" t="s">
        <v>368</v>
      </c>
      <c r="FZF2" s="13" t="s">
        <v>371</v>
      </c>
      <c r="FZG2" s="13" t="s">
        <v>315</v>
      </c>
      <c r="FZH2" s="13" t="s">
        <v>162</v>
      </c>
      <c r="FZI2" s="13" t="s">
        <v>158</v>
      </c>
      <c r="FZJ2" s="13" t="s">
        <v>159</v>
      </c>
      <c r="FZK2" s="13" t="s">
        <v>160</v>
      </c>
      <c r="FZL2" s="13" t="s">
        <v>155</v>
      </c>
      <c r="FZM2" s="13" t="s">
        <v>230</v>
      </c>
      <c r="FZN2" s="13" t="s">
        <v>156</v>
      </c>
      <c r="FZO2" s="13" t="s">
        <v>368</v>
      </c>
      <c r="FZP2" s="13" t="s">
        <v>371</v>
      </c>
      <c r="FZQ2" s="13" t="s">
        <v>315</v>
      </c>
      <c r="FZR2" s="13" t="s">
        <v>162</v>
      </c>
      <c r="FZS2" s="13" t="s">
        <v>158</v>
      </c>
      <c r="FZT2" s="13" t="s">
        <v>159</v>
      </c>
      <c r="FZU2" s="13" t="s">
        <v>160</v>
      </c>
      <c r="FZV2" s="13" t="s">
        <v>155</v>
      </c>
      <c r="FZW2" s="13" t="s">
        <v>230</v>
      </c>
      <c r="FZX2" s="13" t="s">
        <v>156</v>
      </c>
      <c r="FZY2" s="13" t="s">
        <v>368</v>
      </c>
      <c r="FZZ2" s="13" t="s">
        <v>371</v>
      </c>
      <c r="GAA2" s="13" t="s">
        <v>161</v>
      </c>
      <c r="GAB2" s="13" t="s">
        <v>162</v>
      </c>
      <c r="GAC2" s="13" t="s">
        <v>158</v>
      </c>
      <c r="GAD2" s="13" t="s">
        <v>159</v>
      </c>
      <c r="GAE2" s="13" t="s">
        <v>160</v>
      </c>
      <c r="GAF2" s="13" t="s">
        <v>155</v>
      </c>
      <c r="GAG2" s="13" t="s">
        <v>230</v>
      </c>
      <c r="GAH2" s="13" t="s">
        <v>156</v>
      </c>
      <c r="GAI2" s="13" t="s">
        <v>368</v>
      </c>
      <c r="GAJ2" s="13" t="s">
        <v>371</v>
      </c>
      <c r="GAK2" s="13" t="s">
        <v>224</v>
      </c>
      <c r="GAL2" s="13" t="s">
        <v>1788</v>
      </c>
      <c r="GAM2" s="13" t="s">
        <v>162</v>
      </c>
      <c r="GAN2" s="13" t="s">
        <v>158</v>
      </c>
      <c r="GAO2" s="13" t="s">
        <v>159</v>
      </c>
      <c r="GAP2" s="13" t="s">
        <v>160</v>
      </c>
      <c r="GAQ2" s="13" t="s">
        <v>155</v>
      </c>
      <c r="GAR2" s="13" t="s">
        <v>230</v>
      </c>
      <c r="GAS2" s="13" t="s">
        <v>156</v>
      </c>
      <c r="GAT2" s="13" t="s">
        <v>368</v>
      </c>
      <c r="GAU2" s="13" t="s">
        <v>371</v>
      </c>
      <c r="GAV2" s="13" t="s">
        <v>161</v>
      </c>
      <c r="GAW2" s="13" t="s">
        <v>162</v>
      </c>
      <c r="GAX2" s="13" t="s">
        <v>158</v>
      </c>
      <c r="GAY2" s="13" t="s">
        <v>159</v>
      </c>
      <c r="GAZ2" s="13" t="s">
        <v>160</v>
      </c>
      <c r="GBA2" s="13" t="s">
        <v>155</v>
      </c>
      <c r="GBB2" s="13" t="s">
        <v>230</v>
      </c>
      <c r="GBC2" s="13" t="s">
        <v>156</v>
      </c>
      <c r="GBD2" s="13" t="s">
        <v>368</v>
      </c>
      <c r="GBE2" s="13" t="s">
        <v>371</v>
      </c>
      <c r="GBF2" s="13" t="s">
        <v>161</v>
      </c>
      <c r="GBG2" s="13" t="s">
        <v>162</v>
      </c>
      <c r="GBH2" s="13" t="s">
        <v>158</v>
      </c>
      <c r="GBI2" s="13" t="s">
        <v>159</v>
      </c>
      <c r="GBJ2" s="13" t="s">
        <v>160</v>
      </c>
      <c r="GBK2" s="13" t="s">
        <v>155</v>
      </c>
      <c r="GBL2" s="13" t="s">
        <v>230</v>
      </c>
      <c r="GBM2" s="13" t="s">
        <v>156</v>
      </c>
      <c r="GBN2" s="13" t="s">
        <v>368</v>
      </c>
      <c r="GBO2" s="13" t="s">
        <v>371</v>
      </c>
      <c r="GBP2" s="13" t="s">
        <v>161</v>
      </c>
      <c r="GBQ2" s="13" t="s">
        <v>162</v>
      </c>
      <c r="GBR2" s="13" t="s">
        <v>158</v>
      </c>
      <c r="GBS2" s="13" t="s">
        <v>159</v>
      </c>
      <c r="GBT2" s="13" t="s">
        <v>160</v>
      </c>
      <c r="GBU2" s="13" t="s">
        <v>155</v>
      </c>
      <c r="GBV2" s="13" t="s">
        <v>230</v>
      </c>
      <c r="GBW2" s="13" t="s">
        <v>156</v>
      </c>
      <c r="GBX2" s="13" t="s">
        <v>368</v>
      </c>
      <c r="GBY2" s="13" t="s">
        <v>371</v>
      </c>
      <c r="GBZ2" s="13" t="s">
        <v>161</v>
      </c>
      <c r="GCA2" s="13" t="s">
        <v>162</v>
      </c>
      <c r="GCB2" s="13" t="s">
        <v>158</v>
      </c>
      <c r="GCC2" s="13" t="s">
        <v>159</v>
      </c>
      <c r="GCD2" s="13" t="s">
        <v>160</v>
      </c>
      <c r="GCE2" s="13" t="s">
        <v>155</v>
      </c>
      <c r="GCF2" s="13" t="s">
        <v>230</v>
      </c>
      <c r="GCG2" s="13" t="s">
        <v>156</v>
      </c>
      <c r="GCH2" s="13" t="s">
        <v>368</v>
      </c>
      <c r="GCI2" s="13" t="s">
        <v>371</v>
      </c>
      <c r="GCJ2" s="13" t="s">
        <v>161</v>
      </c>
      <c r="GCK2" s="13" t="s">
        <v>162</v>
      </c>
      <c r="GCL2" s="13" t="s">
        <v>158</v>
      </c>
      <c r="GCM2" s="13" t="s">
        <v>159</v>
      </c>
      <c r="GCN2" s="13" t="s">
        <v>160</v>
      </c>
      <c r="GCO2" s="13" t="s">
        <v>155</v>
      </c>
      <c r="GCP2" s="13" t="s">
        <v>230</v>
      </c>
      <c r="GCQ2" s="13" t="s">
        <v>156</v>
      </c>
      <c r="GCR2" s="13" t="s">
        <v>368</v>
      </c>
      <c r="GCS2" s="13" t="s">
        <v>371</v>
      </c>
      <c r="GCT2" s="13" t="s">
        <v>161</v>
      </c>
      <c r="GCU2" s="13" t="s">
        <v>162</v>
      </c>
      <c r="GCV2" s="13" t="s">
        <v>158</v>
      </c>
      <c r="GCW2" s="13" t="s">
        <v>159</v>
      </c>
      <c r="GCX2" s="13" t="s">
        <v>160</v>
      </c>
      <c r="GCY2" s="13" t="s">
        <v>1033</v>
      </c>
      <c r="GCZ2" s="13" t="s">
        <v>155</v>
      </c>
      <c r="GDA2" s="13" t="s">
        <v>230</v>
      </c>
      <c r="GDB2" s="13" t="s">
        <v>156</v>
      </c>
      <c r="GDC2" s="13" t="s">
        <v>368</v>
      </c>
      <c r="GDD2" s="13" t="s">
        <v>371</v>
      </c>
      <c r="GDE2" s="13" t="s">
        <v>315</v>
      </c>
      <c r="GDF2" s="13" t="s">
        <v>162</v>
      </c>
      <c r="GDG2" s="13" t="s">
        <v>158</v>
      </c>
      <c r="GDH2" s="13" t="s">
        <v>159</v>
      </c>
      <c r="GDI2" s="13" t="s">
        <v>160</v>
      </c>
      <c r="GDJ2" s="13" t="s">
        <v>155</v>
      </c>
      <c r="GDK2" s="13" t="s">
        <v>230</v>
      </c>
      <c r="GDL2" s="13" t="s">
        <v>156</v>
      </c>
      <c r="GDM2" s="13" t="s">
        <v>368</v>
      </c>
      <c r="GDN2" s="13" t="s">
        <v>371</v>
      </c>
      <c r="GDO2" s="13" t="s">
        <v>315</v>
      </c>
      <c r="GDP2" s="13" t="s">
        <v>162</v>
      </c>
      <c r="GDQ2" s="13" t="s">
        <v>158</v>
      </c>
      <c r="GDR2" s="13" t="s">
        <v>159</v>
      </c>
      <c r="GDS2" s="13" t="s">
        <v>160</v>
      </c>
      <c r="GDT2" s="13" t="s">
        <v>155</v>
      </c>
      <c r="GDU2" s="13" t="s">
        <v>230</v>
      </c>
      <c r="GDV2" s="13" t="s">
        <v>156</v>
      </c>
      <c r="GDW2" s="13" t="s">
        <v>368</v>
      </c>
      <c r="GDX2" s="13" t="s">
        <v>371</v>
      </c>
      <c r="GDY2" s="13" t="s">
        <v>315</v>
      </c>
      <c r="GDZ2" s="13" t="s">
        <v>162</v>
      </c>
      <c r="GEA2" s="13" t="s">
        <v>158</v>
      </c>
      <c r="GEB2" s="13" t="s">
        <v>159</v>
      </c>
      <c r="GEC2" s="13" t="s">
        <v>160</v>
      </c>
      <c r="GED2" s="13" t="s">
        <v>1033</v>
      </c>
      <c r="GEE2" s="13" t="s">
        <v>155</v>
      </c>
      <c r="GEF2" s="13" t="s">
        <v>230</v>
      </c>
      <c r="GEG2" s="13" t="s">
        <v>156</v>
      </c>
      <c r="GEH2" s="13" t="s">
        <v>368</v>
      </c>
      <c r="GEI2" s="13" t="s">
        <v>371</v>
      </c>
      <c r="GEJ2" s="13" t="s">
        <v>161</v>
      </c>
      <c r="GEK2" s="13" t="s">
        <v>162</v>
      </c>
      <c r="GEL2" s="13" t="s">
        <v>158</v>
      </c>
      <c r="GEM2" s="13" t="s">
        <v>159</v>
      </c>
      <c r="GEN2" s="13" t="s">
        <v>160</v>
      </c>
      <c r="GEO2" s="13" t="s">
        <v>485</v>
      </c>
      <c r="GEP2" s="13" t="s">
        <v>155</v>
      </c>
      <c r="GEQ2" s="13" t="s">
        <v>230</v>
      </c>
      <c r="GER2" s="13" t="s">
        <v>156</v>
      </c>
      <c r="GES2" s="13" t="s">
        <v>368</v>
      </c>
      <c r="GET2" s="13" t="s">
        <v>371</v>
      </c>
      <c r="GEU2" s="13" t="s">
        <v>758</v>
      </c>
      <c r="GEV2" s="13" t="s">
        <v>162</v>
      </c>
      <c r="GEW2" s="13" t="s">
        <v>158</v>
      </c>
      <c r="GEX2" s="13" t="s">
        <v>159</v>
      </c>
      <c r="GEY2" s="13" t="s">
        <v>160</v>
      </c>
      <c r="GEZ2" s="13" t="s">
        <v>2373</v>
      </c>
      <c r="GFA2" s="13" t="s">
        <v>155</v>
      </c>
      <c r="GFB2" s="13" t="s">
        <v>230</v>
      </c>
      <c r="GFC2" s="13" t="s">
        <v>156</v>
      </c>
      <c r="GFD2" s="13" t="s">
        <v>368</v>
      </c>
      <c r="GFE2" s="13" t="s">
        <v>371</v>
      </c>
      <c r="GFF2" s="13" t="s">
        <v>161</v>
      </c>
      <c r="GFG2" s="13" t="s">
        <v>162</v>
      </c>
      <c r="GFH2" s="13" t="s">
        <v>158</v>
      </c>
      <c r="GFI2" s="13" t="s">
        <v>159</v>
      </c>
      <c r="GFJ2" s="13" t="s">
        <v>160</v>
      </c>
      <c r="GFK2" s="13" t="s">
        <v>155</v>
      </c>
      <c r="GFL2" s="13" t="s">
        <v>230</v>
      </c>
      <c r="GFM2" s="13" t="s">
        <v>156</v>
      </c>
      <c r="GFN2" s="13" t="s">
        <v>368</v>
      </c>
      <c r="GFO2" s="13" t="s">
        <v>371</v>
      </c>
      <c r="GFP2" s="13" t="s">
        <v>161</v>
      </c>
      <c r="GFQ2" s="13" t="s">
        <v>162</v>
      </c>
      <c r="GFR2" s="13" t="s">
        <v>158</v>
      </c>
      <c r="GFS2" s="13" t="s">
        <v>159</v>
      </c>
      <c r="GFT2" s="13" t="s">
        <v>160</v>
      </c>
      <c r="GFU2" s="13" t="s">
        <v>155</v>
      </c>
      <c r="GFV2" s="13" t="s">
        <v>230</v>
      </c>
      <c r="GFW2" s="13" t="s">
        <v>156</v>
      </c>
      <c r="GFX2" s="13" t="s">
        <v>368</v>
      </c>
      <c r="GFY2" s="13" t="s">
        <v>371</v>
      </c>
      <c r="GFZ2" s="13" t="s">
        <v>161</v>
      </c>
      <c r="GGA2" s="13" t="s">
        <v>162</v>
      </c>
      <c r="GGB2" s="13" t="s">
        <v>158</v>
      </c>
      <c r="GGC2" s="13" t="s">
        <v>159</v>
      </c>
      <c r="GGD2" s="13" t="s">
        <v>160</v>
      </c>
      <c r="GGE2" s="13" t="s">
        <v>155</v>
      </c>
      <c r="GGF2" s="13" t="s">
        <v>230</v>
      </c>
      <c r="GGG2" s="13" t="s">
        <v>156</v>
      </c>
      <c r="GGH2" s="13" t="s">
        <v>368</v>
      </c>
      <c r="GGI2" s="13" t="s">
        <v>371</v>
      </c>
      <c r="GGJ2" s="13" t="s">
        <v>161</v>
      </c>
      <c r="GGK2" s="13" t="s">
        <v>162</v>
      </c>
      <c r="GGL2" s="13" t="s">
        <v>158</v>
      </c>
      <c r="GGM2" s="13" t="s">
        <v>159</v>
      </c>
      <c r="GGN2" s="13" t="s">
        <v>160</v>
      </c>
      <c r="GGO2" s="13" t="s">
        <v>1766</v>
      </c>
      <c r="GGP2" s="13" t="s">
        <v>155</v>
      </c>
      <c r="GGQ2" s="13" t="s">
        <v>230</v>
      </c>
      <c r="GGR2" s="13" t="s">
        <v>156</v>
      </c>
      <c r="GGS2" s="13" t="s">
        <v>368</v>
      </c>
      <c r="GGT2" s="13" t="s">
        <v>371</v>
      </c>
      <c r="GGU2" s="13" t="s">
        <v>161</v>
      </c>
      <c r="GGV2" s="13" t="s">
        <v>162</v>
      </c>
      <c r="GGW2" s="13" t="s">
        <v>158</v>
      </c>
      <c r="GGX2" s="13" t="s">
        <v>159</v>
      </c>
      <c r="GGY2" s="13" t="s">
        <v>160</v>
      </c>
      <c r="GGZ2" s="13" t="s">
        <v>155</v>
      </c>
      <c r="GHA2" s="13" t="s">
        <v>230</v>
      </c>
      <c r="GHB2" s="13" t="s">
        <v>156</v>
      </c>
      <c r="GHC2" s="13" t="s">
        <v>368</v>
      </c>
      <c r="GHD2" s="13" t="s">
        <v>371</v>
      </c>
      <c r="GHE2" s="13" t="s">
        <v>161</v>
      </c>
      <c r="GHF2" s="13" t="s">
        <v>162</v>
      </c>
      <c r="GHG2" s="13" t="s">
        <v>158</v>
      </c>
      <c r="GHH2" s="13" t="s">
        <v>159</v>
      </c>
      <c r="GHI2" s="13" t="s">
        <v>160</v>
      </c>
      <c r="GHJ2" s="13" t="s">
        <v>155</v>
      </c>
      <c r="GHK2" s="13" t="s">
        <v>230</v>
      </c>
      <c r="GHL2" s="13" t="s">
        <v>156</v>
      </c>
      <c r="GHM2" s="13" t="s">
        <v>368</v>
      </c>
      <c r="GHN2" s="13" t="s">
        <v>371</v>
      </c>
      <c r="GHO2" s="13" t="s">
        <v>161</v>
      </c>
      <c r="GHP2" s="13" t="s">
        <v>162</v>
      </c>
      <c r="GHQ2" s="13" t="s">
        <v>158</v>
      </c>
      <c r="GHR2" s="13" t="s">
        <v>159</v>
      </c>
      <c r="GHS2" s="13" t="s">
        <v>160</v>
      </c>
      <c r="GHT2" s="13" t="s">
        <v>155</v>
      </c>
      <c r="GHU2" s="13" t="s">
        <v>230</v>
      </c>
      <c r="GHV2" s="13" t="s">
        <v>156</v>
      </c>
      <c r="GHW2" s="13" t="s">
        <v>368</v>
      </c>
      <c r="GHX2" s="13" t="s">
        <v>371</v>
      </c>
      <c r="GHY2" s="13" t="s">
        <v>161</v>
      </c>
      <c r="GHZ2" s="13" t="s">
        <v>162</v>
      </c>
      <c r="GIA2" s="13" t="s">
        <v>158</v>
      </c>
      <c r="GIB2" s="13" t="s">
        <v>159</v>
      </c>
      <c r="GIC2" s="13" t="s">
        <v>160</v>
      </c>
      <c r="GID2" s="13" t="s">
        <v>155</v>
      </c>
      <c r="GIE2" s="13" t="s">
        <v>230</v>
      </c>
      <c r="GIF2" s="13" t="s">
        <v>156</v>
      </c>
      <c r="GIG2" s="13" t="s">
        <v>368</v>
      </c>
      <c r="GIH2" s="13" t="s">
        <v>371</v>
      </c>
      <c r="GII2" s="13" t="s">
        <v>161</v>
      </c>
      <c r="GIJ2" s="13" t="s">
        <v>162</v>
      </c>
      <c r="GIK2" s="13" t="s">
        <v>158</v>
      </c>
      <c r="GIL2" s="13" t="s">
        <v>159</v>
      </c>
      <c r="GIM2" s="13" t="s">
        <v>160</v>
      </c>
      <c r="GIN2" s="13" t="s">
        <v>155</v>
      </c>
      <c r="GIO2" s="13" t="s">
        <v>230</v>
      </c>
      <c r="GIP2" s="13" t="s">
        <v>156</v>
      </c>
      <c r="GIQ2" s="13" t="s">
        <v>368</v>
      </c>
      <c r="GIR2" s="13" t="s">
        <v>371</v>
      </c>
      <c r="GIS2" s="13" t="s">
        <v>380</v>
      </c>
      <c r="GIT2" s="13" t="s">
        <v>162</v>
      </c>
      <c r="GIU2" s="13" t="s">
        <v>158</v>
      </c>
      <c r="GIV2" s="13" t="s">
        <v>159</v>
      </c>
      <c r="GIW2" s="13" t="s">
        <v>160</v>
      </c>
      <c r="GIX2" s="13" t="s">
        <v>155</v>
      </c>
      <c r="GIY2" s="13" t="s">
        <v>230</v>
      </c>
      <c r="GIZ2" s="13" t="s">
        <v>156</v>
      </c>
      <c r="GJA2" s="13" t="s">
        <v>368</v>
      </c>
      <c r="GJB2" s="13" t="s">
        <v>371</v>
      </c>
      <c r="GJC2" s="13" t="s">
        <v>525</v>
      </c>
      <c r="GJD2" s="13" t="s">
        <v>162</v>
      </c>
      <c r="GJE2" s="13" t="s">
        <v>158</v>
      </c>
      <c r="GJF2" s="13" t="s">
        <v>159</v>
      </c>
      <c r="GJG2" s="13" t="s">
        <v>160</v>
      </c>
      <c r="GJH2" s="13" t="s">
        <v>155</v>
      </c>
      <c r="GJI2" s="13" t="s">
        <v>230</v>
      </c>
      <c r="GJJ2" s="13" t="s">
        <v>156</v>
      </c>
      <c r="GJK2" s="13" t="s">
        <v>368</v>
      </c>
      <c r="GJL2" s="13" t="s">
        <v>371</v>
      </c>
      <c r="GJM2" s="13" t="s">
        <v>525</v>
      </c>
      <c r="GJN2" s="13" t="s">
        <v>162</v>
      </c>
      <c r="GJO2" s="13" t="s">
        <v>158</v>
      </c>
      <c r="GJP2" s="13" t="s">
        <v>159</v>
      </c>
      <c r="GJQ2" s="13" t="s">
        <v>160</v>
      </c>
      <c r="GJR2" s="13" t="s">
        <v>155</v>
      </c>
      <c r="GJS2" s="13" t="s">
        <v>230</v>
      </c>
      <c r="GJT2" s="13" t="s">
        <v>156</v>
      </c>
      <c r="GJU2" s="13" t="s">
        <v>368</v>
      </c>
      <c r="GJV2" s="13" t="s">
        <v>371</v>
      </c>
      <c r="GJW2" s="13" t="s">
        <v>525</v>
      </c>
      <c r="GJX2" s="13" t="s">
        <v>162</v>
      </c>
      <c r="GJY2" s="13" t="s">
        <v>158</v>
      </c>
      <c r="GJZ2" s="13" t="s">
        <v>159</v>
      </c>
      <c r="GKA2" s="13" t="s">
        <v>160</v>
      </c>
      <c r="GKB2" s="13" t="s">
        <v>155</v>
      </c>
      <c r="GKC2" s="13" t="s">
        <v>230</v>
      </c>
      <c r="GKD2" s="13" t="s">
        <v>156</v>
      </c>
      <c r="GKE2" s="13" t="s">
        <v>368</v>
      </c>
      <c r="GKF2" s="13" t="s">
        <v>371</v>
      </c>
      <c r="GKG2" s="13" t="s">
        <v>525</v>
      </c>
      <c r="GKH2" s="13" t="s">
        <v>162</v>
      </c>
      <c r="GKI2" s="13" t="s">
        <v>158</v>
      </c>
      <c r="GKJ2" s="13" t="s">
        <v>159</v>
      </c>
      <c r="GKK2" s="13" t="s">
        <v>160</v>
      </c>
      <c r="GKL2" s="13" t="s">
        <v>155</v>
      </c>
      <c r="GKM2" s="13" t="s">
        <v>230</v>
      </c>
      <c r="GKN2" s="13" t="s">
        <v>156</v>
      </c>
      <c r="GKO2" s="13" t="s">
        <v>368</v>
      </c>
      <c r="GKP2" s="13" t="s">
        <v>371</v>
      </c>
      <c r="GKQ2" s="13" t="s">
        <v>525</v>
      </c>
      <c r="GKR2" s="13" t="s">
        <v>162</v>
      </c>
      <c r="GKS2" s="13" t="s">
        <v>158</v>
      </c>
      <c r="GKT2" s="13" t="s">
        <v>159</v>
      </c>
      <c r="GKU2" s="13" t="s">
        <v>160</v>
      </c>
      <c r="GKV2" s="13" t="s">
        <v>155</v>
      </c>
      <c r="GKW2" s="13" t="s">
        <v>230</v>
      </c>
      <c r="GKX2" s="13" t="s">
        <v>156</v>
      </c>
      <c r="GKY2" s="13" t="s">
        <v>368</v>
      </c>
      <c r="GKZ2" s="13" t="s">
        <v>371</v>
      </c>
      <c r="GLA2" s="13" t="s">
        <v>525</v>
      </c>
      <c r="GLB2" s="13" t="s">
        <v>162</v>
      </c>
      <c r="GLC2" s="13" t="s">
        <v>158</v>
      </c>
      <c r="GLD2" s="13" t="s">
        <v>159</v>
      </c>
      <c r="GLE2" s="13" t="s">
        <v>160</v>
      </c>
      <c r="GLF2" s="13" t="s">
        <v>155</v>
      </c>
      <c r="GLG2" s="13" t="s">
        <v>230</v>
      </c>
      <c r="GLH2" s="13" t="s">
        <v>156</v>
      </c>
      <c r="GLI2" s="13" t="s">
        <v>368</v>
      </c>
      <c r="GLJ2" s="13" t="s">
        <v>371</v>
      </c>
      <c r="GLK2" s="13" t="s">
        <v>525</v>
      </c>
      <c r="GLL2" s="13" t="s">
        <v>162</v>
      </c>
      <c r="GLM2" s="13" t="s">
        <v>158</v>
      </c>
      <c r="GLN2" s="13" t="s">
        <v>159</v>
      </c>
      <c r="GLO2" s="13" t="s">
        <v>160</v>
      </c>
      <c r="GLP2" s="13" t="s">
        <v>155</v>
      </c>
      <c r="GLQ2" s="13" t="s">
        <v>230</v>
      </c>
      <c r="GLR2" s="13" t="s">
        <v>156</v>
      </c>
      <c r="GLS2" s="13" t="s">
        <v>368</v>
      </c>
      <c r="GLT2" s="13" t="s">
        <v>371</v>
      </c>
      <c r="GLU2" s="13" t="s">
        <v>224</v>
      </c>
      <c r="GLV2" s="13" t="s">
        <v>525</v>
      </c>
      <c r="GLW2" s="13" t="s">
        <v>162</v>
      </c>
      <c r="GLX2" s="13" t="s">
        <v>158</v>
      </c>
      <c r="GLY2" s="13" t="s">
        <v>159</v>
      </c>
      <c r="GLZ2" s="13" t="s">
        <v>160</v>
      </c>
      <c r="GMA2" s="13" t="s">
        <v>155</v>
      </c>
      <c r="GMB2" s="13" t="s">
        <v>230</v>
      </c>
      <c r="GMC2" s="13" t="s">
        <v>156</v>
      </c>
      <c r="GMD2" s="13" t="s">
        <v>368</v>
      </c>
      <c r="GME2" s="13" t="s">
        <v>371</v>
      </c>
      <c r="GMF2" s="13" t="s">
        <v>525</v>
      </c>
      <c r="GMG2" s="13" t="s">
        <v>162</v>
      </c>
      <c r="GMH2" s="13" t="s">
        <v>158</v>
      </c>
      <c r="GMI2" s="13" t="s">
        <v>159</v>
      </c>
      <c r="GMJ2" s="13" t="s">
        <v>160</v>
      </c>
      <c r="GMK2" s="13" t="s">
        <v>155</v>
      </c>
      <c r="GML2" s="13" t="s">
        <v>230</v>
      </c>
      <c r="GMM2" s="13" t="s">
        <v>156</v>
      </c>
      <c r="GMN2" s="13" t="s">
        <v>368</v>
      </c>
      <c r="GMO2" s="13" t="s">
        <v>371</v>
      </c>
      <c r="GMP2" s="13" t="s">
        <v>525</v>
      </c>
      <c r="GMQ2" s="13" t="s">
        <v>162</v>
      </c>
      <c r="GMR2" s="13" t="s">
        <v>158</v>
      </c>
      <c r="GMS2" s="13" t="s">
        <v>159</v>
      </c>
      <c r="GMT2" s="13" t="s">
        <v>160</v>
      </c>
      <c r="GMU2" s="13" t="s">
        <v>155</v>
      </c>
      <c r="GMV2" s="13" t="s">
        <v>230</v>
      </c>
      <c r="GMW2" s="13" t="s">
        <v>156</v>
      </c>
      <c r="GMX2" s="13" t="s">
        <v>368</v>
      </c>
      <c r="GMY2" s="13" t="s">
        <v>371</v>
      </c>
      <c r="GMZ2" s="13" t="s">
        <v>525</v>
      </c>
      <c r="GNA2" s="13" t="s">
        <v>162</v>
      </c>
      <c r="GNB2" s="13" t="s">
        <v>158</v>
      </c>
      <c r="GNC2" s="13" t="s">
        <v>159</v>
      </c>
      <c r="GND2" s="13" t="s">
        <v>160</v>
      </c>
      <c r="GNE2" s="13" t="s">
        <v>155</v>
      </c>
      <c r="GNF2" s="13" t="s">
        <v>230</v>
      </c>
      <c r="GNG2" s="13" t="s">
        <v>156</v>
      </c>
      <c r="GNH2" s="13" t="s">
        <v>368</v>
      </c>
      <c r="GNI2" s="13" t="s">
        <v>371</v>
      </c>
      <c r="GNJ2" s="13" t="s">
        <v>525</v>
      </c>
      <c r="GNK2" s="13" t="s">
        <v>162</v>
      </c>
      <c r="GNL2" s="13" t="s">
        <v>158</v>
      </c>
      <c r="GNM2" s="13" t="s">
        <v>159</v>
      </c>
      <c r="GNN2" s="13" t="s">
        <v>160</v>
      </c>
      <c r="GNO2" s="13" t="s">
        <v>155</v>
      </c>
      <c r="GNP2" s="13" t="s">
        <v>230</v>
      </c>
      <c r="GNQ2" s="13" t="s">
        <v>156</v>
      </c>
      <c r="GNR2" s="13" t="s">
        <v>368</v>
      </c>
      <c r="GNS2" s="13" t="s">
        <v>371</v>
      </c>
      <c r="GNT2" s="13" t="s">
        <v>224</v>
      </c>
      <c r="GNU2" s="13" t="s">
        <v>525</v>
      </c>
      <c r="GNV2" s="13" t="s">
        <v>162</v>
      </c>
      <c r="GNW2" s="13" t="s">
        <v>158</v>
      </c>
      <c r="GNX2" s="13" t="s">
        <v>159</v>
      </c>
      <c r="GNY2" s="13" t="s">
        <v>160</v>
      </c>
      <c r="GNZ2" s="13" t="s">
        <v>155</v>
      </c>
      <c r="GOA2" s="13" t="s">
        <v>230</v>
      </c>
      <c r="GOB2" s="13" t="s">
        <v>156</v>
      </c>
      <c r="GOC2" s="13" t="s">
        <v>368</v>
      </c>
      <c r="GOD2" s="13" t="s">
        <v>371</v>
      </c>
      <c r="GOE2" s="13" t="s">
        <v>525</v>
      </c>
      <c r="GOF2" s="13" t="s">
        <v>162</v>
      </c>
      <c r="GOG2" s="13" t="s">
        <v>158</v>
      </c>
      <c r="GOH2" s="13" t="s">
        <v>242</v>
      </c>
      <c r="GOI2" s="13" t="s">
        <v>159</v>
      </c>
      <c r="GOJ2" s="13" t="s">
        <v>160</v>
      </c>
      <c r="GOK2" s="13" t="s">
        <v>155</v>
      </c>
      <c r="GOL2" s="13" t="s">
        <v>230</v>
      </c>
      <c r="GOM2" s="13" t="s">
        <v>156</v>
      </c>
      <c r="GON2" s="13" t="s">
        <v>368</v>
      </c>
      <c r="GOO2" s="13" t="s">
        <v>371</v>
      </c>
      <c r="GOP2" s="13" t="s">
        <v>525</v>
      </c>
      <c r="GOQ2" s="13" t="s">
        <v>162</v>
      </c>
      <c r="GOR2" s="13" t="s">
        <v>158</v>
      </c>
      <c r="GOS2" s="13" t="s">
        <v>159</v>
      </c>
      <c r="GOT2" s="13" t="s">
        <v>160</v>
      </c>
      <c r="GOU2" s="13" t="s">
        <v>155</v>
      </c>
      <c r="GOV2" s="13" t="s">
        <v>230</v>
      </c>
      <c r="GOW2" s="13" t="s">
        <v>156</v>
      </c>
      <c r="GOX2" s="13" t="s">
        <v>368</v>
      </c>
      <c r="GOY2" s="13" t="s">
        <v>371</v>
      </c>
      <c r="GOZ2" s="13" t="s">
        <v>224</v>
      </c>
      <c r="GPA2" s="13" t="s">
        <v>525</v>
      </c>
      <c r="GPB2" s="13" t="s">
        <v>162</v>
      </c>
      <c r="GPC2" s="13" t="s">
        <v>158</v>
      </c>
      <c r="GPD2" s="13" t="s">
        <v>159</v>
      </c>
      <c r="GPE2" s="13" t="s">
        <v>160</v>
      </c>
      <c r="GPF2" s="13" t="s">
        <v>155</v>
      </c>
      <c r="GPG2" s="13" t="s">
        <v>230</v>
      </c>
      <c r="GPH2" s="13" t="s">
        <v>156</v>
      </c>
      <c r="GPI2" s="13" t="s">
        <v>368</v>
      </c>
      <c r="GPJ2" s="13" t="s">
        <v>371</v>
      </c>
      <c r="GPK2" s="13" t="s">
        <v>2639</v>
      </c>
      <c r="GPL2" s="13" t="s">
        <v>525</v>
      </c>
      <c r="GPM2" s="13" t="s">
        <v>162</v>
      </c>
      <c r="GPN2" s="13" t="s">
        <v>158</v>
      </c>
      <c r="GPO2" s="13" t="s">
        <v>159</v>
      </c>
      <c r="GPP2" s="13" t="s">
        <v>160</v>
      </c>
      <c r="GPQ2" s="13" t="s">
        <v>155</v>
      </c>
      <c r="GPR2" s="13" t="s">
        <v>230</v>
      </c>
      <c r="GPS2" s="13" t="s">
        <v>156</v>
      </c>
      <c r="GPT2" s="13" t="s">
        <v>368</v>
      </c>
      <c r="GPU2" s="13" t="s">
        <v>371</v>
      </c>
      <c r="GPV2" s="13" t="s">
        <v>380</v>
      </c>
      <c r="GPW2" s="13" t="s">
        <v>162</v>
      </c>
      <c r="GPX2" s="13" t="s">
        <v>158</v>
      </c>
      <c r="GPY2" s="13" t="s">
        <v>159</v>
      </c>
      <c r="GPZ2" s="13" t="s">
        <v>160</v>
      </c>
      <c r="GQA2" s="13" t="s">
        <v>155</v>
      </c>
      <c r="GQB2" s="13" t="s">
        <v>230</v>
      </c>
      <c r="GQC2" s="13" t="s">
        <v>156</v>
      </c>
      <c r="GQD2" s="13" t="s">
        <v>368</v>
      </c>
      <c r="GQE2" s="13" t="s">
        <v>371</v>
      </c>
      <c r="GQF2" s="13" t="s">
        <v>224</v>
      </c>
      <c r="GQG2" s="13" t="s">
        <v>525</v>
      </c>
      <c r="GQH2" s="13" t="s">
        <v>162</v>
      </c>
      <c r="GQI2" s="13" t="s">
        <v>158</v>
      </c>
      <c r="GQJ2" s="13" t="s">
        <v>159</v>
      </c>
      <c r="GQK2" s="13" t="s">
        <v>160</v>
      </c>
      <c r="GQL2" s="13" t="s">
        <v>155</v>
      </c>
      <c r="GQM2" s="13" t="s">
        <v>230</v>
      </c>
      <c r="GQN2" s="13" t="s">
        <v>156</v>
      </c>
      <c r="GQO2" s="13" t="s">
        <v>368</v>
      </c>
      <c r="GQP2" s="13" t="s">
        <v>371</v>
      </c>
      <c r="GQQ2" s="13" t="s">
        <v>224</v>
      </c>
      <c r="GQR2" s="13" t="s">
        <v>525</v>
      </c>
      <c r="GQS2" s="13" t="s">
        <v>162</v>
      </c>
      <c r="GQT2" s="13" t="s">
        <v>158</v>
      </c>
      <c r="GQU2" s="13" t="s">
        <v>159</v>
      </c>
      <c r="GQV2" s="13" t="s">
        <v>160</v>
      </c>
      <c r="GQW2" s="13" t="s">
        <v>155</v>
      </c>
      <c r="GQX2" s="13" t="s">
        <v>230</v>
      </c>
      <c r="GQY2" s="13" t="s">
        <v>156</v>
      </c>
      <c r="GQZ2" s="13" t="s">
        <v>368</v>
      </c>
      <c r="GRA2" s="13" t="s">
        <v>371</v>
      </c>
      <c r="GRB2" s="13" t="s">
        <v>2140</v>
      </c>
      <c r="GRC2" s="13" t="s">
        <v>162</v>
      </c>
      <c r="GRD2" s="13" t="s">
        <v>158</v>
      </c>
      <c r="GRE2" s="13" t="s">
        <v>242</v>
      </c>
      <c r="GRF2" s="13" t="s">
        <v>159</v>
      </c>
      <c r="GRG2" s="13" t="s">
        <v>160</v>
      </c>
      <c r="GRH2" s="13" t="s">
        <v>155</v>
      </c>
      <c r="GRI2" s="13" t="s">
        <v>230</v>
      </c>
      <c r="GRJ2" s="13" t="s">
        <v>156</v>
      </c>
      <c r="GRK2" s="13" t="s">
        <v>368</v>
      </c>
      <c r="GRL2" s="13" t="s">
        <v>371</v>
      </c>
      <c r="GRM2" s="13" t="s">
        <v>525</v>
      </c>
      <c r="GRN2" s="13" t="s">
        <v>162</v>
      </c>
      <c r="GRO2" s="13" t="s">
        <v>158</v>
      </c>
      <c r="GRP2" s="13" t="s">
        <v>159</v>
      </c>
      <c r="GRQ2" s="13" t="s">
        <v>160</v>
      </c>
      <c r="GRR2" s="13" t="s">
        <v>155</v>
      </c>
      <c r="GRS2" s="13" t="s">
        <v>230</v>
      </c>
      <c r="GRT2" s="13" t="s">
        <v>156</v>
      </c>
      <c r="GRU2" s="13" t="s">
        <v>368</v>
      </c>
      <c r="GRV2" s="13" t="s">
        <v>371</v>
      </c>
      <c r="GRW2" s="13" t="s">
        <v>283</v>
      </c>
      <c r="GRX2" s="13" t="s">
        <v>162</v>
      </c>
      <c r="GRY2" s="13" t="s">
        <v>158</v>
      </c>
      <c r="GRZ2" s="13" t="s">
        <v>159</v>
      </c>
      <c r="GSA2" s="13" t="s">
        <v>160</v>
      </c>
      <c r="GSB2" s="13" t="s">
        <v>155</v>
      </c>
      <c r="GSC2" s="13" t="s">
        <v>230</v>
      </c>
      <c r="GSD2" s="13" t="s">
        <v>156</v>
      </c>
      <c r="GSE2" s="13" t="s">
        <v>368</v>
      </c>
      <c r="GSF2" s="13" t="s">
        <v>371</v>
      </c>
      <c r="GSG2" s="13" t="s">
        <v>283</v>
      </c>
      <c r="GSH2" s="13" t="s">
        <v>162</v>
      </c>
      <c r="GSI2" s="13" t="s">
        <v>158</v>
      </c>
      <c r="GSJ2" s="13" t="s">
        <v>159</v>
      </c>
      <c r="GSK2" s="13" t="s">
        <v>160</v>
      </c>
      <c r="GSL2" s="13" t="s">
        <v>155</v>
      </c>
      <c r="GSM2" s="13" t="s">
        <v>230</v>
      </c>
      <c r="GSN2" s="13" t="s">
        <v>156</v>
      </c>
      <c r="GSO2" s="13" t="s">
        <v>368</v>
      </c>
      <c r="GSP2" s="13" t="s">
        <v>371</v>
      </c>
      <c r="GSQ2" s="13" t="s">
        <v>161</v>
      </c>
      <c r="GSR2" s="13" t="s">
        <v>162</v>
      </c>
      <c r="GSS2" s="13" t="s">
        <v>158</v>
      </c>
      <c r="GST2" s="13" t="s">
        <v>159</v>
      </c>
      <c r="GSU2" s="13" t="s">
        <v>160</v>
      </c>
      <c r="GSV2" s="13" t="s">
        <v>155</v>
      </c>
      <c r="GSW2" s="13" t="s">
        <v>230</v>
      </c>
      <c r="GSX2" s="13" t="s">
        <v>156</v>
      </c>
      <c r="GSY2" s="13" t="s">
        <v>368</v>
      </c>
      <c r="GSZ2" s="13" t="s">
        <v>371</v>
      </c>
      <c r="GTA2" s="13" t="s">
        <v>161</v>
      </c>
      <c r="GTB2" s="13" t="s">
        <v>162</v>
      </c>
      <c r="GTC2" s="13" t="s">
        <v>158</v>
      </c>
      <c r="GTD2" s="13" t="s">
        <v>159</v>
      </c>
      <c r="GTE2" s="13" t="s">
        <v>160</v>
      </c>
      <c r="GTF2" s="13" t="s">
        <v>155</v>
      </c>
      <c r="GTG2" s="13" t="s">
        <v>230</v>
      </c>
      <c r="GTH2" s="13" t="s">
        <v>156</v>
      </c>
      <c r="GTI2" s="13" t="s">
        <v>368</v>
      </c>
      <c r="GTJ2" s="13" t="s">
        <v>371</v>
      </c>
      <c r="GTK2" s="13" t="s">
        <v>161</v>
      </c>
      <c r="GTL2" s="13" t="s">
        <v>162</v>
      </c>
      <c r="GTM2" s="13" t="s">
        <v>158</v>
      </c>
      <c r="GTN2" s="13" t="s">
        <v>159</v>
      </c>
      <c r="GTO2" s="13" t="s">
        <v>160</v>
      </c>
      <c r="GTP2" s="13" t="s">
        <v>2384</v>
      </c>
      <c r="GTQ2" s="13" t="s">
        <v>155</v>
      </c>
      <c r="GTR2" s="13" t="s">
        <v>230</v>
      </c>
      <c r="GTS2" s="13" t="s">
        <v>156</v>
      </c>
      <c r="GTT2" s="13" t="s">
        <v>368</v>
      </c>
      <c r="GTU2" s="13" t="s">
        <v>371</v>
      </c>
      <c r="GTV2" s="13" t="s">
        <v>397</v>
      </c>
      <c r="GTW2" s="13" t="s">
        <v>162</v>
      </c>
      <c r="GTX2" s="13" t="s">
        <v>158</v>
      </c>
      <c r="GTY2" s="13" t="s">
        <v>159</v>
      </c>
      <c r="GTZ2" s="13" t="s">
        <v>160</v>
      </c>
      <c r="GUA2" s="13" t="s">
        <v>155</v>
      </c>
      <c r="GUB2" s="13" t="s">
        <v>230</v>
      </c>
      <c r="GUC2" s="13" t="s">
        <v>156</v>
      </c>
      <c r="GUD2" s="13" t="s">
        <v>368</v>
      </c>
      <c r="GUE2" s="13" t="s">
        <v>371</v>
      </c>
      <c r="GUF2" s="13" t="s">
        <v>355</v>
      </c>
      <c r="GUG2" s="13" t="s">
        <v>162</v>
      </c>
      <c r="GUH2" s="13" t="s">
        <v>158</v>
      </c>
      <c r="GUI2" s="13" t="s">
        <v>159</v>
      </c>
      <c r="GUJ2" s="13" t="s">
        <v>160</v>
      </c>
      <c r="GUK2" s="13" t="s">
        <v>155</v>
      </c>
      <c r="GUL2" s="13" t="s">
        <v>230</v>
      </c>
      <c r="GUM2" s="13" t="s">
        <v>156</v>
      </c>
      <c r="GUN2" s="13" t="s">
        <v>368</v>
      </c>
      <c r="GUO2" s="13" t="s">
        <v>371</v>
      </c>
      <c r="GUP2" s="13" t="s">
        <v>224</v>
      </c>
      <c r="GUQ2" s="13" t="s">
        <v>161</v>
      </c>
      <c r="GUR2" s="13" t="s">
        <v>162</v>
      </c>
      <c r="GUS2" s="13" t="s">
        <v>158</v>
      </c>
      <c r="GUT2" s="13" t="s">
        <v>159</v>
      </c>
      <c r="GUU2" s="13" t="s">
        <v>160</v>
      </c>
      <c r="GUV2" s="13" t="s">
        <v>155</v>
      </c>
      <c r="GUW2" s="13" t="s">
        <v>230</v>
      </c>
      <c r="GUX2" s="13" t="s">
        <v>156</v>
      </c>
      <c r="GUY2" s="13" t="s">
        <v>368</v>
      </c>
      <c r="GUZ2" s="13" t="s">
        <v>371</v>
      </c>
      <c r="GVA2" s="13" t="s">
        <v>224</v>
      </c>
      <c r="GVB2" s="13" t="s">
        <v>161</v>
      </c>
      <c r="GVC2" s="13" t="s">
        <v>162</v>
      </c>
      <c r="GVD2" s="13" t="s">
        <v>158</v>
      </c>
      <c r="GVE2" s="13" t="s">
        <v>159</v>
      </c>
      <c r="GVF2" s="13" t="s">
        <v>160</v>
      </c>
      <c r="GVG2" s="13" t="s">
        <v>155</v>
      </c>
      <c r="GVH2" s="13" t="s">
        <v>230</v>
      </c>
      <c r="GVI2" s="13" t="s">
        <v>156</v>
      </c>
      <c r="GVJ2" s="13" t="s">
        <v>368</v>
      </c>
      <c r="GVK2" s="13" t="s">
        <v>371</v>
      </c>
      <c r="GVL2" s="13" t="s">
        <v>161</v>
      </c>
      <c r="GVM2" s="13" t="s">
        <v>162</v>
      </c>
      <c r="GVN2" s="13" t="s">
        <v>158</v>
      </c>
      <c r="GVO2" s="13" t="s">
        <v>159</v>
      </c>
      <c r="GVP2" s="13" t="s">
        <v>160</v>
      </c>
      <c r="GVQ2" s="13" t="s">
        <v>155</v>
      </c>
      <c r="GVR2" s="13" t="s">
        <v>230</v>
      </c>
      <c r="GVS2" s="13" t="s">
        <v>156</v>
      </c>
      <c r="GVT2" s="13" t="s">
        <v>368</v>
      </c>
      <c r="GVU2" s="13" t="s">
        <v>371</v>
      </c>
      <c r="GVV2" s="13" t="s">
        <v>370</v>
      </c>
      <c r="GVW2" s="13" t="s">
        <v>162</v>
      </c>
      <c r="GVX2" s="13" t="s">
        <v>158</v>
      </c>
      <c r="GVY2" s="13" t="s">
        <v>159</v>
      </c>
      <c r="GVZ2" s="13" t="s">
        <v>160</v>
      </c>
      <c r="GWA2" s="13" t="s">
        <v>155</v>
      </c>
      <c r="GWB2" s="13" t="s">
        <v>230</v>
      </c>
      <c r="GWC2" s="13" t="s">
        <v>156</v>
      </c>
      <c r="GWD2" s="13" t="s">
        <v>368</v>
      </c>
      <c r="GWE2" s="13" t="s">
        <v>371</v>
      </c>
      <c r="GWF2" s="13" t="s">
        <v>224</v>
      </c>
      <c r="GWG2" s="13" t="s">
        <v>224</v>
      </c>
      <c r="GWH2" s="13" t="s">
        <v>224</v>
      </c>
      <c r="GWI2" s="13" t="s">
        <v>224</v>
      </c>
      <c r="GWJ2" s="13" t="s">
        <v>224</v>
      </c>
      <c r="GWK2" s="13" t="s">
        <v>554</v>
      </c>
      <c r="GWL2" s="13" t="s">
        <v>224</v>
      </c>
      <c r="GWM2" s="13" t="s">
        <v>224</v>
      </c>
      <c r="GWN2" s="13" t="s">
        <v>224</v>
      </c>
      <c r="GWO2" s="13" t="s">
        <v>224</v>
      </c>
      <c r="GWP2" s="13" t="s">
        <v>224</v>
      </c>
      <c r="GWQ2" s="19" t="s">
        <v>1831</v>
      </c>
      <c r="GWR2" s="19" t="s">
        <v>135</v>
      </c>
      <c r="GWS2" s="19" t="s">
        <v>2394</v>
      </c>
      <c r="GWT2" s="19" t="s">
        <v>781</v>
      </c>
      <c r="GWU2" s="19" t="s">
        <v>841</v>
      </c>
      <c r="GWV2" s="19" t="s">
        <v>2397</v>
      </c>
      <c r="GWW2" s="19" t="s">
        <v>2160</v>
      </c>
      <c r="GWX2" s="19" t="s">
        <v>214</v>
      </c>
      <c r="GWY2" s="19" t="s">
        <v>840</v>
      </c>
      <c r="GWZ2" s="19" t="s">
        <v>1796</v>
      </c>
      <c r="GXA2" s="19" t="s">
        <v>473</v>
      </c>
      <c r="GXB2" s="19" t="s">
        <v>2437</v>
      </c>
      <c r="GXC2" s="19" t="s">
        <v>2441</v>
      </c>
      <c r="GXD2" s="19" t="s">
        <v>857</v>
      </c>
      <c r="GXE2" s="19" t="s">
        <v>2662</v>
      </c>
      <c r="GXF2" s="19" t="s">
        <v>2401</v>
      </c>
      <c r="GXG2" s="19" t="s">
        <v>693</v>
      </c>
      <c r="GXH2" s="19" t="s">
        <v>470</v>
      </c>
      <c r="GXI2" s="19" t="s">
        <v>1770</v>
      </c>
      <c r="GXJ2" s="19" t="s">
        <v>2398</v>
      </c>
      <c r="GXK2" s="19" t="s">
        <v>1773</v>
      </c>
      <c r="GXL2" s="19" t="s">
        <v>472</v>
      </c>
      <c r="GXM2" s="19" t="s">
        <v>1839</v>
      </c>
      <c r="GXN2" s="19" t="s">
        <v>689</v>
      </c>
      <c r="GXO2" s="19" t="s">
        <v>860</v>
      </c>
      <c r="GXP2" s="19" t="s">
        <v>2442</v>
      </c>
      <c r="GXQ2" s="19" t="s">
        <v>2159</v>
      </c>
      <c r="GXR2" s="19" t="s">
        <v>862</v>
      </c>
      <c r="GXS2" s="19" t="s">
        <v>861</v>
      </c>
      <c r="GXT2" s="19" t="s">
        <v>480</v>
      </c>
      <c r="GXU2" s="19" t="s">
        <v>1794</v>
      </c>
      <c r="GXV2" s="19" t="s">
        <v>1799</v>
      </c>
      <c r="GXW2" s="19" t="s">
        <v>320</v>
      </c>
      <c r="GXX2" s="19" t="s">
        <v>1791</v>
      </c>
      <c r="GXY2" s="19" t="s">
        <v>2177</v>
      </c>
      <c r="GXZ2" s="19" t="s">
        <v>718</v>
      </c>
      <c r="GYA2" s="19" t="s">
        <v>695</v>
      </c>
      <c r="GYB2" s="19" t="s">
        <v>738</v>
      </c>
      <c r="GYC2" s="19" t="s">
        <v>2166</v>
      </c>
      <c r="GYD2" s="19" t="s">
        <v>1858</v>
      </c>
      <c r="GYE2" s="19" t="s">
        <v>780</v>
      </c>
      <c r="GYF2" s="19" t="s">
        <v>505</v>
      </c>
      <c r="GYG2" s="19" t="s">
        <v>471</v>
      </c>
      <c r="GYH2" s="19" t="s">
        <v>714</v>
      </c>
      <c r="GYI2" s="19" t="s">
        <v>768</v>
      </c>
      <c r="GYJ2" s="19" t="s">
        <v>1774</v>
      </c>
      <c r="GYK2" s="19" t="s">
        <v>165</v>
      </c>
      <c r="GYL2" s="19" t="s">
        <v>167</v>
      </c>
      <c r="GYM2" s="19" t="s">
        <v>541</v>
      </c>
      <c r="GYN2" s="19" t="s">
        <v>2396</v>
      </c>
      <c r="GYO2" s="19" t="s">
        <v>2400</v>
      </c>
      <c r="GYP2" s="19" t="s">
        <v>2399</v>
      </c>
      <c r="GYQ2" s="19" t="s">
        <v>213</v>
      </c>
      <c r="GYR2" s="19" t="s">
        <v>442</v>
      </c>
      <c r="GYS2" s="19" t="s">
        <v>2440</v>
      </c>
      <c r="GYT2" s="19" t="s">
        <v>151</v>
      </c>
      <c r="GYU2" s="19" t="s">
        <v>56</v>
      </c>
      <c r="GYV2" s="19" t="s">
        <v>2395</v>
      </c>
      <c r="GYW2" s="19" t="s">
        <v>348</v>
      </c>
      <c r="GYX2" s="19" t="s">
        <v>346</v>
      </c>
      <c r="GYY2" s="19" t="s">
        <v>686</v>
      </c>
      <c r="GYZ2" s="19" t="s">
        <v>728</v>
      </c>
      <c r="GZA2" s="19" t="s">
        <v>262</v>
      </c>
      <c r="GZB2" s="19" t="s">
        <v>2415</v>
      </c>
      <c r="GZC2" s="19" t="s">
        <v>2167</v>
      </c>
      <c r="GZD2" s="19" t="s">
        <v>1847</v>
      </c>
      <c r="GZE2" s="19" t="s">
        <v>1797</v>
      </c>
      <c r="GZF2" s="19" t="s">
        <v>730</v>
      </c>
      <c r="GZG2" s="19" t="s">
        <v>858</v>
      </c>
      <c r="GZH2" s="19" t="s">
        <v>850</v>
      </c>
      <c r="GZI2" s="19" t="s">
        <v>212</v>
      </c>
      <c r="GZJ2" s="19" t="s">
        <v>716</v>
      </c>
      <c r="GZK2" s="19" t="s">
        <v>216</v>
      </c>
      <c r="GZL2" s="19" t="s">
        <v>1845</v>
      </c>
      <c r="GZM2" s="19" t="s">
        <v>456</v>
      </c>
      <c r="GZN2" s="19" t="s">
        <v>404</v>
      </c>
      <c r="GZO2" s="19" t="s">
        <v>2169</v>
      </c>
      <c r="GZP2" s="19" t="s">
        <v>504</v>
      </c>
      <c r="GZQ2" s="19" t="s">
        <v>2402</v>
      </c>
      <c r="GZR2" s="19" t="s">
        <v>1771</v>
      </c>
      <c r="GZS2" s="19" t="s">
        <v>859</v>
      </c>
      <c r="GZT2" s="19" t="s">
        <v>481</v>
      </c>
      <c r="GZU2" s="19" t="s">
        <v>2646</v>
      </c>
      <c r="GZV2" s="19" t="s">
        <v>488</v>
      </c>
      <c r="GZW2" s="19" t="s">
        <v>779</v>
      </c>
      <c r="GZX2" s="19" t="s">
        <v>1802</v>
      </c>
      <c r="GZY2" s="19" t="s">
        <v>2645</v>
      </c>
      <c r="GZZ2" s="19" t="s">
        <v>409</v>
      </c>
      <c r="HAA2" s="19" t="s">
        <v>698</v>
      </c>
      <c r="HAB2" s="19" t="s">
        <v>1834</v>
      </c>
      <c r="HAC2" s="19" t="s">
        <v>692</v>
      </c>
      <c r="HAD2" s="19" t="s">
        <v>690</v>
      </c>
      <c r="HAE2" s="19" t="s">
        <v>2175</v>
      </c>
      <c r="HAF2" s="19" t="s">
        <v>2176</v>
      </c>
      <c r="HAG2" s="19" t="s">
        <v>133</v>
      </c>
      <c r="HAH2" s="19" t="s">
        <v>457</v>
      </c>
      <c r="HAI2" s="19" t="s">
        <v>1841</v>
      </c>
      <c r="HAJ2" s="19" t="s">
        <v>461</v>
      </c>
      <c r="HAK2" s="19" t="s">
        <v>688</v>
      </c>
      <c r="HAL2" s="19" t="s">
        <v>691</v>
      </c>
      <c r="HAM2" s="19" t="s">
        <v>1832</v>
      </c>
      <c r="HAN2" s="19" t="s">
        <v>1768</v>
      </c>
      <c r="HAO2" s="19" t="s">
        <v>2644</v>
      </c>
      <c r="HAP2" s="19" t="s">
        <v>1833</v>
      </c>
      <c r="HAQ2" s="19" t="s">
        <v>2178</v>
      </c>
      <c r="HAR2" s="19" t="s">
        <v>1769</v>
      </c>
      <c r="HAS2" s="19" t="s">
        <v>1842</v>
      </c>
      <c r="HAT2" s="19" t="s">
        <v>694</v>
      </c>
      <c r="HAU2" s="19" t="s">
        <v>2189</v>
      </c>
      <c r="HAV2" s="19" t="s">
        <v>1840</v>
      </c>
      <c r="HAW2" s="19" t="s">
        <v>767</v>
      </c>
      <c r="HAX2" s="19" t="s">
        <v>1801</v>
      </c>
      <c r="HAY2" s="19" t="s">
        <v>2413</v>
      </c>
      <c r="HAZ2" s="19" t="s">
        <v>795</v>
      </c>
      <c r="HBA2" s="19" t="s">
        <v>687</v>
      </c>
      <c r="HBB2" s="19" t="s">
        <v>699</v>
      </c>
      <c r="HBC2" s="19" t="s">
        <v>2660</v>
      </c>
      <c r="HBD2" s="19" t="s">
        <v>863</v>
      </c>
      <c r="HBE2" s="19" t="s">
        <v>218</v>
      </c>
      <c r="HBF2" s="19" t="s">
        <v>550</v>
      </c>
      <c r="HBG2" s="19" t="s">
        <v>136</v>
      </c>
      <c r="HBH2" s="19" t="s">
        <v>134</v>
      </c>
      <c r="HBI2" s="19" t="s">
        <v>736</v>
      </c>
      <c r="HBJ2" s="19" t="s">
        <v>853</v>
      </c>
      <c r="HBK2" s="19" t="s">
        <v>797</v>
      </c>
      <c r="HBL2" s="19" t="s">
        <v>2170</v>
      </c>
      <c r="HBM2" s="19" t="s">
        <v>856</v>
      </c>
      <c r="HBN2" s="19" t="s">
        <v>2185</v>
      </c>
      <c r="HBO2" s="19" t="s">
        <v>1772</v>
      </c>
      <c r="HBP2" s="19" t="s">
        <v>137</v>
      </c>
      <c r="HBQ2" s="19" t="s">
        <v>2360</v>
      </c>
      <c r="HBR2" s="19" t="s">
        <v>735</v>
      </c>
      <c r="HBS2" s="19" t="s">
        <v>489</v>
      </c>
      <c r="HBT2" s="19" t="s">
        <v>490</v>
      </c>
      <c r="HBU2" s="19" t="s">
        <v>199</v>
      </c>
      <c r="HBV2" s="19" t="s">
        <v>197</v>
      </c>
      <c r="HBW2" s="19" t="s">
        <v>196</v>
      </c>
      <c r="HBX2" s="19" t="s">
        <v>198</v>
      </c>
      <c r="HBY2" s="19" t="s">
        <v>201</v>
      </c>
      <c r="HBZ2" s="19" t="s">
        <v>195</v>
      </c>
      <c r="HCA2" s="19" t="s">
        <v>186</v>
      </c>
      <c r="HCB2" s="19" t="s">
        <v>2174</v>
      </c>
      <c r="HCC2" s="19" t="s">
        <v>801</v>
      </c>
      <c r="HCD2" s="19" t="s">
        <v>538</v>
      </c>
      <c r="HCE2" s="19" t="s">
        <v>2643</v>
      </c>
      <c r="HCF2" s="19" t="s">
        <v>792</v>
      </c>
      <c r="HCG2" s="19" t="s">
        <v>783</v>
      </c>
      <c r="HCH2" s="19" t="s">
        <v>2431</v>
      </c>
      <c r="HCI2" s="19" t="s">
        <v>837</v>
      </c>
      <c r="HCJ2" s="19" t="s">
        <v>2642</v>
      </c>
      <c r="HCK2" s="19" t="s">
        <v>1836</v>
      </c>
      <c r="HCL2" s="19" t="s">
        <v>2412</v>
      </c>
      <c r="HCM2" s="19" t="s">
        <v>543</v>
      </c>
      <c r="HCN2" s="19" t="s">
        <v>1861</v>
      </c>
      <c r="HCO2" s="19" t="s">
        <v>839</v>
      </c>
      <c r="HCP2" s="19" t="s">
        <v>2425</v>
      </c>
      <c r="HCQ2" s="19" t="s">
        <v>1835</v>
      </c>
      <c r="HCR2" s="19" t="s">
        <v>1853</v>
      </c>
      <c r="HCS2" s="19" t="s">
        <v>549</v>
      </c>
      <c r="HCT2" s="19" t="s">
        <v>2647</v>
      </c>
      <c r="HCU2" s="19" t="s">
        <v>2648</v>
      </c>
      <c r="HCV2" s="19" t="s">
        <v>851</v>
      </c>
      <c r="HCW2" s="19" t="s">
        <v>697</v>
      </c>
      <c r="HCX2" s="19" t="s">
        <v>864</v>
      </c>
      <c r="HCY2" s="19" t="s">
        <v>2414</v>
      </c>
      <c r="HCZ2" s="19" t="s">
        <v>477</v>
      </c>
      <c r="HDA2" s="19" t="s">
        <v>770</v>
      </c>
      <c r="HDB2" s="19" t="s">
        <v>1844</v>
      </c>
      <c r="HDC2" s="19" t="s">
        <v>784</v>
      </c>
      <c r="HDD2" s="19" t="s">
        <v>1865</v>
      </c>
      <c r="HDE2" s="19" t="s">
        <v>793</v>
      </c>
      <c r="HDF2" s="19" t="s">
        <v>838</v>
      </c>
      <c r="HDG2" s="19" t="s">
        <v>852</v>
      </c>
      <c r="HDH2" s="19" t="s">
        <v>782</v>
      </c>
      <c r="HDI2" s="19" t="s">
        <v>739</v>
      </c>
      <c r="HDJ2" s="19" t="s">
        <v>193</v>
      </c>
      <c r="HDK2" s="19" t="s">
        <v>279</v>
      </c>
      <c r="HDL2" s="19" t="s">
        <v>2426</v>
      </c>
      <c r="HDM2" s="19" t="s">
        <v>794</v>
      </c>
      <c r="HDN2" s="19" t="s">
        <v>696</v>
      </c>
      <c r="HDO2" s="19" t="s">
        <v>854</v>
      </c>
      <c r="HDP2" s="19" t="s">
        <v>855</v>
      </c>
      <c r="HDQ2" s="19" t="s">
        <v>2410</v>
      </c>
      <c r="HDR2" s="19" t="s">
        <v>844</v>
      </c>
      <c r="HDS2" s="44" t="s">
        <v>708</v>
      </c>
      <c r="HDT2" s="44" t="s">
        <v>709</v>
      </c>
      <c r="HDU2" s="19" t="s">
        <v>569</v>
      </c>
      <c r="HDV2" s="19" t="s">
        <v>152</v>
      </c>
      <c r="HDW2" s="19" t="s">
        <v>350</v>
      </c>
      <c r="HDX2" s="19"/>
      <c r="HDY2" s="19"/>
      <c r="HDZ2" s="20" t="s">
        <v>150</v>
      </c>
      <c r="HEA2" s="20" t="s">
        <v>140</v>
      </c>
      <c r="HEB2" s="20" t="s">
        <v>203</v>
      </c>
      <c r="HEC2" s="20" t="s">
        <v>717</v>
      </c>
      <c r="HED2" s="20" t="s">
        <v>720</v>
      </c>
      <c r="HEE2" s="20" t="s">
        <v>200</v>
      </c>
      <c r="HEF2" s="20" t="s">
        <v>206</v>
      </c>
      <c r="HEG2" s="20" t="s">
        <v>184</v>
      </c>
      <c r="HEH2" s="20" t="s">
        <v>207</v>
      </c>
      <c r="HEI2" s="20" t="s">
        <v>183</v>
      </c>
      <c r="HEJ2" s="20" t="s">
        <v>353</v>
      </c>
      <c r="HEK2" s="20" t="s">
        <v>217</v>
      </c>
      <c r="HEL2" s="20" t="s">
        <v>745</v>
      </c>
      <c r="HEM2" s="20" t="s">
        <v>223</v>
      </c>
      <c r="HEN2" s="31" t="s">
        <v>462</v>
      </c>
      <c r="HEO2" s="20" t="s">
        <v>791</v>
      </c>
      <c r="HEP2" s="31" t="s">
        <v>700</v>
      </c>
      <c r="HEQ2" s="31" t="s">
        <v>761</v>
      </c>
      <c r="HER2" s="31" t="s">
        <v>749</v>
      </c>
      <c r="HES2" s="20" t="s">
        <v>704</v>
      </c>
      <c r="HET2" s="20" t="s">
        <v>705</v>
      </c>
      <c r="HEU2" s="20" t="s">
        <v>729</v>
      </c>
      <c r="HEV2" s="20" t="s">
        <v>219</v>
      </c>
      <c r="HEW2" s="20" t="s">
        <v>706</v>
      </c>
      <c r="HEX2" s="20" t="s">
        <v>737</v>
      </c>
      <c r="HEY2" s="20" t="s">
        <v>707</v>
      </c>
      <c r="HEZ2" s="20" t="s">
        <v>2438</v>
      </c>
      <c r="HFA2" s="20" t="s">
        <v>731</v>
      </c>
      <c r="HFB2" s="20" t="s">
        <v>723</v>
      </c>
      <c r="HFC2" s="20" t="s">
        <v>762</v>
      </c>
      <c r="HFD2" s="20" t="s">
        <v>732</v>
      </c>
      <c r="HFE2" s="20" t="s">
        <v>746</v>
      </c>
      <c r="HFF2" s="20" t="s">
        <v>151</v>
      </c>
      <c r="HFG2" s="20" t="s">
        <v>146</v>
      </c>
      <c r="HFH2" s="31" t="s">
        <v>145</v>
      </c>
      <c r="HFI2" s="31" t="s">
        <v>458</v>
      </c>
      <c r="HFJ2" s="20" t="s">
        <v>459</v>
      </c>
      <c r="HFK2" s="20" t="s">
        <v>463</v>
      </c>
      <c r="HFL2" s="20" t="s">
        <v>464</v>
      </c>
      <c r="HFM2" s="20" t="s">
        <v>465</v>
      </c>
      <c r="HFN2" s="20" t="s">
        <v>803</v>
      </c>
      <c r="HFO2" s="20" t="s">
        <v>460</v>
      </c>
      <c r="HFP2" s="20" t="s">
        <v>151</v>
      </c>
      <c r="HFQ2" s="20" t="s">
        <v>256</v>
      </c>
      <c r="HFR2" s="20" t="s">
        <v>145</v>
      </c>
      <c r="HFS2" s="20" t="s">
        <v>460</v>
      </c>
      <c r="HFT2" s="20" t="s">
        <v>344</v>
      </c>
      <c r="HFU2" s="20" t="s">
        <v>719</v>
      </c>
      <c r="HFV2" s="20" t="s">
        <v>149</v>
      </c>
      <c r="HFW2" s="20" t="s">
        <v>345</v>
      </c>
      <c r="HFX2" s="20" t="s">
        <v>152</v>
      </c>
      <c r="HFY2" s="20"/>
      <c r="HFZ2" s="20" t="s">
        <v>151</v>
      </c>
      <c r="HGA2" s="20" t="s">
        <v>719</v>
      </c>
      <c r="HGB2" s="20"/>
      <c r="HGC2" s="20"/>
      <c r="HGD2" s="20"/>
      <c r="HGE2" s="20"/>
      <c r="HGF2" s="20"/>
      <c r="HGG2" s="20"/>
      <c r="HGH2" s="20" t="s">
        <v>210</v>
      </c>
      <c r="HGI2" s="20" t="s">
        <v>152</v>
      </c>
      <c r="HGJ2" s="20" t="s">
        <v>350</v>
      </c>
      <c r="HGK2" s="20" t="s">
        <v>277</v>
      </c>
      <c r="HGL2" s="20" t="s">
        <v>463</v>
      </c>
      <c r="HGM2" s="20" t="s">
        <v>343</v>
      </c>
      <c r="HGN2" s="20" t="s">
        <v>563</v>
      </c>
      <c r="HGO2" s="20" t="s">
        <v>539</v>
      </c>
      <c r="HGP2" s="20" t="s">
        <v>146</v>
      </c>
      <c r="HGQ2" s="20" t="s">
        <v>149</v>
      </c>
      <c r="HGR2" s="20" t="s">
        <v>205</v>
      </c>
      <c r="HGS2" s="20" t="s">
        <v>256</v>
      </c>
      <c r="HGT2" s="20" t="s">
        <v>344</v>
      </c>
      <c r="HGU2" s="20" t="s">
        <v>257</v>
      </c>
      <c r="HGV2" s="20" t="s">
        <v>151</v>
      </c>
      <c r="HGW2" s="20" t="s">
        <v>145</v>
      </c>
      <c r="HGX2" s="20" t="s">
        <v>148</v>
      </c>
      <c r="HGY2" s="20" t="s">
        <v>153</v>
      </c>
      <c r="HGZ2" s="20" t="s">
        <v>149</v>
      </c>
      <c r="HHA2" s="20" t="s">
        <v>539</v>
      </c>
      <c r="HHB2" s="20" t="s">
        <v>146</v>
      </c>
      <c r="HHC2" s="20" t="s">
        <v>540</v>
      </c>
      <c r="HHD2" s="20" t="s">
        <v>256</v>
      </c>
      <c r="HHE2" s="20" t="s">
        <v>205</v>
      </c>
      <c r="HHF2" s="20" t="s">
        <v>168</v>
      </c>
      <c r="HHG2" s="20" t="s">
        <v>215</v>
      </c>
      <c r="HHH2" s="20" t="s">
        <v>350</v>
      </c>
      <c r="HHI2" s="20" t="s">
        <v>151</v>
      </c>
      <c r="HHJ2" s="20" t="s">
        <v>256</v>
      </c>
      <c r="HHK2" s="20" t="s">
        <v>743</v>
      </c>
      <c r="HHL2" s="20" t="s">
        <v>744</v>
      </c>
      <c r="HHM2" s="20" t="s">
        <v>151</v>
      </c>
      <c r="HHN2" s="20" t="s">
        <v>146</v>
      </c>
      <c r="HHO2" s="20" t="s">
        <v>152</v>
      </c>
      <c r="HHP2" s="20" t="s">
        <v>350</v>
      </c>
      <c r="HHQ2" s="20" t="s">
        <v>463</v>
      </c>
      <c r="HHR2" s="20" t="s">
        <v>151</v>
      </c>
      <c r="HHS2" s="20" t="s">
        <v>463</v>
      </c>
      <c r="HHT2" s="20"/>
      <c r="HHU2" s="20"/>
      <c r="HHV2" s="20"/>
      <c r="HHW2" s="20" t="s">
        <v>146</v>
      </c>
      <c r="HHX2" s="20" t="s">
        <v>747</v>
      </c>
      <c r="HHY2" s="20" t="s">
        <v>748</v>
      </c>
      <c r="HHZ2" s="20" t="s">
        <v>256</v>
      </c>
      <c r="HIA2" s="20"/>
      <c r="HIB2" s="20" t="s">
        <v>151</v>
      </c>
      <c r="HIC2" s="20"/>
      <c r="HID2" s="20" t="s">
        <v>151</v>
      </c>
      <c r="HIE2" s="20" t="s">
        <v>149</v>
      </c>
      <c r="HIF2" s="20"/>
      <c r="HIG2" s="20" t="s">
        <v>151</v>
      </c>
      <c r="HIH2" s="20" t="s">
        <v>256</v>
      </c>
      <c r="HII2" s="20" t="s">
        <v>146</v>
      </c>
      <c r="HIJ2" s="20" t="s">
        <v>145</v>
      </c>
      <c r="HIK2" s="20" t="s">
        <v>343</v>
      </c>
      <c r="HIL2" s="20" t="s">
        <v>467</v>
      </c>
      <c r="HIM2" s="20" t="s">
        <v>151</v>
      </c>
      <c r="HIN2" s="20" t="s">
        <v>465</v>
      </c>
      <c r="HIO2" s="20" t="s">
        <v>719</v>
      </c>
      <c r="HIP2" s="20" t="s">
        <v>2168</v>
      </c>
      <c r="HIQ2" s="20"/>
      <c r="HIR2" s="20" t="s">
        <v>151</v>
      </c>
      <c r="HIS2" s="20" t="s">
        <v>146</v>
      </c>
      <c r="HIT2" s="20" t="s">
        <v>145</v>
      </c>
      <c r="HIU2" s="20" t="s">
        <v>343</v>
      </c>
      <c r="HIV2" s="20" t="s">
        <v>467</v>
      </c>
      <c r="HIW2" s="20"/>
      <c r="HIX2" s="20" t="s">
        <v>151</v>
      </c>
      <c r="HIY2" s="20" t="s">
        <v>142</v>
      </c>
      <c r="HIZ2" s="20" t="s">
        <v>143</v>
      </c>
      <c r="HJA2" s="20" t="s">
        <v>149</v>
      </c>
      <c r="HJB2" s="20" t="s">
        <v>146</v>
      </c>
      <c r="HJC2" s="20" t="s">
        <v>142</v>
      </c>
      <c r="HJD2" s="20" t="s">
        <v>143</v>
      </c>
      <c r="HJE2" s="20"/>
      <c r="HJF2" s="20" t="s">
        <v>151</v>
      </c>
      <c r="HJG2" s="20" t="s">
        <v>256</v>
      </c>
      <c r="HJH2" s="20" t="s">
        <v>145</v>
      </c>
      <c r="HJI2" s="31" t="s">
        <v>713</v>
      </c>
      <c r="HJJ2" s="20" t="s">
        <v>344</v>
      </c>
      <c r="HJK2" s="20" t="s">
        <v>719</v>
      </c>
      <c r="HJL2" s="31" t="s">
        <v>146</v>
      </c>
      <c r="HJM2" s="31" t="s">
        <v>149</v>
      </c>
      <c r="HJN2" s="31" t="s">
        <v>152</v>
      </c>
      <c r="HJO2" s="31" t="s">
        <v>151</v>
      </c>
      <c r="HJP2" s="31" t="s">
        <v>719</v>
      </c>
      <c r="HJQ2" s="31"/>
      <c r="HJR2" s="31"/>
      <c r="HJS2" s="31"/>
      <c r="HJT2" s="31"/>
      <c r="HJU2" s="20" t="s">
        <v>721</v>
      </c>
      <c r="HJV2" s="20" t="s">
        <v>2411</v>
      </c>
      <c r="HJW2" s="20" t="s">
        <v>146</v>
      </c>
      <c r="HJX2" s="20" t="s">
        <v>205</v>
      </c>
      <c r="HJY2" s="20" t="s">
        <v>453</v>
      </c>
      <c r="HJZ2" s="20" t="s">
        <v>454</v>
      </c>
      <c r="HKA2" s="20" t="s">
        <v>151</v>
      </c>
      <c r="HKB2" s="20" t="s">
        <v>208</v>
      </c>
      <c r="HKC2" s="20" t="s">
        <v>146</v>
      </c>
      <c r="HKD2" s="20" t="s">
        <v>722</v>
      </c>
      <c r="HKE2" s="20" t="s">
        <v>151</v>
      </c>
      <c r="HKF2" s="20" t="s">
        <v>469</v>
      </c>
      <c r="HKG2" s="20"/>
      <c r="HKH2" s="20" t="s">
        <v>141</v>
      </c>
      <c r="HKI2" s="20" t="s">
        <v>734</v>
      </c>
      <c r="HKJ2" s="20"/>
      <c r="HKK2" s="20"/>
      <c r="HKL2" s="20"/>
      <c r="HKM2" s="20" t="s">
        <v>464</v>
      </c>
      <c r="HKN2" s="20"/>
      <c r="HKO2" s="20"/>
      <c r="HKP2" s="20"/>
      <c r="HKQ2" s="20" t="s">
        <v>138</v>
      </c>
      <c r="HKR2" s="20" t="s">
        <v>211</v>
      </c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34" t="s">
        <v>367</v>
      </c>
      <c r="HMP2" s="34" t="s">
        <v>544</v>
      </c>
      <c r="HMQ2" s="34" t="s">
        <v>551</v>
      </c>
      <c r="HMR2" s="34" t="s">
        <v>2433</v>
      </c>
      <c r="HMS2" s="34" t="s">
        <v>739</v>
      </c>
      <c r="HMT2" s="34" t="s">
        <v>545</v>
      </c>
      <c r="HMU2" s="34" t="s">
        <v>546</v>
      </c>
      <c r="HMV2" s="34" t="s">
        <v>801</v>
      </c>
      <c r="HMW2" s="34" t="s">
        <v>2426</v>
      </c>
      <c r="HMX2" s="34" t="s">
        <v>2430</v>
      </c>
      <c r="HMY2" s="34" t="s">
        <v>193</v>
      </c>
      <c r="HMZ2" s="34" t="s">
        <v>547</v>
      </c>
      <c r="HNA2" s="34" t="s">
        <v>548</v>
      </c>
      <c r="HNB2" s="34"/>
      <c r="HNC2" s="34"/>
      <c r="HND2" s="34"/>
      <c r="HNE2" s="34"/>
      <c r="HNF2" s="34"/>
      <c r="HNG2" s="34"/>
      <c r="HNH2" s="34"/>
      <c r="HNI2" s="34"/>
      <c r="HNJ2" s="33" t="s">
        <v>364</v>
      </c>
      <c r="HNK2" s="33" t="s">
        <v>361</v>
      </c>
      <c r="HNL2" s="33" t="s">
        <v>362</v>
      </c>
      <c r="HNM2" s="33" t="s">
        <v>363</v>
      </c>
      <c r="HNN2" s="33" t="s">
        <v>359</v>
      </c>
      <c r="HNO2" s="33" t="s">
        <v>270</v>
      </c>
      <c r="HNP2" s="33" t="s">
        <v>271</v>
      </c>
      <c r="HNQ2" s="33" t="s">
        <v>272</v>
      </c>
      <c r="HNR2" s="33" t="s">
        <v>685</v>
      </c>
      <c r="HNS2" s="33" t="s">
        <v>273</v>
      </c>
      <c r="HNT2" s="33" t="s">
        <v>360</v>
      </c>
      <c r="HNU2" s="33" t="s">
        <v>274</v>
      </c>
      <c r="HNV2" s="33" t="s">
        <v>765</v>
      </c>
      <c r="HNW2" s="33" t="s">
        <v>766</v>
      </c>
      <c r="HNX2" s="33" t="s">
        <v>223</v>
      </c>
      <c r="HNY2" s="33" t="s">
        <v>366</v>
      </c>
      <c r="HNZ2" s="33" t="s">
        <v>365</v>
      </c>
      <c r="HOA2" s="33" t="s">
        <v>712</v>
      </c>
      <c r="HOB2" s="33" t="s">
        <v>764</v>
      </c>
      <c r="HOC2" s="33" t="s">
        <v>2421</v>
      </c>
      <c r="HOD2" s="33"/>
      <c r="HOE2" s="33"/>
      <c r="HOF2" s="33"/>
      <c r="HOG2" s="33"/>
      <c r="HOH2" s="33"/>
      <c r="HOI2" s="33"/>
      <c r="HOJ2" s="33"/>
      <c r="HOK2" s="33"/>
      <c r="HOL2" s="33"/>
    </row>
    <row r="3" spans="1:5810" x14ac:dyDescent="0.25">
      <c r="A3" s="40" t="s">
        <v>575</v>
      </c>
      <c r="ANU3" s="50"/>
      <c r="ANV3" s="50"/>
      <c r="ANW3" s="50"/>
      <c r="ANX3" s="50"/>
      <c r="ANY3" s="50"/>
      <c r="ANZ3" s="50"/>
      <c r="AOA3" s="50"/>
    </row>
    <row r="4" spans="1:5810" x14ac:dyDescent="0.25">
      <c r="A4" s="10" t="s">
        <v>2696</v>
      </c>
      <c r="B4" s="10"/>
      <c r="D4" s="10"/>
      <c r="E4" s="10"/>
      <c r="F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51"/>
      <c r="DK4" s="57"/>
      <c r="DL4" s="57"/>
      <c r="DM4" s="5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7"/>
      <c r="GY4" s="7"/>
      <c r="GZ4" s="7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8"/>
      <c r="TD4" s="8"/>
      <c r="TE4" s="8"/>
      <c r="TF4" s="8"/>
      <c r="TG4" s="8"/>
      <c r="TH4" s="8"/>
      <c r="TI4" s="8"/>
      <c r="TJ4" s="8"/>
      <c r="TK4" s="8"/>
      <c r="TL4" s="8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7"/>
      <c r="AIY4" s="7"/>
      <c r="AIZ4" s="7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7"/>
      <c r="AKF4" s="7"/>
      <c r="AKG4" s="7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7"/>
      <c r="ALP4" s="7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51"/>
      <c r="ANV4" s="51"/>
      <c r="ANW4" s="51"/>
      <c r="ANX4" s="51"/>
      <c r="ANY4" s="51"/>
      <c r="ANZ4" s="51"/>
      <c r="AOA4" s="51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SN4" s="8"/>
      <c r="ASO4" s="8"/>
      <c r="ASP4" s="8"/>
      <c r="ASQ4" s="8"/>
      <c r="ASR4" s="8"/>
      <c r="ASS4" s="8"/>
      <c r="AST4" s="8"/>
      <c r="ASU4" s="8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7"/>
      <c r="AUK4" s="7"/>
      <c r="AUL4" s="7"/>
      <c r="AUM4" s="7"/>
      <c r="AUN4" s="7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GEK4">
        <v>1</v>
      </c>
      <c r="GEP4">
        <v>29</v>
      </c>
      <c r="GEQ4">
        <v>999</v>
      </c>
      <c r="GER4">
        <v>0</v>
      </c>
      <c r="GES4">
        <v>999</v>
      </c>
      <c r="GET4">
        <v>6</v>
      </c>
      <c r="HAC4">
        <v>1</v>
      </c>
      <c r="HAG4">
        <v>1</v>
      </c>
    </row>
    <row r="5" spans="1:5810" x14ac:dyDescent="0.25">
      <c r="A5" s="50">
        <v>7072184</v>
      </c>
      <c r="B5" s="50"/>
      <c r="C5" s="50"/>
      <c r="D5" s="50"/>
      <c r="E5" s="50"/>
      <c r="F5" s="50"/>
      <c r="G5" s="50"/>
      <c r="H5" s="50"/>
      <c r="I5" s="50"/>
      <c r="J5" s="50"/>
      <c r="K5" s="50">
        <v>12.441000000000001</v>
      </c>
      <c r="L5" s="51"/>
      <c r="M5" s="51"/>
      <c r="N5" s="51"/>
      <c r="O5" s="51"/>
      <c r="P5" s="51"/>
      <c r="Q5" s="6"/>
      <c r="R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51"/>
      <c r="DK5" s="50">
        <v>2.9</v>
      </c>
      <c r="DL5" s="50"/>
      <c r="DM5" s="50"/>
      <c r="DS5">
        <v>18</v>
      </c>
      <c r="EF5">
        <v>108.5</v>
      </c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51"/>
      <c r="FO5" s="51"/>
      <c r="FP5" s="51"/>
      <c r="FQ5" s="51"/>
      <c r="FR5" s="51"/>
      <c r="FS5" s="50">
        <v>2.4660000000000002</v>
      </c>
      <c r="FT5" s="50"/>
      <c r="FU5" s="50"/>
      <c r="FV5" s="50"/>
      <c r="FW5" s="50"/>
      <c r="FX5" s="50">
        <v>17</v>
      </c>
      <c r="FY5" s="50"/>
      <c r="FZ5" s="50"/>
      <c r="GA5" s="50"/>
      <c r="GB5" s="50">
        <v>282</v>
      </c>
      <c r="GC5" s="50"/>
      <c r="GD5" s="50"/>
      <c r="GE5" s="50"/>
      <c r="GF5" s="50"/>
      <c r="GG5" s="50"/>
      <c r="GH5" s="50"/>
      <c r="GI5" s="50">
        <v>415</v>
      </c>
      <c r="GJ5" s="50"/>
      <c r="GK5" s="50"/>
      <c r="GX5">
        <v>69</v>
      </c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>
        <v>39600</v>
      </c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JP5">
        <v>916</v>
      </c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NE5">
        <v>190</v>
      </c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K5" s="49">
        <v>5.423</v>
      </c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L5">
        <v>11</v>
      </c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>
        <v>8</v>
      </c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>
        <v>3.3</v>
      </c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7"/>
      <c r="AIY5" s="7"/>
      <c r="AIZ5" s="7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>
        <v>2.4</v>
      </c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7"/>
      <c r="ALP5" s="7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51"/>
      <c r="ANV5" s="51"/>
      <c r="ANW5" s="51"/>
      <c r="ANX5" s="51">
        <v>537</v>
      </c>
      <c r="ANY5" s="51"/>
      <c r="ANZ5" s="51"/>
      <c r="AOA5" s="51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SU5">
        <v>23000</v>
      </c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7"/>
      <c r="AUK5" s="7"/>
      <c r="AUL5" s="7"/>
      <c r="AUM5" s="7"/>
      <c r="AUN5" s="7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>
        <v>80</v>
      </c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PE5">
        <v>39</v>
      </c>
      <c r="BPF5">
        <v>1</v>
      </c>
      <c r="BPI5">
        <v>1</v>
      </c>
      <c r="BPP5">
        <v>1</v>
      </c>
      <c r="BYR5">
        <v>75</v>
      </c>
      <c r="BYS5">
        <v>1</v>
      </c>
      <c r="BYU5">
        <v>1</v>
      </c>
      <c r="BYY5">
        <v>1</v>
      </c>
      <c r="BZA5">
        <v>0</v>
      </c>
      <c r="GWR5">
        <v>1</v>
      </c>
      <c r="HAG5">
        <v>1</v>
      </c>
      <c r="HBG5">
        <v>1</v>
      </c>
      <c r="HBH5">
        <v>1</v>
      </c>
      <c r="HBP5">
        <v>1</v>
      </c>
      <c r="HDZ5">
        <v>45</v>
      </c>
      <c r="HEA5">
        <v>1</v>
      </c>
      <c r="HFP5">
        <v>1</v>
      </c>
      <c r="HGI5">
        <v>1</v>
      </c>
      <c r="HGW5">
        <v>1</v>
      </c>
      <c r="HGX5">
        <v>1</v>
      </c>
      <c r="HGY5">
        <v>1</v>
      </c>
      <c r="HGZ5">
        <v>1</v>
      </c>
      <c r="HHB5">
        <v>1</v>
      </c>
      <c r="HHD5">
        <v>1</v>
      </c>
      <c r="HIY5">
        <v>1</v>
      </c>
      <c r="HIZ5">
        <v>1</v>
      </c>
      <c r="HJC5">
        <v>1</v>
      </c>
      <c r="HJD5">
        <v>1</v>
      </c>
      <c r="HKH5">
        <v>1</v>
      </c>
      <c r="HKQ5">
        <v>1</v>
      </c>
      <c r="HMO5">
        <v>1</v>
      </c>
      <c r="HNJ5">
        <v>1</v>
      </c>
      <c r="HNL5">
        <v>1</v>
      </c>
      <c r="HNS5">
        <v>1</v>
      </c>
      <c r="HNY5">
        <v>1</v>
      </c>
      <c r="HNZ5">
        <v>1</v>
      </c>
    </row>
    <row r="6" spans="1:5810" x14ac:dyDescent="0.25">
      <c r="A6" s="50">
        <v>9108231</v>
      </c>
      <c r="B6" s="50"/>
      <c r="C6" s="50"/>
      <c r="D6" s="50"/>
      <c r="E6" s="50"/>
      <c r="F6" s="50"/>
      <c r="G6" s="51"/>
      <c r="H6" s="51"/>
      <c r="I6" s="51"/>
      <c r="J6" s="51"/>
      <c r="K6" s="51"/>
      <c r="L6" s="51"/>
      <c r="M6" s="51"/>
      <c r="N6" s="51"/>
      <c r="O6" s="51"/>
      <c r="P6" s="51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51"/>
      <c r="DK6" s="57"/>
      <c r="DL6" s="57"/>
      <c r="DM6" s="5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7"/>
      <c r="GY6" s="7"/>
      <c r="GZ6" s="7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>
        <v>13120</v>
      </c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8"/>
      <c r="TD6" s="8"/>
      <c r="TE6" s="8"/>
      <c r="TF6" s="8"/>
      <c r="TG6" s="8"/>
      <c r="TH6" s="8"/>
      <c r="TI6" s="8"/>
      <c r="TJ6" s="8"/>
      <c r="TK6" s="8"/>
      <c r="TL6" s="8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7"/>
      <c r="AIY6" s="7"/>
      <c r="AIZ6" s="7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7"/>
      <c r="AKF6" s="7"/>
      <c r="AKG6" s="7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7"/>
      <c r="ALP6" s="7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U6" s="50"/>
      <c r="ANV6" s="50"/>
      <c r="ANW6" s="50"/>
      <c r="ANX6" s="50">
        <v>193</v>
      </c>
      <c r="ANY6" s="50"/>
      <c r="ANZ6" s="50"/>
      <c r="AOA6" s="50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SN6" s="8"/>
      <c r="ASO6" s="8"/>
      <c r="ASP6" s="8"/>
      <c r="ASQ6" s="8"/>
      <c r="ASR6" s="8"/>
      <c r="ASS6" s="8"/>
      <c r="AST6" s="8"/>
      <c r="ASU6" s="8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7"/>
      <c r="AUK6" s="7"/>
      <c r="AUL6" s="7"/>
      <c r="AUM6" s="7"/>
      <c r="AUN6" s="7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PE6">
        <v>24</v>
      </c>
      <c r="BPG6">
        <v>1</v>
      </c>
      <c r="BPJ6">
        <v>1</v>
      </c>
      <c r="BPP6">
        <v>1</v>
      </c>
      <c r="BQM6">
        <v>1</v>
      </c>
      <c r="BUQ6">
        <v>1</v>
      </c>
      <c r="BUT6">
        <v>1</v>
      </c>
      <c r="BYR6">
        <v>50</v>
      </c>
      <c r="BYS6">
        <v>3</v>
      </c>
      <c r="BYV6">
        <v>1</v>
      </c>
      <c r="BZI6">
        <v>1</v>
      </c>
      <c r="BZK6">
        <v>3</v>
      </c>
      <c r="BZU6">
        <v>1</v>
      </c>
      <c r="BZW6">
        <v>3</v>
      </c>
      <c r="CAG6">
        <v>1</v>
      </c>
      <c r="CAH6">
        <v>3</v>
      </c>
      <c r="CMK6">
        <v>1000</v>
      </c>
      <c r="CML6">
        <v>3</v>
      </c>
      <c r="CMO6">
        <v>1</v>
      </c>
      <c r="GYE6">
        <v>1</v>
      </c>
      <c r="GYK6">
        <v>1</v>
      </c>
      <c r="GYL6">
        <v>1</v>
      </c>
      <c r="GZK6">
        <v>1</v>
      </c>
      <c r="HEI6">
        <v>1</v>
      </c>
      <c r="HEK6">
        <v>1</v>
      </c>
      <c r="HFV6">
        <v>1</v>
      </c>
      <c r="HHB6">
        <v>1</v>
      </c>
      <c r="HHF6">
        <v>1</v>
      </c>
      <c r="HHG6">
        <v>1</v>
      </c>
      <c r="HJA6">
        <v>1</v>
      </c>
    </row>
    <row r="7" spans="1:5810" x14ac:dyDescent="0.25">
      <c r="A7" s="50">
        <v>12061933</v>
      </c>
      <c r="B7" s="50"/>
      <c r="C7" s="50"/>
      <c r="D7" s="50"/>
      <c r="E7" s="50"/>
      <c r="F7" s="50"/>
      <c r="G7" s="51"/>
      <c r="H7" s="51"/>
      <c r="I7" s="51"/>
      <c r="J7" s="51"/>
      <c r="K7" s="51"/>
      <c r="L7" s="51"/>
      <c r="M7" s="51"/>
      <c r="N7" s="51"/>
      <c r="O7" s="51"/>
      <c r="P7" s="51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51"/>
      <c r="DK7" s="57"/>
      <c r="DL7" s="57"/>
      <c r="DM7" s="5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8"/>
      <c r="TD7" s="8"/>
      <c r="TE7" s="8"/>
      <c r="TF7" s="8"/>
      <c r="TG7" s="8"/>
      <c r="TH7" s="8"/>
      <c r="TI7" s="8"/>
      <c r="TJ7" s="8"/>
      <c r="TK7" s="8"/>
      <c r="TL7" s="8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7"/>
      <c r="AIY7" s="7"/>
      <c r="AIZ7" s="7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7"/>
      <c r="AKF7" s="7"/>
      <c r="AKG7" s="7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7"/>
      <c r="ALP7" s="7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51"/>
      <c r="ANV7" s="51"/>
      <c r="ANW7" s="51"/>
      <c r="ANX7" s="51"/>
      <c r="ANY7" s="51"/>
      <c r="ANZ7" s="51"/>
      <c r="AOA7" s="51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SN7" s="8"/>
      <c r="ASO7" s="8"/>
      <c r="ASP7" s="8"/>
      <c r="ASQ7" s="8"/>
      <c r="ASR7" s="8"/>
      <c r="ASS7" s="8"/>
      <c r="AST7" s="8"/>
      <c r="ASU7" s="8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7"/>
      <c r="AUK7" s="7"/>
      <c r="AUL7" s="7"/>
      <c r="AUM7" s="7"/>
      <c r="AUN7" s="7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N7" t="s">
        <v>0</v>
      </c>
      <c r="BFO7">
        <v>1</v>
      </c>
      <c r="BFP7">
        <v>0</v>
      </c>
      <c r="BFQ7">
        <v>1</v>
      </c>
      <c r="BFR7">
        <v>1</v>
      </c>
      <c r="BPE7">
        <v>31</v>
      </c>
      <c r="BPG7">
        <v>1</v>
      </c>
      <c r="BPJ7">
        <v>1</v>
      </c>
      <c r="BTZ7">
        <v>1</v>
      </c>
      <c r="BUC7">
        <v>1</v>
      </c>
      <c r="BUG7">
        <v>1</v>
      </c>
      <c r="BUI7">
        <v>1</v>
      </c>
      <c r="BUP7">
        <v>1</v>
      </c>
      <c r="BYQ7">
        <v>1</v>
      </c>
      <c r="CCW7">
        <v>1</v>
      </c>
      <c r="EED7">
        <v>1</v>
      </c>
      <c r="EEO7">
        <v>1</v>
      </c>
      <c r="HEB7">
        <v>1</v>
      </c>
      <c r="HEF7">
        <v>1</v>
      </c>
      <c r="HEH7">
        <v>1</v>
      </c>
      <c r="HEM7">
        <v>1</v>
      </c>
      <c r="HFP7">
        <v>1</v>
      </c>
      <c r="HGH7">
        <v>1</v>
      </c>
      <c r="HGO7">
        <v>1</v>
      </c>
      <c r="HGP7">
        <v>1</v>
      </c>
      <c r="HGQ7">
        <v>1</v>
      </c>
      <c r="HGR7">
        <v>1</v>
      </c>
      <c r="HGV7">
        <v>1</v>
      </c>
      <c r="HGZ7">
        <v>1</v>
      </c>
      <c r="HHA7">
        <v>1</v>
      </c>
      <c r="HHE7">
        <v>1</v>
      </c>
      <c r="HJW7">
        <v>1</v>
      </c>
      <c r="HJX7">
        <v>1</v>
      </c>
      <c r="HKB7">
        <v>1</v>
      </c>
      <c r="HKR7">
        <v>1</v>
      </c>
      <c r="HNJ7">
        <v>1</v>
      </c>
      <c r="HNL7">
        <v>1</v>
      </c>
      <c r="HNM7">
        <v>1</v>
      </c>
      <c r="HNX7">
        <v>1</v>
      </c>
    </row>
    <row r="8" spans="1:5810" x14ac:dyDescent="0.25">
      <c r="A8" s="50">
        <v>95005911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DJ8" s="50"/>
      <c r="DK8" s="50"/>
      <c r="DL8" s="50"/>
      <c r="D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NE8">
        <v>40</v>
      </c>
      <c r="QS8">
        <v>70</v>
      </c>
      <c r="XQ8">
        <v>16</v>
      </c>
      <c r="ANU8" s="50"/>
      <c r="ANV8" s="50"/>
      <c r="ANW8" s="50"/>
      <c r="ANX8" s="50">
        <v>5.3</v>
      </c>
      <c r="ANY8" s="50"/>
      <c r="ANZ8" s="50"/>
      <c r="AOA8" s="50"/>
      <c r="BPE8">
        <v>56</v>
      </c>
      <c r="BPG8">
        <v>1</v>
      </c>
      <c r="BPH8">
        <v>26</v>
      </c>
      <c r="BPK8">
        <v>26</v>
      </c>
      <c r="BPL8">
        <v>1</v>
      </c>
      <c r="BSR8">
        <v>1</v>
      </c>
      <c r="BTH8">
        <v>1</v>
      </c>
      <c r="BVK8">
        <v>1</v>
      </c>
      <c r="BYQ8">
        <v>1</v>
      </c>
      <c r="BYT8">
        <v>1</v>
      </c>
      <c r="BYY8">
        <v>3</v>
      </c>
      <c r="BYZ8">
        <v>18</v>
      </c>
      <c r="BZA8">
        <v>15</v>
      </c>
      <c r="BZB8">
        <v>0</v>
      </c>
      <c r="BZC8">
        <v>3</v>
      </c>
      <c r="CAC8">
        <v>100</v>
      </c>
      <c r="CAG8">
        <v>1</v>
      </c>
      <c r="CAH8">
        <v>22</v>
      </c>
      <c r="CAI8">
        <v>18</v>
      </c>
      <c r="CAJ8">
        <v>0</v>
      </c>
      <c r="CAK8">
        <v>3</v>
      </c>
      <c r="CAL8">
        <v>4</v>
      </c>
      <c r="CAM8">
        <v>1</v>
      </c>
      <c r="CAP8">
        <v>1</v>
      </c>
      <c r="CAS8">
        <v>3</v>
      </c>
      <c r="CAT8">
        <v>18</v>
      </c>
      <c r="CAU8">
        <v>15</v>
      </c>
      <c r="CAV8">
        <v>0</v>
      </c>
      <c r="CAW8">
        <v>5</v>
      </c>
      <c r="CHH8">
        <v>1</v>
      </c>
      <c r="CHK8">
        <v>1</v>
      </c>
      <c r="CHN8">
        <v>3</v>
      </c>
      <c r="CHO8">
        <v>18</v>
      </c>
      <c r="CHP8">
        <v>15</v>
      </c>
      <c r="CHQ8">
        <v>0</v>
      </c>
      <c r="CHR8">
        <v>5</v>
      </c>
      <c r="CZI8">
        <v>1</v>
      </c>
      <c r="CZN8">
        <v>1</v>
      </c>
      <c r="CZO8" s="15">
        <v>27</v>
      </c>
      <c r="CZP8">
        <v>999</v>
      </c>
      <c r="CZQ8">
        <v>0</v>
      </c>
      <c r="CZR8">
        <v>2</v>
      </c>
      <c r="CZS8">
        <v>5</v>
      </c>
      <c r="ETB8">
        <v>1</v>
      </c>
      <c r="ETE8">
        <v>1</v>
      </c>
      <c r="EXA8">
        <v>1</v>
      </c>
      <c r="EXF8">
        <v>1</v>
      </c>
      <c r="EXG8" s="35">
        <v>24</v>
      </c>
      <c r="EXH8">
        <v>18</v>
      </c>
      <c r="EXI8">
        <v>0</v>
      </c>
      <c r="EXJ8">
        <v>999</v>
      </c>
      <c r="EXK8">
        <v>6</v>
      </c>
      <c r="FGU8">
        <v>1</v>
      </c>
      <c r="FGZ8">
        <v>1</v>
      </c>
      <c r="FHA8">
        <v>22</v>
      </c>
      <c r="FHB8">
        <v>18</v>
      </c>
      <c r="FHC8">
        <v>0</v>
      </c>
      <c r="FHD8">
        <v>3</v>
      </c>
      <c r="FHE8">
        <v>4</v>
      </c>
      <c r="GUP8">
        <v>1</v>
      </c>
      <c r="GUU8">
        <v>1</v>
      </c>
      <c r="GUV8" s="15">
        <v>29</v>
      </c>
      <c r="GUW8">
        <v>999</v>
      </c>
      <c r="GUX8">
        <v>0</v>
      </c>
      <c r="GUY8">
        <v>999</v>
      </c>
      <c r="GUZ8">
        <v>6</v>
      </c>
      <c r="GVA8">
        <v>1</v>
      </c>
      <c r="GVD8">
        <v>1</v>
      </c>
      <c r="GVG8">
        <v>3</v>
      </c>
      <c r="GVH8">
        <v>18</v>
      </c>
      <c r="GVI8">
        <v>15</v>
      </c>
      <c r="GVJ8">
        <v>0</v>
      </c>
      <c r="GVK8">
        <v>6</v>
      </c>
    </row>
    <row r="9" spans="1:5810" x14ac:dyDescent="0.25">
      <c r="A9" s="50">
        <v>99001908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DJ9" s="50"/>
      <c r="DK9" s="50"/>
      <c r="DL9" s="50"/>
      <c r="D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QS9">
        <v>25</v>
      </c>
      <c r="TK9">
        <v>253</v>
      </c>
      <c r="ANU9" s="50"/>
      <c r="ANV9" s="50"/>
      <c r="ANW9" s="50"/>
      <c r="ANX9" s="50"/>
      <c r="ANY9" s="50"/>
      <c r="ANZ9" s="50"/>
      <c r="AOA9" s="50"/>
      <c r="BPE9">
        <v>81</v>
      </c>
      <c r="BPG9">
        <v>1</v>
      </c>
      <c r="BPH9">
        <v>24.6</v>
      </c>
      <c r="BPJ9">
        <v>1</v>
      </c>
      <c r="BPK9">
        <v>46</v>
      </c>
      <c r="BQD9">
        <v>1</v>
      </c>
      <c r="BQI9">
        <v>1</v>
      </c>
      <c r="BQY9">
        <v>1</v>
      </c>
      <c r="BVH9">
        <v>1</v>
      </c>
      <c r="BVI9">
        <v>1</v>
      </c>
      <c r="BYS9">
        <v>1</v>
      </c>
      <c r="BYV9">
        <v>1</v>
      </c>
      <c r="BYY9" s="15">
        <v>19</v>
      </c>
      <c r="BYZ9">
        <v>999</v>
      </c>
      <c r="BZA9">
        <v>9</v>
      </c>
      <c r="BZB9">
        <v>0</v>
      </c>
      <c r="BZC9">
        <v>4</v>
      </c>
      <c r="CLJ9">
        <v>1</v>
      </c>
      <c r="CLL9">
        <v>4</v>
      </c>
      <c r="CLM9">
        <v>19</v>
      </c>
      <c r="CLN9">
        <v>11</v>
      </c>
      <c r="CLO9">
        <v>0</v>
      </c>
      <c r="CLP9">
        <v>5</v>
      </c>
      <c r="DCZ9">
        <v>1</v>
      </c>
      <c r="DDC9">
        <v>1</v>
      </c>
      <c r="DDD9" s="36">
        <v>29</v>
      </c>
      <c r="DDE9">
        <v>999</v>
      </c>
      <c r="DDF9">
        <v>0</v>
      </c>
      <c r="DDG9">
        <v>999</v>
      </c>
      <c r="DDH9">
        <v>5</v>
      </c>
      <c r="DGB9">
        <v>5</v>
      </c>
      <c r="DGC9">
        <v>2</v>
      </c>
      <c r="DGF9">
        <v>1</v>
      </c>
      <c r="DGG9" s="36">
        <v>29</v>
      </c>
      <c r="DGH9">
        <v>999</v>
      </c>
      <c r="DGI9">
        <v>0</v>
      </c>
      <c r="DGJ9">
        <v>999</v>
      </c>
      <c r="DGK9">
        <v>6</v>
      </c>
      <c r="GIC9">
        <v>1</v>
      </c>
      <c r="GID9" s="35">
        <v>9</v>
      </c>
      <c r="GIE9">
        <v>7</v>
      </c>
      <c r="GIF9">
        <v>0</v>
      </c>
      <c r="GIG9">
        <v>999</v>
      </c>
      <c r="GIH9">
        <v>6</v>
      </c>
      <c r="GVM9">
        <v>2</v>
      </c>
      <c r="GVP9">
        <v>1</v>
      </c>
      <c r="GVQ9" s="35">
        <v>9</v>
      </c>
      <c r="GVR9">
        <v>7</v>
      </c>
      <c r="GVS9">
        <v>0</v>
      </c>
      <c r="GVT9">
        <v>999</v>
      </c>
      <c r="GVU9">
        <v>6</v>
      </c>
      <c r="GVV9">
        <v>1</v>
      </c>
      <c r="GVW9">
        <v>2</v>
      </c>
      <c r="GWA9" s="36">
        <v>29</v>
      </c>
      <c r="GWB9">
        <v>999</v>
      </c>
      <c r="GWC9">
        <v>0</v>
      </c>
      <c r="GWD9">
        <v>999</v>
      </c>
      <c r="GWE9">
        <v>6</v>
      </c>
      <c r="GYE9">
        <v>1</v>
      </c>
      <c r="GYL9">
        <v>1</v>
      </c>
      <c r="GZP9">
        <v>1</v>
      </c>
      <c r="HFF9">
        <v>1</v>
      </c>
      <c r="HHD9">
        <v>1</v>
      </c>
      <c r="HHE9">
        <v>1</v>
      </c>
    </row>
    <row r="10" spans="1:5810" x14ac:dyDescent="0.25">
      <c r="A10" s="50">
        <v>99004067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HA10" s="39"/>
      <c r="HB10" s="39"/>
      <c r="HC10" s="39"/>
      <c r="HD10" s="39"/>
      <c r="HP10" s="39"/>
      <c r="JP10">
        <v>20</v>
      </c>
      <c r="NE10">
        <v>22</v>
      </c>
      <c r="QS10">
        <v>106</v>
      </c>
      <c r="XL10">
        <v>21.5</v>
      </c>
      <c r="AKE10">
        <v>1.45</v>
      </c>
      <c r="ANU10" s="50"/>
      <c r="ANV10" s="50"/>
      <c r="ANW10" s="50"/>
      <c r="ANX10" s="50"/>
      <c r="ANY10" s="50"/>
      <c r="ANZ10" s="50"/>
      <c r="AOA10" s="50"/>
      <c r="APK10">
        <v>114.2</v>
      </c>
      <c r="BPE10">
        <v>68</v>
      </c>
      <c r="BPG10">
        <v>1</v>
      </c>
      <c r="BPH10">
        <v>25.1</v>
      </c>
      <c r="BPJ10">
        <v>1</v>
      </c>
      <c r="BPK10">
        <v>24</v>
      </c>
      <c r="BPP10">
        <v>1</v>
      </c>
      <c r="BPS10">
        <v>1</v>
      </c>
      <c r="BQH10">
        <v>1</v>
      </c>
      <c r="BQY10">
        <v>1</v>
      </c>
      <c r="BTA10">
        <v>1</v>
      </c>
      <c r="BTS10">
        <v>1</v>
      </c>
      <c r="BYR10">
        <v>46.5</v>
      </c>
      <c r="BYS10" t="s">
        <v>240</v>
      </c>
      <c r="BYV10">
        <v>1</v>
      </c>
      <c r="BYY10" s="36">
        <v>29</v>
      </c>
      <c r="BYZ10">
        <v>999</v>
      </c>
      <c r="BZA10">
        <v>0</v>
      </c>
      <c r="BZB10">
        <v>999</v>
      </c>
      <c r="BZC10">
        <v>4</v>
      </c>
      <c r="CAC10">
        <v>500</v>
      </c>
      <c r="CAD10">
        <v>0.25</v>
      </c>
      <c r="CAG10">
        <v>1</v>
      </c>
      <c r="CAH10">
        <v>29</v>
      </c>
      <c r="CAI10">
        <v>999</v>
      </c>
      <c r="CAJ10">
        <v>0</v>
      </c>
      <c r="CAK10">
        <v>999</v>
      </c>
      <c r="CAL10">
        <v>5</v>
      </c>
      <c r="CQH10">
        <v>500</v>
      </c>
      <c r="CQI10">
        <v>2</v>
      </c>
      <c r="CQL10">
        <v>1</v>
      </c>
      <c r="CQM10">
        <v>14</v>
      </c>
      <c r="CQN10">
        <v>11</v>
      </c>
      <c r="CQO10">
        <v>0</v>
      </c>
      <c r="CQP10">
        <v>2</v>
      </c>
      <c r="CQQ10">
        <v>4</v>
      </c>
      <c r="CYY10">
        <v>10</v>
      </c>
      <c r="CYZ10">
        <v>1</v>
      </c>
      <c r="CZC10">
        <v>1</v>
      </c>
      <c r="CZD10">
        <v>29</v>
      </c>
      <c r="CZE10">
        <v>999</v>
      </c>
      <c r="CZF10">
        <v>0</v>
      </c>
      <c r="CZG10">
        <v>999</v>
      </c>
      <c r="CZH10">
        <v>5</v>
      </c>
      <c r="DDJ10">
        <v>60</v>
      </c>
      <c r="DDK10">
        <v>1</v>
      </c>
      <c r="DDN10">
        <v>1</v>
      </c>
      <c r="DDO10" s="36">
        <v>29</v>
      </c>
      <c r="DDP10">
        <v>999</v>
      </c>
      <c r="DDQ10">
        <v>0</v>
      </c>
      <c r="DDR10">
        <v>999</v>
      </c>
      <c r="DDS10">
        <v>5</v>
      </c>
      <c r="DOZ10">
        <v>3</v>
      </c>
      <c r="DPC10">
        <v>1</v>
      </c>
      <c r="DPE10" s="35">
        <v>15</v>
      </c>
      <c r="DPF10">
        <v>11</v>
      </c>
      <c r="DPG10">
        <v>0</v>
      </c>
      <c r="DPH10">
        <v>999</v>
      </c>
      <c r="DPI10">
        <v>5</v>
      </c>
      <c r="DTI10">
        <v>1</v>
      </c>
      <c r="DTL10">
        <v>1</v>
      </c>
      <c r="DTM10" s="36">
        <v>29</v>
      </c>
      <c r="DTN10">
        <v>999</v>
      </c>
      <c r="DTO10">
        <v>0</v>
      </c>
      <c r="DTP10">
        <v>999</v>
      </c>
      <c r="DTQ10">
        <v>6</v>
      </c>
      <c r="EFM10">
        <v>96</v>
      </c>
      <c r="EFQ10">
        <v>1</v>
      </c>
      <c r="EFS10" s="36">
        <v>29</v>
      </c>
      <c r="EFT10">
        <v>999</v>
      </c>
      <c r="EFU10">
        <v>0</v>
      </c>
      <c r="EFV10">
        <v>999</v>
      </c>
      <c r="EFW10">
        <v>6</v>
      </c>
      <c r="EFX10">
        <v>2</v>
      </c>
      <c r="EFY10">
        <v>1</v>
      </c>
      <c r="EGB10">
        <v>1</v>
      </c>
      <c r="EGC10" s="36">
        <v>29</v>
      </c>
      <c r="EGD10">
        <v>999</v>
      </c>
      <c r="EGE10">
        <v>0</v>
      </c>
      <c r="EGF10">
        <v>999</v>
      </c>
      <c r="EGG10">
        <v>6</v>
      </c>
      <c r="EHB10">
        <v>1.25</v>
      </c>
      <c r="EHC10">
        <v>3</v>
      </c>
      <c r="EHF10">
        <v>1</v>
      </c>
      <c r="EHG10" s="35">
        <v>15</v>
      </c>
      <c r="EHH10">
        <v>11</v>
      </c>
      <c r="EHI10">
        <v>0</v>
      </c>
      <c r="EHJ10">
        <v>999</v>
      </c>
      <c r="EHK10">
        <v>5</v>
      </c>
      <c r="EUR10">
        <v>200</v>
      </c>
      <c r="EUS10">
        <v>3</v>
      </c>
      <c r="EUV10">
        <v>1</v>
      </c>
      <c r="EUW10">
        <v>14</v>
      </c>
      <c r="EUX10">
        <v>11</v>
      </c>
      <c r="EUY10">
        <v>0</v>
      </c>
      <c r="EUZ10">
        <v>2</v>
      </c>
      <c r="EVA10">
        <v>5</v>
      </c>
      <c r="FUA10" s="2">
        <v>3</v>
      </c>
      <c r="FUD10">
        <v>1</v>
      </c>
      <c r="FUE10" s="35">
        <v>15</v>
      </c>
      <c r="FUF10">
        <v>11</v>
      </c>
      <c r="FUG10">
        <v>0</v>
      </c>
      <c r="FUH10">
        <v>999</v>
      </c>
      <c r="FUI10">
        <v>5</v>
      </c>
      <c r="HFF10">
        <v>1</v>
      </c>
      <c r="HHB10">
        <v>1</v>
      </c>
    </row>
    <row r="11" spans="1:5810" x14ac:dyDescent="0.25">
      <c r="A11" s="50">
        <v>97002136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JP11">
        <v>189</v>
      </c>
      <c r="NE11">
        <v>44</v>
      </c>
      <c r="QS11">
        <v>440</v>
      </c>
      <c r="TK11">
        <v>462</v>
      </c>
      <c r="ANU11" s="50"/>
      <c r="ANV11" s="50"/>
      <c r="ANW11" s="50"/>
      <c r="ANX11" s="50"/>
      <c r="ANY11" s="50"/>
      <c r="ANZ11" s="50"/>
      <c r="AOA11" s="50"/>
      <c r="BFJ11">
        <v>1</v>
      </c>
      <c r="BFK11">
        <v>1</v>
      </c>
      <c r="BPE11">
        <v>71</v>
      </c>
      <c r="BPG11">
        <v>1</v>
      </c>
      <c r="BPH11">
        <v>24.4</v>
      </c>
      <c r="BPK11">
        <v>45</v>
      </c>
      <c r="BPP11">
        <v>1</v>
      </c>
      <c r="BSS11">
        <v>1</v>
      </c>
      <c r="BVX11">
        <v>1</v>
      </c>
      <c r="BYX11">
        <v>1</v>
      </c>
      <c r="BYY11" s="35">
        <v>22</v>
      </c>
      <c r="BYZ11">
        <v>17</v>
      </c>
      <c r="BZA11">
        <v>0</v>
      </c>
      <c r="BZB11">
        <v>999</v>
      </c>
      <c r="BZC11">
        <v>6</v>
      </c>
      <c r="DED11">
        <v>1</v>
      </c>
      <c r="DEE11">
        <v>1</v>
      </c>
      <c r="DEH11">
        <v>1</v>
      </c>
      <c r="DEI11" s="15">
        <v>28</v>
      </c>
      <c r="DEJ11">
        <v>24</v>
      </c>
      <c r="DEK11">
        <v>0</v>
      </c>
      <c r="DEL11">
        <v>3</v>
      </c>
      <c r="DEM11">
        <v>6</v>
      </c>
      <c r="DFI11">
        <v>1</v>
      </c>
      <c r="DFL11">
        <v>1</v>
      </c>
      <c r="DFM11" s="35">
        <v>21</v>
      </c>
      <c r="DFN11">
        <v>17</v>
      </c>
      <c r="DFO11">
        <v>0</v>
      </c>
      <c r="DFP11">
        <v>999</v>
      </c>
      <c r="DFQ11">
        <v>2</v>
      </c>
      <c r="GYL11">
        <v>1</v>
      </c>
      <c r="HGP11">
        <v>1</v>
      </c>
      <c r="HHB11">
        <v>1</v>
      </c>
      <c r="HHM11">
        <v>1</v>
      </c>
      <c r="HIB11">
        <v>1</v>
      </c>
    </row>
    <row r="12" spans="1:5810" x14ac:dyDescent="0.25">
      <c r="A12" s="50">
        <v>1502</v>
      </c>
      <c r="B12" s="50"/>
      <c r="C12" s="50"/>
      <c r="D12" s="50"/>
      <c r="E12" s="50"/>
      <c r="F12" s="50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6"/>
      <c r="HR12" s="6"/>
      <c r="HS12">
        <v>8700</v>
      </c>
      <c r="HT12" s="6"/>
      <c r="HU12">
        <v>7700</v>
      </c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>
        <v>52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>
        <v>82</v>
      </c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>
        <v>112</v>
      </c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6"/>
      <c r="TN12" s="6"/>
      <c r="TO12" s="6"/>
      <c r="TP12">
        <v>351</v>
      </c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>
        <v>12.6</v>
      </c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7"/>
      <c r="AIY12" s="7"/>
      <c r="AIZ12" s="7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7"/>
      <c r="AKF12" s="7"/>
      <c r="AKG12" s="7"/>
      <c r="AKH12" s="6"/>
      <c r="AKI12" s="6"/>
      <c r="AKJ12">
        <v>0.9</v>
      </c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7"/>
      <c r="ALP12" s="7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51"/>
      <c r="ANV12" s="51"/>
      <c r="ANW12" s="51"/>
      <c r="ANX12" s="51"/>
      <c r="ANY12" s="51"/>
      <c r="ANZ12" s="51"/>
      <c r="AOA12" s="51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SN12" s="8"/>
      <c r="ASO12" s="8"/>
      <c r="ASP12" s="8"/>
      <c r="ASQ12" s="8"/>
      <c r="ASR12" s="8"/>
      <c r="ASS12" s="8"/>
      <c r="AST12" s="8"/>
      <c r="ASU12" s="8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7"/>
      <c r="AUK12" s="7"/>
      <c r="AUL12" s="7"/>
      <c r="AUM12" s="7"/>
      <c r="AUN12" s="7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PE12">
        <v>79</v>
      </c>
      <c r="BPG12">
        <v>1</v>
      </c>
      <c r="BPH12">
        <v>25.9</v>
      </c>
      <c r="BPK12">
        <v>48</v>
      </c>
      <c r="BSZ12">
        <v>1</v>
      </c>
      <c r="BTA12">
        <v>1</v>
      </c>
      <c r="BUM12">
        <v>1</v>
      </c>
      <c r="BWH12">
        <v>1</v>
      </c>
      <c r="BYS12">
        <v>2</v>
      </c>
      <c r="BYV12">
        <v>1</v>
      </c>
      <c r="BYY12">
        <v>10</v>
      </c>
      <c r="BYZ12">
        <v>21</v>
      </c>
      <c r="BZA12">
        <v>12</v>
      </c>
      <c r="BZB12" s="2">
        <v>0</v>
      </c>
      <c r="BZC12">
        <v>3</v>
      </c>
      <c r="CBI12">
        <v>40</v>
      </c>
      <c r="CBJ12">
        <v>4</v>
      </c>
      <c r="CBM12">
        <v>1</v>
      </c>
      <c r="CBN12">
        <v>22</v>
      </c>
      <c r="CBO12">
        <v>21</v>
      </c>
      <c r="CBP12">
        <v>0</v>
      </c>
      <c r="CBQ12" s="2">
        <v>0</v>
      </c>
      <c r="CBR12">
        <v>3</v>
      </c>
      <c r="CGX12">
        <v>30</v>
      </c>
      <c r="CGY12">
        <v>2</v>
      </c>
      <c r="CHB12">
        <v>1</v>
      </c>
      <c r="CHC12">
        <v>7</v>
      </c>
      <c r="CHD12">
        <v>14</v>
      </c>
      <c r="CHE12">
        <v>8</v>
      </c>
      <c r="CHF12" s="2">
        <v>0</v>
      </c>
      <c r="CHG12">
        <v>5</v>
      </c>
      <c r="CJB12">
        <v>1</v>
      </c>
      <c r="CJC12">
        <v>8</v>
      </c>
      <c r="CJD12">
        <v>21</v>
      </c>
      <c r="CJE12">
        <v>14</v>
      </c>
      <c r="CJF12" s="2">
        <v>0</v>
      </c>
      <c r="CJG12">
        <v>6</v>
      </c>
      <c r="CSP12">
        <v>200</v>
      </c>
      <c r="CSQ12">
        <v>2</v>
      </c>
      <c r="CST12">
        <v>1</v>
      </c>
      <c r="CSU12" s="35">
        <v>7</v>
      </c>
      <c r="CSV12">
        <v>27</v>
      </c>
      <c r="CSW12">
        <v>23</v>
      </c>
      <c r="CSY12">
        <v>4</v>
      </c>
      <c r="CTE12">
        <v>1</v>
      </c>
      <c r="CTF12">
        <v>4</v>
      </c>
      <c r="CTG12">
        <v>24</v>
      </c>
      <c r="CTH12">
        <v>21</v>
      </c>
      <c r="CTJ12">
        <v>7</v>
      </c>
      <c r="CTL12">
        <v>2000</v>
      </c>
      <c r="CTM12">
        <v>2</v>
      </c>
      <c r="CTN12">
        <v>1</v>
      </c>
      <c r="CTQ12">
        <v>3</v>
      </c>
      <c r="CTR12">
        <v>3</v>
      </c>
      <c r="CTS12">
        <v>1</v>
      </c>
      <c r="CTU12">
        <v>4</v>
      </c>
      <c r="CTV12">
        <v>500</v>
      </c>
      <c r="CTW12">
        <v>2</v>
      </c>
      <c r="CTX12">
        <v>1</v>
      </c>
      <c r="CUA12">
        <v>1</v>
      </c>
      <c r="CUB12">
        <v>0</v>
      </c>
      <c r="CUC12">
        <v>0</v>
      </c>
      <c r="CUD12" s="2">
        <v>0</v>
      </c>
      <c r="CUE12">
        <v>7</v>
      </c>
      <c r="DEH12">
        <v>1</v>
      </c>
      <c r="DEI12">
        <v>29</v>
      </c>
      <c r="DEJ12">
        <v>28</v>
      </c>
      <c r="DEK12">
        <v>0</v>
      </c>
      <c r="DEL12" s="2">
        <v>0</v>
      </c>
      <c r="DEM12">
        <v>6</v>
      </c>
      <c r="DNB12">
        <v>1</v>
      </c>
      <c r="DNE12">
        <v>1</v>
      </c>
      <c r="DNF12" s="35">
        <v>22</v>
      </c>
      <c r="DNG12">
        <v>21</v>
      </c>
      <c r="DNH12">
        <v>0</v>
      </c>
      <c r="DNJ12">
        <v>5</v>
      </c>
      <c r="DRT12">
        <v>0.2</v>
      </c>
      <c r="DRX12">
        <v>1</v>
      </c>
      <c r="DRY12">
        <v>29</v>
      </c>
      <c r="DRZ12">
        <v>28</v>
      </c>
      <c r="DSA12">
        <v>0</v>
      </c>
      <c r="DSB12" s="2">
        <v>0</v>
      </c>
      <c r="DSC12">
        <v>6</v>
      </c>
      <c r="DSR12">
        <v>1</v>
      </c>
      <c r="DSS12">
        <v>29</v>
      </c>
      <c r="DST12">
        <v>28</v>
      </c>
      <c r="DSU12">
        <v>0</v>
      </c>
      <c r="DSV12" s="2">
        <v>0</v>
      </c>
      <c r="DSW12">
        <v>6</v>
      </c>
      <c r="DTC12">
        <v>29</v>
      </c>
      <c r="DTD12">
        <v>28</v>
      </c>
      <c r="DTE12">
        <v>0</v>
      </c>
      <c r="DTF12" s="2">
        <v>0</v>
      </c>
      <c r="DTG12">
        <v>5</v>
      </c>
      <c r="FHP12">
        <v>200</v>
      </c>
      <c r="FHQ12">
        <v>2</v>
      </c>
      <c r="FHT12">
        <v>1</v>
      </c>
      <c r="FHU12">
        <v>21</v>
      </c>
      <c r="FHV12">
        <v>20</v>
      </c>
      <c r="FHW12">
        <v>0</v>
      </c>
      <c r="FHX12" s="2">
        <v>0</v>
      </c>
      <c r="FHY12">
        <v>3</v>
      </c>
      <c r="FTF12" t="s">
        <v>494</v>
      </c>
      <c r="FTG12">
        <v>1</v>
      </c>
      <c r="FTJ12">
        <v>1</v>
      </c>
      <c r="FTK12">
        <v>4</v>
      </c>
      <c r="FTL12">
        <v>24</v>
      </c>
      <c r="FTM12">
        <v>21</v>
      </c>
      <c r="FTN12" s="2">
        <v>0</v>
      </c>
      <c r="FTO12">
        <v>7</v>
      </c>
      <c r="FYC12">
        <v>2</v>
      </c>
      <c r="FYD12">
        <v>3</v>
      </c>
      <c r="FYG12">
        <v>1</v>
      </c>
      <c r="FYH12">
        <v>1</v>
      </c>
      <c r="FYI12">
        <v>0</v>
      </c>
      <c r="FYJ12">
        <v>0</v>
      </c>
      <c r="FYK12" s="2">
        <v>0</v>
      </c>
      <c r="FYL12">
        <v>7</v>
      </c>
      <c r="GHF12">
        <v>2</v>
      </c>
      <c r="GHG12">
        <v>1</v>
      </c>
      <c r="GHJ12">
        <v>22</v>
      </c>
      <c r="GHK12">
        <v>21</v>
      </c>
      <c r="GHL12">
        <v>0</v>
      </c>
      <c r="GHM12" s="2">
        <v>0</v>
      </c>
      <c r="GHN12">
        <v>5</v>
      </c>
      <c r="GWO12">
        <v>1</v>
      </c>
      <c r="GYE12">
        <v>1</v>
      </c>
      <c r="GZP12">
        <v>1</v>
      </c>
      <c r="HFF12">
        <v>1</v>
      </c>
      <c r="HFX12">
        <v>1</v>
      </c>
      <c r="HGH12">
        <v>1</v>
      </c>
      <c r="HHB12">
        <v>1</v>
      </c>
      <c r="HHD12">
        <v>1</v>
      </c>
      <c r="HJN12">
        <v>1</v>
      </c>
    </row>
    <row r="13" spans="1:5810" x14ac:dyDescent="0.25">
      <c r="A13" s="50">
        <v>4003543</v>
      </c>
      <c r="B13" s="50"/>
      <c r="C13" s="50"/>
      <c r="D13" s="50"/>
      <c r="E13" s="50"/>
      <c r="F13" s="50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6"/>
      <c r="HR13" s="6"/>
      <c r="HT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T13" s="6"/>
      <c r="JU13" s="6"/>
      <c r="JV13" s="6"/>
      <c r="JW13" s="6"/>
      <c r="JX13">
        <v>39</v>
      </c>
      <c r="KA13" s="6"/>
      <c r="KB13">
        <v>25</v>
      </c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I13" s="6"/>
      <c r="NJ13" s="6"/>
      <c r="NK13" s="6"/>
      <c r="NL13" s="6"/>
      <c r="NM13">
        <v>53</v>
      </c>
      <c r="NP13" s="6"/>
      <c r="NQ13">
        <v>38</v>
      </c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6"/>
      <c r="TN13" s="6"/>
      <c r="TO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7"/>
      <c r="AIY13" s="7"/>
      <c r="AIZ13" s="7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7"/>
      <c r="AKF13" s="7"/>
      <c r="AKG13" s="7"/>
      <c r="AKH13" s="6"/>
      <c r="AKI13" s="6"/>
      <c r="AKK13" s="6"/>
      <c r="AKL13" s="6"/>
      <c r="AKM13">
        <v>1.2</v>
      </c>
      <c r="AKP13" s="6"/>
      <c r="AKQ13">
        <v>0.9</v>
      </c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7"/>
      <c r="ALP13" s="7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51"/>
      <c r="ANV13" s="51"/>
      <c r="ANW13" s="51"/>
      <c r="ANX13" s="51"/>
      <c r="ANY13" s="51"/>
      <c r="ANZ13" s="51"/>
      <c r="AOA13" s="51"/>
      <c r="AOB13" s="6"/>
      <c r="AOC13" s="6"/>
      <c r="AOD13" s="6"/>
      <c r="AOE13" s="6"/>
      <c r="AOF13" s="6">
        <v>71.2</v>
      </c>
      <c r="AOG13" s="6"/>
      <c r="AOH13" s="6"/>
      <c r="AOI13" s="6"/>
      <c r="AOJ13" s="6">
        <v>10.3</v>
      </c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SN13" s="8"/>
      <c r="ASO13" s="8"/>
      <c r="ASP13" s="8"/>
      <c r="ASQ13" s="8"/>
      <c r="ASR13" s="8"/>
      <c r="ASS13" s="8"/>
      <c r="AST13" s="8"/>
      <c r="ASU13" s="8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7"/>
      <c r="AUK13" s="7"/>
      <c r="AUL13" s="7"/>
      <c r="AUM13" s="7"/>
      <c r="AUN13" s="7"/>
      <c r="AUO13">
        <v>67</v>
      </c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PE13">
        <v>62</v>
      </c>
      <c r="BPG13">
        <v>1</v>
      </c>
      <c r="BPJ13">
        <v>1</v>
      </c>
      <c r="BPK13">
        <v>14</v>
      </c>
      <c r="BSZ13">
        <v>1</v>
      </c>
      <c r="BUF13">
        <v>1</v>
      </c>
      <c r="BVB13">
        <v>1</v>
      </c>
      <c r="BYS13">
        <v>2</v>
      </c>
      <c r="BYV13">
        <v>1</v>
      </c>
      <c r="BYY13">
        <v>1</v>
      </c>
      <c r="BYZ13">
        <v>10</v>
      </c>
      <c r="BZA13">
        <v>10</v>
      </c>
      <c r="BZB13">
        <v>0</v>
      </c>
      <c r="BZU13">
        <v>1</v>
      </c>
      <c r="BZW13">
        <v>4</v>
      </c>
      <c r="BZX13">
        <v>11</v>
      </c>
      <c r="BZY13">
        <v>5</v>
      </c>
      <c r="BZZ13" s="2">
        <v>0</v>
      </c>
      <c r="DJN13">
        <v>1</v>
      </c>
      <c r="EEP13" s="2">
        <v>250</v>
      </c>
      <c r="EEQ13">
        <v>1</v>
      </c>
      <c r="EET13">
        <v>1</v>
      </c>
      <c r="EEU13">
        <v>12</v>
      </c>
      <c r="EEV13">
        <v>7</v>
      </c>
      <c r="EEW13">
        <v>0</v>
      </c>
      <c r="EEX13">
        <v>4</v>
      </c>
      <c r="FYN13">
        <v>1</v>
      </c>
      <c r="FYO13">
        <v>1</v>
      </c>
      <c r="FYR13">
        <v>1</v>
      </c>
      <c r="FYS13">
        <v>7</v>
      </c>
      <c r="FYT13">
        <v>7</v>
      </c>
      <c r="FYU13">
        <v>0</v>
      </c>
      <c r="GYE13">
        <v>1</v>
      </c>
      <c r="GYF13">
        <v>1</v>
      </c>
      <c r="GYK13">
        <v>1</v>
      </c>
      <c r="GYL13">
        <v>1</v>
      </c>
      <c r="GZP13">
        <v>1</v>
      </c>
      <c r="HFF13">
        <v>1</v>
      </c>
      <c r="HHB13">
        <v>1</v>
      </c>
      <c r="HIG13">
        <v>1</v>
      </c>
      <c r="HJM13">
        <v>1</v>
      </c>
      <c r="HKA13">
        <v>1</v>
      </c>
    </row>
    <row r="14" spans="1:5810" x14ac:dyDescent="0.25">
      <c r="A14" s="50">
        <v>4900261</v>
      </c>
      <c r="B14" s="50"/>
      <c r="C14" s="50"/>
      <c r="D14" s="50"/>
      <c r="E14" s="50"/>
      <c r="F14" s="50"/>
      <c r="G14" s="50">
        <v>18973</v>
      </c>
      <c r="H14" s="50">
        <v>12480</v>
      </c>
      <c r="I14" s="50">
        <v>13564</v>
      </c>
      <c r="J14" s="50"/>
      <c r="K14" s="50">
        <v>18000</v>
      </c>
      <c r="L14" s="50">
        <v>7207</v>
      </c>
      <c r="M14" s="50"/>
      <c r="N14" s="52"/>
      <c r="O14" s="52"/>
      <c r="P14" s="52"/>
      <c r="Q14" s="6"/>
      <c r="R14">
        <v>4544</v>
      </c>
      <c r="S14" s="2"/>
      <c r="T14" s="2"/>
      <c r="U14" s="2"/>
      <c r="V14" s="2"/>
      <c r="W14" s="2"/>
      <c r="X14" s="2"/>
      <c r="Y14" s="2"/>
      <c r="Z14">
        <v>341</v>
      </c>
      <c r="AC14">
        <v>258</v>
      </c>
      <c r="AD14">
        <v>165</v>
      </c>
      <c r="AE14">
        <v>132</v>
      </c>
      <c r="AF14">
        <v>106</v>
      </c>
      <c r="AK14">
        <v>71</v>
      </c>
      <c r="AQ14">
        <v>24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6"/>
      <c r="HR14" s="6"/>
      <c r="HT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JA14" s="6"/>
      <c r="JB14" s="6"/>
      <c r="JC14" s="6"/>
      <c r="JD14" s="6"/>
      <c r="JE14" s="6"/>
      <c r="JF14" s="6"/>
      <c r="JG14" s="6"/>
      <c r="JH14" s="6"/>
      <c r="JJ14" s="6"/>
      <c r="JK14" s="6"/>
      <c r="JL14">
        <v>668</v>
      </c>
      <c r="JM14">
        <v>454</v>
      </c>
      <c r="JP14" s="6"/>
      <c r="JQ14" s="6"/>
      <c r="JR14" s="6"/>
      <c r="JV14" s="6"/>
      <c r="JW14">
        <v>184</v>
      </c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8"/>
      <c r="TD14" s="8"/>
      <c r="TE14" s="8"/>
      <c r="TF14" s="8"/>
      <c r="TG14">
        <v>1151</v>
      </c>
      <c r="TH14">
        <v>804</v>
      </c>
      <c r="TI14">
        <v>847</v>
      </c>
      <c r="TK14" s="8"/>
      <c r="TL14">
        <v>772</v>
      </c>
      <c r="TM14" s="6"/>
      <c r="TQ14" s="6"/>
      <c r="TR14" s="6"/>
      <c r="TS14">
        <v>577</v>
      </c>
      <c r="TY14" s="6"/>
      <c r="TZ14" s="6"/>
      <c r="UA14" s="6"/>
      <c r="UB14">
        <v>365</v>
      </c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7"/>
      <c r="AIY14" s="7"/>
      <c r="AIZ14" s="7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>
        <v>0.76</v>
      </c>
      <c r="AKB14">
        <v>0.53</v>
      </c>
      <c r="AKC14">
        <v>0.86</v>
      </c>
      <c r="AKE14" s="7"/>
      <c r="AKF14">
        <v>0.71</v>
      </c>
      <c r="AKK14" s="6"/>
      <c r="AKL14">
        <v>0.79</v>
      </c>
      <c r="AKP14" s="6"/>
      <c r="AKQ14" s="6"/>
      <c r="AKT14" s="6"/>
      <c r="AKU14" s="6"/>
      <c r="AKV14">
        <v>0.69</v>
      </c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7"/>
      <c r="ALP14" s="7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51"/>
      <c r="ANV14" s="51"/>
      <c r="ANW14" s="51"/>
      <c r="ANX14" s="51"/>
      <c r="ANY14" s="51"/>
      <c r="ANZ14" s="51"/>
      <c r="AOA14" s="51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SN14" s="8"/>
      <c r="ASO14" s="8"/>
      <c r="ASP14" s="8"/>
      <c r="ASQ14" s="8"/>
      <c r="ASR14" s="8"/>
      <c r="ASS14" s="8"/>
      <c r="AST14" s="8"/>
      <c r="ASU14" s="8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7"/>
      <c r="AUK14" s="7"/>
      <c r="AUL14" s="7"/>
      <c r="AUM14" s="7"/>
      <c r="AUN14" s="7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PE14">
        <v>78</v>
      </c>
      <c r="BPF14">
        <v>1</v>
      </c>
      <c r="BPH14">
        <v>23</v>
      </c>
      <c r="BPJ14">
        <v>1</v>
      </c>
      <c r="BSZ14">
        <v>1</v>
      </c>
      <c r="BWD14">
        <v>1</v>
      </c>
      <c r="BYV14">
        <v>1</v>
      </c>
      <c r="BYZ14">
        <v>4</v>
      </c>
      <c r="BZC14">
        <v>3</v>
      </c>
      <c r="CAC14">
        <v>100</v>
      </c>
      <c r="CAH14">
        <v>999</v>
      </c>
      <c r="CAI14">
        <v>999</v>
      </c>
      <c r="CAJ14">
        <v>0</v>
      </c>
      <c r="CAK14">
        <v>999</v>
      </c>
      <c r="GOZ14">
        <v>1</v>
      </c>
      <c r="GWH14">
        <v>1</v>
      </c>
      <c r="GXA14">
        <v>1</v>
      </c>
      <c r="GYG14">
        <v>1</v>
      </c>
      <c r="GYV14">
        <v>1</v>
      </c>
      <c r="HAG14">
        <v>1</v>
      </c>
      <c r="HIN14">
        <v>1</v>
      </c>
    </row>
    <row r="15" spans="1:5810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ANU15" s="50"/>
      <c r="ANV15" s="50"/>
      <c r="ANW15" s="50"/>
      <c r="ANX15" s="50"/>
      <c r="ANY15" s="50"/>
      <c r="ANZ15" s="50"/>
      <c r="AOA15" s="50"/>
      <c r="BYY15" s="35"/>
      <c r="DEI15" s="15"/>
      <c r="DFM15" s="35"/>
    </row>
    <row r="16" spans="1:5810" x14ac:dyDescent="0.25">
      <c r="A16" s="53" t="s">
        <v>2697</v>
      </c>
      <c r="B16" s="53"/>
      <c r="C16" s="50"/>
      <c r="D16" s="53"/>
      <c r="E16" s="53"/>
      <c r="F16" s="53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7"/>
      <c r="AIY16" s="7"/>
      <c r="AIZ16" s="7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7"/>
      <c r="AKF16" s="7"/>
      <c r="AKG16" s="7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7"/>
      <c r="ALP16" s="7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51"/>
      <c r="ANV16" s="51"/>
      <c r="ANW16" s="51"/>
      <c r="ANX16" s="51"/>
      <c r="ANY16" s="51"/>
      <c r="ANZ16" s="51"/>
      <c r="AOA16" s="51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SN16" s="8"/>
      <c r="ASO16" s="8"/>
      <c r="ASP16" s="8"/>
      <c r="ASQ16" s="8"/>
      <c r="ASR16" s="8"/>
      <c r="ASS16" s="8"/>
      <c r="AST16" s="8"/>
      <c r="ASU16" s="8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7"/>
      <c r="AUK16" s="7"/>
      <c r="AUL16" s="7"/>
      <c r="AUM16" s="7"/>
      <c r="AUN16" s="7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</row>
    <row r="17" spans="1:2046 2049:3058 3185:4086 4097:4993 5170:5793" x14ac:dyDescent="0.25">
      <c r="A17" s="50">
        <v>14242856</v>
      </c>
      <c r="B17" s="50"/>
      <c r="C17" s="50"/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7"/>
      <c r="GY17" s="7"/>
      <c r="GZ17" s="7"/>
      <c r="HA17" s="6"/>
      <c r="HB17" s="6"/>
      <c r="HC17" s="6"/>
      <c r="HD17" s="6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6">
        <v>6770</v>
      </c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>
        <v>80</v>
      </c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NE17">
        <v>145</v>
      </c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L17">
        <v>25</v>
      </c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>
        <v>12.1</v>
      </c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>
        <v>5</v>
      </c>
      <c r="AFM17" s="6"/>
      <c r="AFN17" s="6"/>
      <c r="AFO17" s="6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7"/>
      <c r="AIY17" s="7"/>
      <c r="AIZ17" s="7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7"/>
      <c r="AKF17" s="7"/>
      <c r="AKG17" s="7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7"/>
      <c r="ALP17" s="7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51"/>
      <c r="ANV17" s="51"/>
      <c r="ANW17" s="51"/>
      <c r="ANX17" s="51">
        <v>330</v>
      </c>
      <c r="ANY17" s="51"/>
      <c r="ANZ17" s="51"/>
      <c r="AOA17" s="51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SN17" s="8"/>
      <c r="ASO17" s="8"/>
      <c r="ASP17" s="8"/>
      <c r="ASQ17" s="8"/>
      <c r="ASR17" s="8"/>
      <c r="ASS17" s="8"/>
      <c r="AST17" s="8"/>
      <c r="ASU17" s="8">
        <v>466000</v>
      </c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7"/>
      <c r="AUK17" s="7"/>
      <c r="AUL17" s="7"/>
      <c r="AUM17" s="7"/>
      <c r="AUN17" s="7"/>
      <c r="AUO17" s="6"/>
      <c r="AUP17" s="6"/>
      <c r="AUQ17">
        <v>1</v>
      </c>
      <c r="AVB17">
        <v>4</v>
      </c>
      <c r="AVV17">
        <v>80</v>
      </c>
      <c r="AXG17" s="6">
        <v>22</v>
      </c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PE17">
        <v>21</v>
      </c>
      <c r="BPG17">
        <v>1</v>
      </c>
      <c r="BPJ17">
        <v>1</v>
      </c>
      <c r="BPK17">
        <v>28</v>
      </c>
      <c r="BPP17">
        <v>1</v>
      </c>
      <c r="BPS17">
        <v>1</v>
      </c>
      <c r="BXA17">
        <v>1</v>
      </c>
      <c r="BZD17">
        <v>1</v>
      </c>
      <c r="HDZ17">
        <v>80</v>
      </c>
      <c r="HEA17">
        <v>1</v>
      </c>
      <c r="HEB17">
        <v>1</v>
      </c>
      <c r="HFP17">
        <v>1</v>
      </c>
      <c r="HGH17">
        <v>1</v>
      </c>
      <c r="HGP17">
        <v>1</v>
      </c>
      <c r="HGS17">
        <v>1</v>
      </c>
      <c r="HGU17">
        <v>1</v>
      </c>
    </row>
    <row r="18" spans="1:2046 2049:3058 3185:4086 4097:4993 5170:5793" x14ac:dyDescent="0.25">
      <c r="A18" s="50">
        <v>99001183</v>
      </c>
      <c r="B18" s="50"/>
      <c r="C18" s="50"/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6"/>
      <c r="HR18" s="6"/>
      <c r="HS18" s="6"/>
      <c r="HT18" s="6"/>
      <c r="HU18" s="6"/>
      <c r="HV18" s="6"/>
      <c r="HW18" s="6"/>
      <c r="HX18" s="6">
        <v>116000</v>
      </c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NF18" s="6"/>
      <c r="NG18" s="6"/>
      <c r="NH18" s="6"/>
      <c r="NI18" s="6"/>
      <c r="NJ18" s="6"/>
      <c r="NK18" s="6"/>
      <c r="NL18" s="6"/>
      <c r="NM18" s="6">
        <v>23</v>
      </c>
      <c r="NN18" s="6"/>
      <c r="NO18" s="6"/>
      <c r="NP18" s="6"/>
      <c r="NQ18" s="6"/>
      <c r="NR18" s="6"/>
      <c r="NS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>
        <v>56</v>
      </c>
      <c r="RB18" s="6"/>
      <c r="RC18" s="6"/>
      <c r="RD18" s="6"/>
      <c r="RE18" s="6"/>
      <c r="RF18" s="6"/>
      <c r="RG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7"/>
      <c r="AIY18" s="7"/>
      <c r="AIZ18" s="7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7"/>
      <c r="AKF18" s="7"/>
      <c r="AKG18" s="7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7"/>
      <c r="ALP18" s="7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51"/>
      <c r="ANV18" s="51"/>
      <c r="ANW18" s="51"/>
      <c r="ANX18" s="51"/>
      <c r="ANY18" s="51"/>
      <c r="ANZ18" s="51"/>
      <c r="AOA18" s="51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6"/>
      <c r="AQL18" s="6"/>
      <c r="AQM18" s="6"/>
      <c r="AQN18" s="6"/>
      <c r="AQO18" s="6"/>
      <c r="AQP18" s="6"/>
      <c r="AQQ18" s="6"/>
      <c r="AQR18" s="6"/>
      <c r="AQS18" s="6"/>
      <c r="AQT18" s="6"/>
      <c r="AQU18" s="6"/>
      <c r="AQV18" s="6"/>
      <c r="AQW18" s="6"/>
      <c r="ASN18" s="8"/>
      <c r="ASO18" s="8"/>
      <c r="ASP18" s="8"/>
      <c r="ASQ18" s="8"/>
      <c r="ASR18" s="8"/>
      <c r="ASS18" s="8"/>
      <c r="AST18" s="8"/>
      <c r="ASU18" s="8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7"/>
      <c r="AUK18" s="7"/>
      <c r="AUL18" s="7"/>
      <c r="AUM18" s="7"/>
      <c r="AUN18" s="7"/>
      <c r="AUO18" s="6"/>
      <c r="AUP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FB18" s="6"/>
      <c r="BFC18" s="6"/>
      <c r="BFD18" s="6"/>
      <c r="BFE18" s="6"/>
      <c r="BFF18" s="6"/>
      <c r="BFG18" s="6"/>
      <c r="BFH18" s="6"/>
      <c r="BFI18" s="6"/>
      <c r="BFJ18" s="6"/>
      <c r="BFK18" s="6"/>
      <c r="BPE18">
        <v>69</v>
      </c>
      <c r="BPG18">
        <v>1</v>
      </c>
      <c r="BPH18">
        <v>20.100000000000001</v>
      </c>
      <c r="BPJ18">
        <v>1</v>
      </c>
      <c r="BPK18">
        <v>16</v>
      </c>
      <c r="BSH18">
        <v>1</v>
      </c>
      <c r="BSZ18">
        <v>1</v>
      </c>
      <c r="BTE18">
        <v>1</v>
      </c>
      <c r="BZE18">
        <v>500</v>
      </c>
      <c r="BZF18">
        <v>1</v>
      </c>
      <c r="BZI18">
        <v>1</v>
      </c>
      <c r="BZK18" s="35">
        <v>10</v>
      </c>
      <c r="BZL18">
        <v>2</v>
      </c>
      <c r="BZM18">
        <v>0</v>
      </c>
      <c r="BZN18">
        <v>999</v>
      </c>
      <c r="BZO18">
        <v>2</v>
      </c>
      <c r="DMH18">
        <v>1</v>
      </c>
      <c r="DMK18">
        <v>1</v>
      </c>
      <c r="DML18" s="36">
        <v>29</v>
      </c>
      <c r="DMM18">
        <v>999</v>
      </c>
      <c r="DMN18">
        <v>0</v>
      </c>
      <c r="DMO18">
        <v>999</v>
      </c>
      <c r="DMP18">
        <v>6</v>
      </c>
      <c r="FYX18">
        <v>1</v>
      </c>
      <c r="FZA18">
        <v>1</v>
      </c>
      <c r="FZB18" s="36">
        <v>29</v>
      </c>
      <c r="FZC18">
        <v>999</v>
      </c>
      <c r="FZD18">
        <v>0</v>
      </c>
      <c r="FZE18">
        <v>999</v>
      </c>
      <c r="FZF18">
        <v>6</v>
      </c>
      <c r="GYL18">
        <v>1</v>
      </c>
      <c r="GZA18">
        <v>1</v>
      </c>
      <c r="HFF18">
        <v>1</v>
      </c>
      <c r="HGH18">
        <v>1</v>
      </c>
    </row>
    <row r="19" spans="1:2046 2049:3058 3185:4086 4097:4993 5170:5793" x14ac:dyDescent="0.25">
      <c r="A19" s="50">
        <v>3000983</v>
      </c>
      <c r="B19" s="50"/>
      <c r="C19" s="50"/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6"/>
      <c r="HR19" s="6"/>
      <c r="HS19" s="6"/>
      <c r="HT19" s="6"/>
      <c r="HU19" s="6">
        <v>7900</v>
      </c>
      <c r="HV19">
        <v>10000</v>
      </c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>
        <v>8000</v>
      </c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>
        <v>28</v>
      </c>
      <c r="JV19">
        <v>131</v>
      </c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>
        <v>135</v>
      </c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>
        <v>28</v>
      </c>
      <c r="NK19">
        <v>241</v>
      </c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>
        <v>264</v>
      </c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>
        <v>22</v>
      </c>
      <c r="QY19">
        <v>943</v>
      </c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>
        <v>847</v>
      </c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6"/>
      <c r="TN19" s="6"/>
      <c r="TO19" s="6"/>
      <c r="TP19">
        <v>511</v>
      </c>
      <c r="TQ19">
        <v>511</v>
      </c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7"/>
      <c r="ZT19" s="7"/>
      <c r="ZU19" s="7"/>
      <c r="ZV19" s="7"/>
      <c r="ZW19" s="7"/>
      <c r="ZX19">
        <v>14.1</v>
      </c>
      <c r="ZY19">
        <v>8</v>
      </c>
      <c r="AAP19">
        <v>12.3</v>
      </c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6"/>
      <c r="AGW19" s="6"/>
      <c r="AGX19" s="6"/>
      <c r="AGY19" s="6"/>
      <c r="AGZ19">
        <v>408</v>
      </c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>
        <v>293</v>
      </c>
      <c r="AIX19" s="7"/>
      <c r="AIY19" s="7"/>
      <c r="AIZ19" s="7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7"/>
      <c r="AKF19" s="7"/>
      <c r="AKG19" s="7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7"/>
      <c r="ALP19" s="7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>
        <v>632</v>
      </c>
      <c r="ANE19">
        <v>162</v>
      </c>
      <c r="ANR19" s="6"/>
      <c r="ANS19" s="6"/>
      <c r="ANT19" s="6"/>
      <c r="ANU19" s="51"/>
      <c r="ANV19" s="51"/>
      <c r="ANW19" s="51"/>
      <c r="ANX19" s="51"/>
      <c r="ANY19" s="51"/>
      <c r="ANZ19" s="51"/>
      <c r="AOA19" s="51"/>
      <c r="AOB19" s="6"/>
      <c r="AOC19" s="6"/>
      <c r="AOD19">
        <v>182</v>
      </c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6"/>
      <c r="AQL19" s="6"/>
      <c r="AQM19" s="6"/>
      <c r="AQN19" s="6"/>
      <c r="AQO19" s="6"/>
      <c r="AQP19" s="6"/>
      <c r="AQQ19" s="6"/>
      <c r="AQR19" s="6"/>
      <c r="AQS19" s="6"/>
      <c r="AQT19" s="6"/>
      <c r="AQU19" s="6"/>
      <c r="AQV19" s="6"/>
      <c r="AQW19" s="6"/>
      <c r="ASN19" s="8"/>
      <c r="ASO19" s="8"/>
      <c r="ASP19" s="8"/>
      <c r="ASQ19" s="8"/>
      <c r="ASR19" s="8"/>
      <c r="ASS19" s="8"/>
      <c r="AST19" s="8"/>
      <c r="ASU19" s="8"/>
      <c r="ASV19" s="6"/>
      <c r="ASW19" s="6"/>
      <c r="ASX19" s="6"/>
      <c r="ASY19">
        <v>121000</v>
      </c>
      <c r="ATJ19" s="6"/>
      <c r="ATK19" s="6"/>
      <c r="ATL19" s="6"/>
      <c r="ATM19" s="6"/>
      <c r="ATN19" s="6"/>
      <c r="ATO19" s="6"/>
      <c r="ATP19" s="6"/>
      <c r="ATQ19" s="6"/>
      <c r="ATR19" s="6"/>
      <c r="ATS19">
        <v>396000</v>
      </c>
      <c r="AUJ19" s="7"/>
      <c r="AUK19" s="7"/>
      <c r="AUL19" s="7"/>
      <c r="AUM19" s="7"/>
      <c r="AUN19" s="7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PE19">
        <v>21</v>
      </c>
      <c r="BPG19">
        <v>1</v>
      </c>
      <c r="BPH19">
        <v>26.73</v>
      </c>
      <c r="BPJ19">
        <v>1</v>
      </c>
      <c r="BPQ19">
        <v>1</v>
      </c>
      <c r="BUL19">
        <v>1</v>
      </c>
      <c r="BUY19">
        <v>1</v>
      </c>
      <c r="BVB19">
        <v>1</v>
      </c>
      <c r="BVC19">
        <v>1</v>
      </c>
      <c r="BZE19">
        <v>800</v>
      </c>
      <c r="BZF19">
        <v>1</v>
      </c>
      <c r="BZI19">
        <v>1</v>
      </c>
      <c r="BZK19">
        <v>2</v>
      </c>
      <c r="BZL19">
        <v>2</v>
      </c>
      <c r="BZM19">
        <v>1</v>
      </c>
      <c r="BZN19" s="2">
        <v>0</v>
      </c>
      <c r="CAB19">
        <v>1</v>
      </c>
      <c r="GFZ19">
        <v>1000</v>
      </c>
      <c r="GGA19">
        <v>1</v>
      </c>
      <c r="GGD19">
        <v>1</v>
      </c>
      <c r="GGE19">
        <v>2</v>
      </c>
      <c r="GGF19">
        <v>2</v>
      </c>
      <c r="GGG19">
        <v>1</v>
      </c>
      <c r="GGH19" s="2">
        <v>0</v>
      </c>
      <c r="GHT19">
        <v>2</v>
      </c>
      <c r="GHU19">
        <v>3</v>
      </c>
      <c r="GHV19">
        <v>2</v>
      </c>
      <c r="GHW19" s="2">
        <v>0</v>
      </c>
      <c r="GIS19">
        <v>1000</v>
      </c>
      <c r="GIT19">
        <v>1</v>
      </c>
      <c r="GIW19">
        <v>1</v>
      </c>
      <c r="GIX19">
        <v>2</v>
      </c>
      <c r="GIY19">
        <v>2</v>
      </c>
      <c r="GIZ19">
        <v>1</v>
      </c>
      <c r="GJA19" s="2">
        <v>0</v>
      </c>
      <c r="GXA19">
        <v>1</v>
      </c>
      <c r="GXH19">
        <v>1</v>
      </c>
      <c r="GXL19">
        <v>1</v>
      </c>
      <c r="GXP19">
        <v>1</v>
      </c>
      <c r="GYE19">
        <v>1</v>
      </c>
      <c r="GYG19">
        <v>1</v>
      </c>
      <c r="GYT19">
        <v>1</v>
      </c>
      <c r="GZM19">
        <v>1</v>
      </c>
      <c r="HAH19">
        <v>1</v>
      </c>
      <c r="HAJ19">
        <v>1</v>
      </c>
      <c r="HDZ19">
        <v>50</v>
      </c>
      <c r="HEI19">
        <v>1</v>
      </c>
      <c r="HEN19">
        <v>1</v>
      </c>
      <c r="HFF19">
        <v>1</v>
      </c>
      <c r="HFG19">
        <v>1</v>
      </c>
      <c r="HFH19">
        <v>1</v>
      </c>
      <c r="HFI19">
        <v>1</v>
      </c>
      <c r="HFJ19">
        <v>1</v>
      </c>
      <c r="HFK19">
        <v>1</v>
      </c>
      <c r="HFL19">
        <v>1</v>
      </c>
      <c r="HFM19">
        <v>1</v>
      </c>
      <c r="HFO19">
        <v>1</v>
      </c>
      <c r="HGH19">
        <v>1</v>
      </c>
      <c r="HII19">
        <v>1</v>
      </c>
      <c r="HIJ19">
        <v>1</v>
      </c>
      <c r="HIK19">
        <v>1</v>
      </c>
      <c r="HIL19">
        <v>1</v>
      </c>
      <c r="HIS19">
        <v>1</v>
      </c>
      <c r="HIT19">
        <v>1</v>
      </c>
      <c r="HIU19">
        <v>1</v>
      </c>
      <c r="HIV19">
        <v>1</v>
      </c>
      <c r="HJW19">
        <v>1</v>
      </c>
      <c r="HJY19">
        <v>1</v>
      </c>
      <c r="HJZ19">
        <v>1</v>
      </c>
      <c r="HKF19">
        <v>1</v>
      </c>
    </row>
    <row r="20" spans="1:2046 2049:3058 3185:4086 4097:4993 5170:5793" x14ac:dyDescent="0.25">
      <c r="A20" s="50">
        <v>10064335</v>
      </c>
      <c r="B20" s="50"/>
      <c r="C20" s="50"/>
      <c r="D20" s="50"/>
      <c r="E20" s="50"/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>
        <v>75</v>
      </c>
      <c r="KE20">
        <v>69</v>
      </c>
      <c r="KF20" s="6"/>
      <c r="KG20">
        <v>47</v>
      </c>
      <c r="KS20">
        <v>191</v>
      </c>
      <c r="KU20">
        <v>19</v>
      </c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>
        <v>52</v>
      </c>
      <c r="NT20">
        <v>101</v>
      </c>
      <c r="NU20" s="6"/>
      <c r="NV20">
        <v>113</v>
      </c>
      <c r="OH20">
        <v>32</v>
      </c>
      <c r="OI20">
        <v>32</v>
      </c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>
        <v>126</v>
      </c>
      <c r="RH20">
        <v>140</v>
      </c>
      <c r="RJ20">
        <v>171</v>
      </c>
      <c r="RT20">
        <v>183</v>
      </c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>
        <v>433</v>
      </c>
      <c r="UA20">
        <v>384</v>
      </c>
      <c r="UD20" s="6"/>
      <c r="UE20" s="6"/>
      <c r="UF20">
        <v>263</v>
      </c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>
        <v>7</v>
      </c>
      <c r="XV20" s="6"/>
      <c r="XW20" s="6"/>
      <c r="XX20" s="6">
        <v>7</v>
      </c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7"/>
      <c r="AIY20" s="7"/>
      <c r="AIZ20" s="7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7"/>
      <c r="AKF20" s="7"/>
      <c r="AKG20" s="7"/>
      <c r="AKH20" s="6"/>
      <c r="AKI20" s="6"/>
      <c r="AKJ20" s="6"/>
      <c r="AKK20" s="6"/>
      <c r="AKL20" s="6"/>
      <c r="AKM20" s="6"/>
      <c r="AKN20" s="6"/>
      <c r="AKO20" s="6"/>
      <c r="AKP20">
        <v>2.2599999999999998</v>
      </c>
      <c r="AKT20">
        <v>1.6</v>
      </c>
      <c r="AKU20">
        <v>1.51</v>
      </c>
      <c r="AKY20" s="6"/>
      <c r="AKZ20" s="6"/>
      <c r="ALA20" s="6"/>
      <c r="ALB20">
        <v>1.56</v>
      </c>
      <c r="ALC20">
        <v>1.8</v>
      </c>
      <c r="ALO20" s="7"/>
      <c r="ALP20" s="7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51"/>
      <c r="ANV20" s="51"/>
      <c r="ANW20" s="51"/>
      <c r="ANX20" s="51"/>
      <c r="ANY20" s="51"/>
      <c r="ANZ20" s="51"/>
      <c r="AOA20" s="51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>
        <v>125</v>
      </c>
      <c r="APW20">
        <v>140</v>
      </c>
      <c r="APY20">
        <v>107</v>
      </c>
      <c r="AQC20">
        <v>98</v>
      </c>
      <c r="ASN20" s="8"/>
      <c r="ASO20" s="8"/>
      <c r="ASP20" s="8"/>
      <c r="ASQ20" s="8"/>
      <c r="ASR20" s="8"/>
      <c r="ASS20" s="8"/>
      <c r="AST20" s="8"/>
      <c r="ASU20" s="8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>
        <v>250000</v>
      </c>
      <c r="ATS20" s="6">
        <v>60000</v>
      </c>
      <c r="ATT20" s="6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7"/>
      <c r="AUK20" s="7"/>
      <c r="AUL20" s="7"/>
      <c r="AUM20" s="7"/>
      <c r="AUN20" s="7"/>
      <c r="AUO20" s="6"/>
      <c r="AUP20" s="6"/>
      <c r="AUQ20" s="6"/>
      <c r="AUR20" s="6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6"/>
      <c r="AWO20" s="6"/>
      <c r="AWP20" s="6"/>
      <c r="AWQ20" s="6"/>
      <c r="AWR20" s="6"/>
      <c r="AWS20" s="6"/>
      <c r="AWT20" s="6"/>
      <c r="AWU20" s="6"/>
      <c r="AWV20" s="6"/>
      <c r="AWW20" s="6"/>
      <c r="AWX20" s="6"/>
      <c r="AWY20" s="6"/>
      <c r="AWZ20" s="6"/>
      <c r="AXA20" s="6"/>
      <c r="AXB20" s="6"/>
      <c r="AXC20" s="6"/>
      <c r="AXD20" s="6"/>
      <c r="AXE20" s="6"/>
      <c r="AXF20" s="6"/>
      <c r="AXG20" s="6"/>
      <c r="AXH20" s="6"/>
      <c r="AXI20" s="6"/>
      <c r="AXJ20" s="6"/>
      <c r="AXK20" s="6"/>
      <c r="AXL20" s="6"/>
      <c r="AXM20" s="6"/>
      <c r="AXN20" s="6"/>
      <c r="AXO20" s="6"/>
      <c r="AXP20" s="6"/>
      <c r="AXQ20" s="6"/>
      <c r="AXR20" s="6"/>
      <c r="AXS20" s="6"/>
      <c r="AXT20" s="6"/>
      <c r="AXU20" s="6"/>
      <c r="AXV20" s="6"/>
      <c r="AXW20" s="6"/>
      <c r="AXX20" s="6"/>
      <c r="AXY20" s="6"/>
      <c r="AXZ20" s="6"/>
      <c r="AYA20" s="6"/>
      <c r="AYB20" s="6"/>
      <c r="AYC20" s="6"/>
      <c r="AYD20" s="6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 s="6"/>
      <c r="BDG20" s="6"/>
      <c r="BDH20" s="6"/>
      <c r="BDI20" s="6"/>
      <c r="BDJ20" s="6"/>
      <c r="BDK20" s="6"/>
      <c r="BDL20" s="6"/>
      <c r="BDM20" s="6"/>
      <c r="BDN20" s="6"/>
      <c r="BDO20" s="6"/>
      <c r="BDP20" s="6"/>
      <c r="BDQ20" s="6"/>
      <c r="BDR20" s="6"/>
      <c r="BDS20" s="6"/>
      <c r="BDT20" s="6"/>
      <c r="BDU20" s="6"/>
      <c r="BDV20" s="6"/>
      <c r="BDW20" s="6"/>
      <c r="BDX20" s="6"/>
      <c r="BDY20" s="6"/>
      <c r="BDZ20" s="6"/>
      <c r="BEA20" s="6"/>
      <c r="BEB20" s="6"/>
      <c r="BEC20" s="6"/>
      <c r="BED20" s="6"/>
      <c r="BEE20" s="6"/>
      <c r="BEF20" s="6"/>
      <c r="BEG20" s="6"/>
      <c r="BEH20" s="6"/>
      <c r="BEI20" s="6"/>
      <c r="BEJ20" s="6"/>
      <c r="BEK20" s="6"/>
      <c r="BEL20" s="6"/>
      <c r="BEM20" s="6"/>
      <c r="BEN20" s="6"/>
      <c r="BEO20" s="6"/>
      <c r="BEP20" s="6"/>
      <c r="BEQ20" s="6"/>
      <c r="BER20" s="6"/>
      <c r="BES20" s="6"/>
      <c r="BET20" s="6"/>
      <c r="BEU20" s="6"/>
      <c r="BEV20" s="6"/>
      <c r="BEW20" s="6"/>
      <c r="BEX20" s="6"/>
      <c r="BEY20" s="6"/>
      <c r="BEZ20" s="6"/>
      <c r="BFA20" s="6"/>
      <c r="BFB20" s="6"/>
      <c r="BFC20" s="6"/>
      <c r="BFD20" s="6"/>
      <c r="BFE20" s="6"/>
      <c r="BFF20" s="6"/>
      <c r="BFG20" s="6"/>
      <c r="BFH20" s="6"/>
      <c r="BFI20" s="6"/>
      <c r="BFJ20" s="6"/>
      <c r="BFK20" s="6"/>
      <c r="BPE20">
        <v>86</v>
      </c>
      <c r="BPF20">
        <v>1</v>
      </c>
      <c r="BPI20">
        <v>1</v>
      </c>
      <c r="BPL20">
        <v>1</v>
      </c>
      <c r="BPM20">
        <v>1</v>
      </c>
      <c r="BQC20">
        <v>1</v>
      </c>
      <c r="BRT20">
        <v>1</v>
      </c>
      <c r="BRU20">
        <v>1</v>
      </c>
      <c r="BRZ20">
        <v>1</v>
      </c>
      <c r="BSZ20">
        <v>1</v>
      </c>
      <c r="BTA20">
        <v>1</v>
      </c>
      <c r="BTL20">
        <v>1</v>
      </c>
      <c r="BTM20">
        <v>1</v>
      </c>
      <c r="BTN20">
        <v>1</v>
      </c>
      <c r="BUA20">
        <v>1</v>
      </c>
      <c r="BUB20">
        <v>1</v>
      </c>
      <c r="BZI20">
        <v>1</v>
      </c>
      <c r="BZL20">
        <v>22</v>
      </c>
      <c r="BZO20">
        <v>5</v>
      </c>
      <c r="CAC20">
        <v>100</v>
      </c>
      <c r="CAD20">
        <v>1</v>
      </c>
      <c r="CAG20">
        <v>1</v>
      </c>
      <c r="CAI20">
        <v>22</v>
      </c>
      <c r="CAL20">
        <v>5</v>
      </c>
      <c r="DFH20">
        <v>300</v>
      </c>
      <c r="DFI20">
        <v>1</v>
      </c>
      <c r="DFL20">
        <v>1</v>
      </c>
      <c r="DFN20">
        <v>25</v>
      </c>
      <c r="DFQ20">
        <v>2</v>
      </c>
      <c r="DRM20">
        <v>1</v>
      </c>
      <c r="DRO20">
        <v>21</v>
      </c>
      <c r="DRR20">
        <v>5</v>
      </c>
      <c r="DRT20">
        <v>0.2</v>
      </c>
      <c r="DRU20">
        <v>1</v>
      </c>
      <c r="DRX20">
        <v>1</v>
      </c>
      <c r="DRZ20">
        <v>22</v>
      </c>
      <c r="DSC20">
        <v>5</v>
      </c>
      <c r="DWL20">
        <v>10</v>
      </c>
      <c r="DWP20">
        <v>1</v>
      </c>
      <c r="DWR20">
        <v>999</v>
      </c>
      <c r="DXW20">
        <v>2</v>
      </c>
      <c r="DXX20">
        <v>30</v>
      </c>
      <c r="DXY20">
        <v>29</v>
      </c>
      <c r="DXZ20" s="2">
        <v>0</v>
      </c>
      <c r="EFF20">
        <v>1</v>
      </c>
      <c r="EFH20">
        <v>25</v>
      </c>
      <c r="EFJ20" s="2"/>
      <c r="ETW20">
        <v>2</v>
      </c>
      <c r="EUA20">
        <v>1</v>
      </c>
      <c r="EUC20">
        <v>22</v>
      </c>
      <c r="EUF20">
        <v>5</v>
      </c>
      <c r="GWG20">
        <v>1</v>
      </c>
      <c r="GWJ20">
        <v>1</v>
      </c>
      <c r="GYL20">
        <v>1</v>
      </c>
      <c r="GZT20">
        <v>1</v>
      </c>
      <c r="GZV20">
        <v>1</v>
      </c>
      <c r="HAC20">
        <v>1</v>
      </c>
      <c r="HBS20">
        <v>1</v>
      </c>
      <c r="HBT20">
        <v>1</v>
      </c>
      <c r="HBV20">
        <v>1</v>
      </c>
      <c r="HGH20">
        <v>1</v>
      </c>
      <c r="HGZ20">
        <v>1</v>
      </c>
      <c r="HHB20">
        <v>1</v>
      </c>
    </row>
    <row r="21" spans="1:2046 2049:3058 3185:4086 4097:4993 5170:5793" x14ac:dyDescent="0.25">
      <c r="A21" s="51"/>
      <c r="B21" s="51"/>
      <c r="C21" s="50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7"/>
      <c r="AIY21" s="7"/>
      <c r="AIZ21" s="7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7"/>
      <c r="AKF21" s="7"/>
      <c r="AKG21" s="7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7"/>
      <c r="ALP21" s="7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51"/>
      <c r="ANV21" s="51"/>
      <c r="ANW21" s="51"/>
      <c r="ANX21" s="51"/>
      <c r="ANY21" s="51"/>
      <c r="ANZ21" s="51"/>
      <c r="AOA21" s="51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6"/>
      <c r="AQL21" s="6"/>
      <c r="AQM21" s="6"/>
      <c r="AQN21" s="6"/>
      <c r="AQO21" s="6"/>
      <c r="AQP21" s="6"/>
      <c r="AQQ21" s="6"/>
      <c r="AQR21" s="6"/>
      <c r="AQS21" s="6"/>
      <c r="AQT21" s="6"/>
      <c r="AQU21" s="6"/>
      <c r="AQV21" s="6"/>
      <c r="AQW21" s="6"/>
      <c r="ASN21" s="8"/>
      <c r="ASO21" s="8"/>
      <c r="ASP21" s="8"/>
      <c r="ASQ21" s="8"/>
      <c r="ASR21" s="8"/>
      <c r="ASS21" s="8"/>
      <c r="AST21" s="8"/>
      <c r="ASU21" s="8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7"/>
      <c r="AUK21" s="7"/>
      <c r="AUL21" s="7"/>
      <c r="AUM21" s="7"/>
      <c r="AUN21" s="7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</row>
    <row r="22" spans="1:2046 2049:3058 3185:4086 4097:4993 5170:5793" x14ac:dyDescent="0.25">
      <c r="A22" s="53" t="s">
        <v>2698</v>
      </c>
      <c r="B22" s="53"/>
      <c r="C22" s="50"/>
      <c r="D22" s="53"/>
      <c r="E22" s="53"/>
      <c r="F22" s="53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7"/>
      <c r="AIY22" s="7"/>
      <c r="AIZ22" s="7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7"/>
      <c r="AKF22" s="7"/>
      <c r="AKG22" s="7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7"/>
      <c r="ALP22" s="7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51"/>
      <c r="ANV22" s="51"/>
      <c r="ANW22" s="51"/>
      <c r="ANX22" s="51"/>
      <c r="ANY22" s="51"/>
      <c r="ANZ22" s="51"/>
      <c r="AOA22" s="51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QE22" s="6"/>
      <c r="AQF22" s="6"/>
      <c r="AQG22" s="6"/>
      <c r="AQH22" s="6"/>
      <c r="AQI22" s="6"/>
      <c r="AQJ22" s="6"/>
      <c r="AQK22" s="6"/>
      <c r="AQL22" s="6"/>
      <c r="AQM22" s="6"/>
      <c r="AQN22" s="6"/>
      <c r="AQO22" s="6"/>
      <c r="AQP22" s="6"/>
      <c r="AQQ22" s="6"/>
      <c r="AQR22" s="6"/>
      <c r="AQS22" s="6"/>
      <c r="AQT22" s="6"/>
      <c r="AQU22" s="6"/>
      <c r="AQV22" s="6"/>
      <c r="AQW22" s="6"/>
      <c r="ASN22" s="8"/>
      <c r="ASO22" s="8"/>
      <c r="ASP22" s="8"/>
      <c r="ASQ22" s="8"/>
      <c r="ASR22" s="8"/>
      <c r="ASS22" s="8"/>
      <c r="AST22" s="8"/>
      <c r="ASU22" s="8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7"/>
      <c r="AUK22" s="7"/>
      <c r="AUL22" s="7"/>
      <c r="AUM22" s="7"/>
      <c r="AUN22" s="7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EZ22" s="6"/>
      <c r="BFA22" s="6"/>
      <c r="BFB22" s="6"/>
      <c r="BFC22" s="6"/>
      <c r="BFD22" s="6"/>
      <c r="BFE22" s="6"/>
      <c r="BFF22" s="6"/>
      <c r="BFG22" s="6"/>
      <c r="BFH22" s="6"/>
      <c r="BFI22" s="6"/>
      <c r="BFJ22" s="6"/>
      <c r="BFK22" s="6"/>
    </row>
    <row r="23" spans="1:2046 2049:3058 3185:4086 4097:4993 5170:5793" x14ac:dyDescent="0.25">
      <c r="A23" s="50">
        <v>1480</v>
      </c>
      <c r="B23" s="54"/>
      <c r="C23" s="50"/>
      <c r="D23" s="54"/>
      <c r="E23" s="54"/>
      <c r="F23" s="54"/>
      <c r="G23" s="54"/>
      <c r="H23" s="54"/>
      <c r="I23" s="54"/>
      <c r="J23" s="54"/>
      <c r="K23" s="54"/>
      <c r="L23" s="50"/>
      <c r="M23" s="50"/>
      <c r="N23" s="50"/>
      <c r="O23" s="50"/>
      <c r="P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HV23">
        <v>11920</v>
      </c>
      <c r="JV23">
        <v>13</v>
      </c>
      <c r="NF23">
        <v>24</v>
      </c>
      <c r="NK23">
        <v>24</v>
      </c>
      <c r="QY23">
        <v>49</v>
      </c>
      <c r="TQ23">
        <v>222</v>
      </c>
      <c r="ANU23" s="50"/>
      <c r="ANV23" s="50"/>
      <c r="ANW23" s="50"/>
      <c r="ANX23" s="50"/>
      <c r="ANY23" s="50"/>
      <c r="ANZ23" s="50"/>
      <c r="AOA23" s="50"/>
      <c r="BPE23">
        <v>57</v>
      </c>
      <c r="BPG23">
        <v>1</v>
      </c>
      <c r="BPH23">
        <v>28.9</v>
      </c>
      <c r="BPK23">
        <v>14</v>
      </c>
      <c r="BRK23">
        <v>1</v>
      </c>
      <c r="BXB23">
        <v>1</v>
      </c>
      <c r="BZQ23">
        <v>500</v>
      </c>
      <c r="BZR23">
        <v>1</v>
      </c>
      <c r="BZU23">
        <v>1</v>
      </c>
      <c r="BZW23">
        <v>2</v>
      </c>
      <c r="BZX23">
        <v>1</v>
      </c>
      <c r="BZY23">
        <v>1</v>
      </c>
      <c r="BZZ23">
        <v>2</v>
      </c>
      <c r="CAA23">
        <v>3</v>
      </c>
      <c r="DTT23">
        <v>1</v>
      </c>
      <c r="HGI23">
        <v>1</v>
      </c>
      <c r="HGZ23">
        <v>1</v>
      </c>
      <c r="HHB23">
        <v>1</v>
      </c>
      <c r="HHD23">
        <v>1</v>
      </c>
    </row>
    <row r="24" spans="1:2046 2049:3058 3185:4086 4097:4993 5170:5793" x14ac:dyDescent="0.25">
      <c r="A24" s="50">
        <v>7063959</v>
      </c>
      <c r="B24" s="50"/>
      <c r="C24" s="50"/>
      <c r="D24" s="50"/>
      <c r="E24" s="50"/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51"/>
      <c r="FO24" s="51"/>
      <c r="FP24" s="51"/>
      <c r="FQ24" s="51"/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7"/>
      <c r="AIY24" s="7"/>
      <c r="AIZ24" s="7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7"/>
      <c r="AKF24" s="7"/>
      <c r="AKG24" s="7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7"/>
      <c r="ALP24" s="7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51"/>
      <c r="ANV24" s="51"/>
      <c r="ANW24" s="51"/>
      <c r="ANX24" s="51">
        <v>66</v>
      </c>
      <c r="ANY24" s="51"/>
      <c r="ANZ24" s="51"/>
      <c r="AOA24" s="51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6"/>
      <c r="AQL24" s="6"/>
      <c r="AQM24" s="6"/>
      <c r="AQN24" s="6"/>
      <c r="AQO24" s="6"/>
      <c r="AQP24" s="6"/>
      <c r="AQQ24" s="6"/>
      <c r="AQR24" s="6"/>
      <c r="AQS24" s="6"/>
      <c r="AQT24" s="6"/>
      <c r="AQU24" s="6"/>
      <c r="AQV24" s="6"/>
      <c r="AQW24" s="6"/>
      <c r="ASN24" s="8"/>
      <c r="ASO24" s="8"/>
      <c r="ASP24" s="8"/>
      <c r="ASQ24" s="8"/>
      <c r="ASR24" s="8"/>
      <c r="ASS24" s="8"/>
      <c r="AST24" s="8"/>
      <c r="ASU24" s="8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7"/>
      <c r="AUK24" s="7"/>
      <c r="AUL24" s="7"/>
      <c r="AUM24" s="7"/>
      <c r="AUN24" s="7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FB24" s="6"/>
      <c r="BFC24" s="6"/>
      <c r="BFD24" s="6"/>
      <c r="BFE24" s="6"/>
      <c r="BFF24" s="6"/>
      <c r="BFG24" s="6"/>
      <c r="BFH24" s="6"/>
      <c r="BFI24" s="6"/>
      <c r="BFJ24" s="6"/>
      <c r="BFK24" s="6"/>
      <c r="BPE24">
        <v>43</v>
      </c>
      <c r="BPG24">
        <v>1</v>
      </c>
      <c r="BPJ24">
        <v>1</v>
      </c>
      <c r="BPK24">
        <v>20</v>
      </c>
      <c r="BQY24">
        <v>1</v>
      </c>
      <c r="BWK24">
        <v>1</v>
      </c>
      <c r="BZP24">
        <v>1</v>
      </c>
      <c r="CAB24">
        <v>1</v>
      </c>
      <c r="FSF24">
        <v>1</v>
      </c>
      <c r="FSG24">
        <v>1</v>
      </c>
      <c r="HEA24">
        <v>1</v>
      </c>
      <c r="HFQ24">
        <v>1</v>
      </c>
      <c r="HGH24">
        <v>1</v>
      </c>
      <c r="HGV24">
        <v>1</v>
      </c>
      <c r="HGZ24">
        <v>1</v>
      </c>
      <c r="HHD24">
        <v>1</v>
      </c>
      <c r="HHM24">
        <v>1</v>
      </c>
      <c r="HIB24">
        <v>1</v>
      </c>
      <c r="HIE24">
        <v>1</v>
      </c>
      <c r="HIH24">
        <v>1</v>
      </c>
      <c r="HJG24">
        <v>1</v>
      </c>
      <c r="HNJ24">
        <v>1</v>
      </c>
      <c r="HNO24">
        <v>1</v>
      </c>
      <c r="HNP24">
        <v>1</v>
      </c>
      <c r="HNQ24">
        <v>1</v>
      </c>
      <c r="HNS24">
        <v>1</v>
      </c>
      <c r="HNU24">
        <v>1</v>
      </c>
    </row>
    <row r="25" spans="1:2046 2049:3058 3185:4086 4097:4993 5170:5793" x14ac:dyDescent="0.25">
      <c r="A25" s="50">
        <v>1003215</v>
      </c>
      <c r="B25" s="50"/>
      <c r="C25" s="50"/>
      <c r="D25" s="50"/>
      <c r="E25" s="50"/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8">
        <v>8000</v>
      </c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>
        <v>20</v>
      </c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>
        <v>27</v>
      </c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8"/>
      <c r="TD25" s="8"/>
      <c r="TE25" s="8"/>
      <c r="TF25" s="8"/>
      <c r="TG25" s="8"/>
      <c r="TH25" s="8"/>
      <c r="TI25" s="8"/>
      <c r="TJ25" s="8"/>
      <c r="TK25" s="8">
        <v>248</v>
      </c>
      <c r="TL25" s="8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>
        <v>30</v>
      </c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8">
        <v>14</v>
      </c>
      <c r="ZT25" s="8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51"/>
      <c r="AIW25" s="51"/>
      <c r="AIX25" s="50">
        <v>2.9</v>
      </c>
      <c r="AIY25" s="50"/>
      <c r="AIZ25" s="50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7"/>
      <c r="AKF25" s="7"/>
      <c r="AKG25" s="7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>
        <v>196</v>
      </c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51"/>
      <c r="ANV25" s="51"/>
      <c r="ANW25" s="51"/>
      <c r="ANX25" s="51">
        <v>225</v>
      </c>
      <c r="ANY25" s="51"/>
      <c r="ANZ25" s="51"/>
      <c r="AOA25" s="51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QE25" s="6"/>
      <c r="AQF25" s="6"/>
      <c r="AQG25" s="6"/>
      <c r="AQH25" s="6"/>
      <c r="AQI25" s="6"/>
      <c r="AQJ25" s="6"/>
      <c r="AQK25" s="6"/>
      <c r="AQL25" s="6"/>
      <c r="AQM25" s="6"/>
      <c r="AQN25" s="6"/>
      <c r="AQO25" s="6"/>
      <c r="AQP25" s="6"/>
      <c r="AQQ25" s="6"/>
      <c r="AQR25" s="6"/>
      <c r="AQS25" s="6"/>
      <c r="AQT25" s="6"/>
      <c r="AQU25" s="6"/>
      <c r="AQV25" s="6"/>
      <c r="AQW25" s="6"/>
      <c r="ARJ25">
        <v>4750000</v>
      </c>
      <c r="ASU25">
        <v>378000</v>
      </c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>
        <v>61</v>
      </c>
      <c r="AUK25" s="6"/>
      <c r="AUL25" s="6"/>
      <c r="AUM25" s="6"/>
      <c r="AUN25" s="6"/>
      <c r="AUO25" s="6"/>
      <c r="AUP25" s="6"/>
      <c r="AUQ25" s="6">
        <v>22.4</v>
      </c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>
        <v>8.1999999999999993</v>
      </c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>
        <v>65</v>
      </c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>
        <v>0.5</v>
      </c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>
        <v>40</v>
      </c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>
        <v>82</v>
      </c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>
        <v>30</v>
      </c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EZ25" s="6"/>
      <c r="BFA25" s="6"/>
      <c r="BFB25" s="6"/>
      <c r="BFC25" s="6"/>
      <c r="BFD25" s="6"/>
      <c r="BFE25" s="6"/>
      <c r="BFF25" s="6"/>
      <c r="BFG25" s="6">
        <v>11</v>
      </c>
      <c r="BFH25" s="6"/>
      <c r="BFI25" s="6"/>
      <c r="BFJ25" s="6"/>
      <c r="BFK25" s="6"/>
      <c r="BFS25">
        <v>0</v>
      </c>
      <c r="BFT25">
        <v>0</v>
      </c>
      <c r="BFU25">
        <v>0</v>
      </c>
      <c r="BFW25">
        <v>0</v>
      </c>
      <c r="BFX25">
        <v>1</v>
      </c>
      <c r="BFY25">
        <v>1</v>
      </c>
      <c r="BFZ25">
        <v>0</v>
      </c>
      <c r="BGA25">
        <v>0</v>
      </c>
      <c r="BGE25">
        <v>0</v>
      </c>
      <c r="BNX25">
        <v>13000</v>
      </c>
      <c r="BPE25">
        <v>28</v>
      </c>
      <c r="BPG25">
        <v>1</v>
      </c>
      <c r="BPJ25">
        <v>1</v>
      </c>
      <c r="BPK25">
        <v>22</v>
      </c>
      <c r="BUK25">
        <v>1</v>
      </c>
      <c r="BXE25">
        <v>1</v>
      </c>
      <c r="BXX25">
        <v>1</v>
      </c>
      <c r="BYA25">
        <v>1</v>
      </c>
      <c r="BZR25">
        <v>1</v>
      </c>
      <c r="BZU25">
        <v>1</v>
      </c>
      <c r="BZW25" s="15">
        <v>29</v>
      </c>
      <c r="BZX25">
        <v>999</v>
      </c>
      <c r="BZY25">
        <v>0</v>
      </c>
      <c r="BZZ25">
        <v>3</v>
      </c>
      <c r="CAA25">
        <v>5</v>
      </c>
      <c r="FHP25">
        <v>200</v>
      </c>
      <c r="FHQ25">
        <v>1</v>
      </c>
      <c r="FHT25">
        <v>1</v>
      </c>
      <c r="FHU25">
        <v>210</v>
      </c>
      <c r="FHV25">
        <v>11</v>
      </c>
      <c r="FHW25">
        <v>0</v>
      </c>
      <c r="FHX25">
        <v>3</v>
      </c>
      <c r="FHY25">
        <v>2</v>
      </c>
      <c r="GYE25">
        <v>1</v>
      </c>
      <c r="GYL25">
        <v>1</v>
      </c>
      <c r="HEF25">
        <v>1</v>
      </c>
      <c r="HFF25">
        <v>1</v>
      </c>
      <c r="HGK25">
        <v>1</v>
      </c>
      <c r="HGO25">
        <v>1</v>
      </c>
      <c r="HGS25">
        <v>1</v>
      </c>
      <c r="HGU25">
        <v>1</v>
      </c>
      <c r="HGZ25">
        <v>1</v>
      </c>
      <c r="HHB25">
        <v>1</v>
      </c>
      <c r="HHD25">
        <v>1</v>
      </c>
      <c r="HIG25">
        <v>1</v>
      </c>
      <c r="HIX25">
        <v>1</v>
      </c>
    </row>
    <row r="26" spans="1:2046 2049:3058 3185:4086 4097:4993 5170:5793" x14ac:dyDescent="0.25">
      <c r="A26" s="50">
        <v>99000802</v>
      </c>
      <c r="B26" s="50"/>
      <c r="C26" s="50"/>
      <c r="D26" s="50"/>
      <c r="E26" s="50"/>
      <c r="F26" s="50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6"/>
      <c r="HR26" s="14">
        <v>7500</v>
      </c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>
        <v>16</v>
      </c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>
        <v>26</v>
      </c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>
        <v>27</v>
      </c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>
        <v>299</v>
      </c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51"/>
      <c r="AIW26" s="51"/>
      <c r="AIX26" s="50"/>
      <c r="AIY26" s="50"/>
      <c r="AIZ26" s="50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7"/>
      <c r="AKF26" s="7"/>
      <c r="AKG26" s="7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51"/>
      <c r="ANV26" s="51"/>
      <c r="ANW26" s="51"/>
      <c r="ANX26" s="51"/>
      <c r="ANY26" s="51"/>
      <c r="ANZ26" s="51"/>
      <c r="AOA26" s="51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6"/>
      <c r="AQL26" s="6"/>
      <c r="AQM26" s="6"/>
      <c r="AQN26" s="6"/>
      <c r="AQO26" s="6"/>
      <c r="AQP26" s="6"/>
      <c r="AQQ26" s="6"/>
      <c r="AQR26" s="6"/>
      <c r="AQS26" s="6"/>
      <c r="AQT26" s="6"/>
      <c r="AQU26" s="6"/>
      <c r="AQV26" s="6"/>
      <c r="AQW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7"/>
      <c r="AUK26" s="7"/>
      <c r="AUL26" s="7"/>
      <c r="AUM26" s="7"/>
      <c r="AUN26" s="7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EZ26" s="6"/>
      <c r="BFA26" s="6"/>
      <c r="BFB26" s="6"/>
      <c r="BFC26" s="6"/>
      <c r="BFD26" s="6"/>
      <c r="BFE26" s="6"/>
      <c r="BFF26" s="6"/>
      <c r="BFG26" s="6"/>
      <c r="BFH26" s="6"/>
      <c r="BFI26" s="6"/>
      <c r="BFJ26" s="6"/>
      <c r="BFK26" s="6"/>
      <c r="BPE26">
        <v>47</v>
      </c>
      <c r="BPF26">
        <v>1</v>
      </c>
      <c r="BPH26">
        <v>29.1</v>
      </c>
      <c r="BPJ26">
        <v>1</v>
      </c>
      <c r="BPK26">
        <v>28</v>
      </c>
      <c r="BSV26">
        <v>1</v>
      </c>
      <c r="BSZ26">
        <v>1</v>
      </c>
      <c r="BTX26">
        <v>1</v>
      </c>
      <c r="BYR26">
        <v>150</v>
      </c>
      <c r="BYS26">
        <v>1</v>
      </c>
      <c r="BYV26">
        <v>1</v>
      </c>
      <c r="BYY26">
        <v>13</v>
      </c>
      <c r="BYZ26">
        <v>12</v>
      </c>
      <c r="BZA26">
        <v>0</v>
      </c>
      <c r="BZB26">
        <v>0</v>
      </c>
      <c r="BZC26">
        <v>3</v>
      </c>
      <c r="BZQ26">
        <v>500</v>
      </c>
      <c r="BZR26">
        <v>3</v>
      </c>
      <c r="BZU26">
        <v>1</v>
      </c>
      <c r="BZW26" s="35">
        <v>2</v>
      </c>
      <c r="BZX26">
        <v>0</v>
      </c>
      <c r="BZY26">
        <v>0</v>
      </c>
      <c r="BZZ26">
        <v>999</v>
      </c>
      <c r="CAA26">
        <v>4</v>
      </c>
      <c r="CAC26">
        <v>100</v>
      </c>
      <c r="CAD26">
        <v>1</v>
      </c>
      <c r="CAG26">
        <v>1</v>
      </c>
      <c r="CAH26" s="15">
        <v>28</v>
      </c>
      <c r="CAI26">
        <v>999</v>
      </c>
      <c r="CAJ26">
        <v>0</v>
      </c>
      <c r="CAK26">
        <v>0</v>
      </c>
      <c r="CAL26">
        <v>5</v>
      </c>
      <c r="DFH26">
        <v>300</v>
      </c>
      <c r="DFI26">
        <v>1</v>
      </c>
      <c r="DFL26">
        <v>1</v>
      </c>
      <c r="DFM26">
        <v>13</v>
      </c>
      <c r="DFN26">
        <v>12</v>
      </c>
      <c r="DFO26">
        <v>0</v>
      </c>
      <c r="DFP26">
        <v>0</v>
      </c>
      <c r="DFQ26">
        <v>3</v>
      </c>
      <c r="DJO26">
        <v>10</v>
      </c>
      <c r="DJP26">
        <v>0.5</v>
      </c>
      <c r="DJS26">
        <v>1</v>
      </c>
      <c r="DJT26" s="15">
        <v>28</v>
      </c>
      <c r="DJU26">
        <v>999</v>
      </c>
      <c r="DJV26">
        <v>0</v>
      </c>
      <c r="DJW26">
        <v>0</v>
      </c>
      <c r="DJX26">
        <v>6</v>
      </c>
      <c r="GII26">
        <v>10</v>
      </c>
      <c r="GIJ26">
        <v>4</v>
      </c>
      <c r="GIM26">
        <v>1</v>
      </c>
      <c r="GIN26">
        <v>2</v>
      </c>
      <c r="GIO26">
        <v>26</v>
      </c>
      <c r="GIP26">
        <v>0</v>
      </c>
      <c r="GIQ26">
        <v>0</v>
      </c>
      <c r="GIR26">
        <v>5</v>
      </c>
      <c r="GYE26">
        <v>1</v>
      </c>
      <c r="GYL26">
        <v>1</v>
      </c>
      <c r="HEF26">
        <v>1</v>
      </c>
      <c r="HFF26">
        <v>1</v>
      </c>
      <c r="HGH26">
        <v>1</v>
      </c>
      <c r="HGZ26">
        <v>1</v>
      </c>
      <c r="HHB26">
        <v>1</v>
      </c>
    </row>
    <row r="27" spans="1:2046 2049:3058 3185:4086 4097:4993 5170:5793" x14ac:dyDescent="0.25">
      <c r="A27" s="50">
        <v>99000892</v>
      </c>
      <c r="B27" s="50"/>
      <c r="C27" s="50"/>
      <c r="D27" s="50"/>
      <c r="E27" s="50"/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51"/>
      <c r="FO27" s="51"/>
      <c r="FP27" s="51"/>
      <c r="FQ27" s="51"/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>
        <v>65</v>
      </c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>
        <v>65</v>
      </c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>
        <v>6.93</v>
      </c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8"/>
      <c r="TD27" s="8"/>
      <c r="TE27" s="8"/>
      <c r="TF27" s="8"/>
      <c r="TG27" s="8"/>
      <c r="TH27" s="8"/>
      <c r="TI27" s="8"/>
      <c r="TJ27" s="8"/>
      <c r="TK27" s="8"/>
      <c r="TL27" s="8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51"/>
      <c r="AIW27" s="51"/>
      <c r="AIX27" s="50"/>
      <c r="AIY27" s="50"/>
      <c r="AIZ27" s="50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7"/>
      <c r="AKF27" s="7"/>
      <c r="AKG27" s="7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51"/>
      <c r="ANV27" s="51"/>
      <c r="ANW27" s="51"/>
      <c r="ANX27" s="51"/>
      <c r="ANY27" s="51"/>
      <c r="ANZ27" s="51"/>
      <c r="AOA27" s="51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6"/>
      <c r="AQL27" s="6"/>
      <c r="AQM27" s="6"/>
      <c r="AQN27" s="6"/>
      <c r="AQO27" s="6"/>
      <c r="AQP27" s="6"/>
      <c r="AQQ27" s="6"/>
      <c r="AQR27" s="6"/>
      <c r="AQS27" s="6"/>
      <c r="AQT27" s="6"/>
      <c r="AQU27" s="6"/>
      <c r="AQV27" s="6"/>
      <c r="AQW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7"/>
      <c r="AUK27" s="7"/>
      <c r="AUL27" s="7"/>
      <c r="AUM27" s="7"/>
      <c r="AUN27" s="7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FB27" s="6"/>
      <c r="BFC27" s="6"/>
      <c r="BFD27" s="6"/>
      <c r="BFE27" s="6"/>
      <c r="BFF27" s="6"/>
      <c r="BFG27" s="6"/>
      <c r="BFH27" s="6"/>
      <c r="BFI27" s="6"/>
      <c r="BFJ27" s="6"/>
      <c r="BFK27" s="6"/>
      <c r="BPE27">
        <v>56</v>
      </c>
      <c r="BPF27">
        <v>1</v>
      </c>
      <c r="BPH27">
        <v>27</v>
      </c>
      <c r="BPJ27">
        <v>1</v>
      </c>
      <c r="BPK27">
        <v>16</v>
      </c>
      <c r="BPP27">
        <v>1</v>
      </c>
      <c r="BQJ27">
        <v>1</v>
      </c>
      <c r="BRL27">
        <v>1</v>
      </c>
      <c r="BWM27">
        <v>1</v>
      </c>
      <c r="BWQ27">
        <v>1</v>
      </c>
      <c r="BZR27">
        <v>3</v>
      </c>
      <c r="BZU27">
        <v>1</v>
      </c>
      <c r="BZW27" s="35">
        <v>8</v>
      </c>
      <c r="BZX27">
        <v>6</v>
      </c>
      <c r="BZY27">
        <v>0</v>
      </c>
      <c r="BZZ27">
        <v>999</v>
      </c>
      <c r="CAA27">
        <v>4</v>
      </c>
      <c r="CAC27">
        <v>300</v>
      </c>
      <c r="CAD27">
        <v>3</v>
      </c>
      <c r="CAG27">
        <v>1</v>
      </c>
      <c r="CAH27" s="35">
        <v>8</v>
      </c>
      <c r="CAI27">
        <v>6</v>
      </c>
      <c r="CAJ27">
        <v>0</v>
      </c>
      <c r="CAK27">
        <v>999</v>
      </c>
      <c r="CAL27">
        <v>4</v>
      </c>
      <c r="EFA27" s="2">
        <v>6</v>
      </c>
      <c r="EFB27">
        <v>1</v>
      </c>
      <c r="EFE27">
        <v>1</v>
      </c>
      <c r="EFG27" s="36">
        <v>29</v>
      </c>
      <c r="EFH27">
        <v>999</v>
      </c>
      <c r="EFI27">
        <v>0</v>
      </c>
      <c r="EFJ27">
        <v>999</v>
      </c>
      <c r="EFK27">
        <v>6</v>
      </c>
      <c r="EHV27">
        <v>1</v>
      </c>
      <c r="EHW27">
        <v>3</v>
      </c>
      <c r="EHZ27">
        <v>1</v>
      </c>
      <c r="EIA27" s="15">
        <v>9</v>
      </c>
      <c r="EIB27">
        <v>999</v>
      </c>
      <c r="EIC27">
        <v>19</v>
      </c>
      <c r="EID27">
        <v>0</v>
      </c>
      <c r="EIE27">
        <v>8</v>
      </c>
      <c r="EIP27">
        <v>25</v>
      </c>
      <c r="EIQ27">
        <v>3</v>
      </c>
      <c r="EIT27">
        <v>1</v>
      </c>
      <c r="EIU27" s="36">
        <v>29</v>
      </c>
      <c r="EIV27">
        <v>999</v>
      </c>
      <c r="EIW27">
        <v>0</v>
      </c>
      <c r="EIX27">
        <v>999</v>
      </c>
      <c r="EIY27">
        <v>6</v>
      </c>
      <c r="EZU27">
        <v>1</v>
      </c>
      <c r="EZV27">
        <v>2</v>
      </c>
      <c r="EZZ27" s="35">
        <v>8</v>
      </c>
      <c r="FAA27">
        <v>6</v>
      </c>
      <c r="FAB27">
        <v>0</v>
      </c>
      <c r="FAC27">
        <v>999</v>
      </c>
      <c r="FAD27">
        <v>5</v>
      </c>
      <c r="FAO27" s="2">
        <v>1</v>
      </c>
      <c r="FAS27">
        <v>1</v>
      </c>
      <c r="FAT27" s="35">
        <v>4</v>
      </c>
      <c r="FAU27">
        <v>2</v>
      </c>
      <c r="FAV27">
        <v>0</v>
      </c>
      <c r="FAW27">
        <v>999</v>
      </c>
      <c r="FAX27">
        <v>5</v>
      </c>
      <c r="FHP27">
        <v>400</v>
      </c>
      <c r="FHQ27">
        <v>2</v>
      </c>
      <c r="FHT27">
        <v>1</v>
      </c>
      <c r="FHU27" s="36">
        <v>29</v>
      </c>
      <c r="FHV27">
        <v>35</v>
      </c>
      <c r="FHW27">
        <v>0</v>
      </c>
      <c r="FHX27">
        <v>999</v>
      </c>
      <c r="FHY27">
        <v>3</v>
      </c>
      <c r="GRW27">
        <v>24</v>
      </c>
      <c r="GRX27">
        <v>1</v>
      </c>
      <c r="GRY27">
        <v>1</v>
      </c>
      <c r="GSB27" s="15">
        <v>9</v>
      </c>
      <c r="GSC27">
        <v>999</v>
      </c>
      <c r="GSD27">
        <v>19</v>
      </c>
      <c r="GSE27">
        <v>0</v>
      </c>
      <c r="GSF27">
        <v>6</v>
      </c>
      <c r="HFF27">
        <v>1</v>
      </c>
      <c r="HGH27">
        <v>1</v>
      </c>
      <c r="HHB27">
        <v>1</v>
      </c>
    </row>
    <row r="28" spans="1:2046 2049:3058 3185:4086 4097:4993 5170:5793" x14ac:dyDescent="0.25">
      <c r="A28" s="50">
        <v>1000192</v>
      </c>
      <c r="B28" s="50"/>
      <c r="C28" s="50"/>
      <c r="D28" s="50"/>
      <c r="E28" s="50"/>
      <c r="F28" s="50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51"/>
      <c r="FO28" s="51"/>
      <c r="FP28" s="51"/>
      <c r="FQ28" s="51"/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/>
      <c r="GJ28" s="51"/>
      <c r="GK28" s="51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7"/>
      <c r="GY28" s="7"/>
      <c r="GZ28" s="7"/>
      <c r="HA28" s="8">
        <v>75000</v>
      </c>
      <c r="HB28" s="8"/>
      <c r="HC28" s="8"/>
      <c r="HD28" s="8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6"/>
      <c r="HR28" s="6"/>
      <c r="HS28" s="6"/>
      <c r="HT28">
        <v>4000</v>
      </c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>
        <v>240</v>
      </c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27">
        <v>55</v>
      </c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51"/>
      <c r="AIW28" s="51"/>
      <c r="AIX28" s="57"/>
      <c r="AIY28" s="57"/>
      <c r="AIZ28" s="57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7"/>
      <c r="AKF28" s="7"/>
      <c r="AKG28" s="7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7"/>
      <c r="ALP28" s="7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51"/>
      <c r="ANV28" s="51"/>
      <c r="ANW28" s="51"/>
      <c r="ANX28" s="51"/>
      <c r="ANY28" s="51"/>
      <c r="ANZ28" s="51"/>
      <c r="AOA28" s="51"/>
      <c r="AOB28">
        <v>11</v>
      </c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6"/>
      <c r="APY28" s="6"/>
      <c r="APZ28" s="6"/>
      <c r="AQA28" s="6"/>
      <c r="AQB28" s="6"/>
      <c r="AQC28" s="6"/>
      <c r="AQD28" s="6"/>
      <c r="AQE28" s="6"/>
      <c r="AQF28" s="6"/>
      <c r="AQG28" s="6"/>
      <c r="AQH28" s="6"/>
      <c r="AQI28" s="6"/>
      <c r="AQJ28" s="6"/>
      <c r="AQK28" s="6"/>
      <c r="AQL28" s="6"/>
      <c r="AQM28" s="6"/>
      <c r="AQN28" s="6"/>
      <c r="AQO28" s="6"/>
      <c r="AQP28" s="6"/>
      <c r="AQQ28" s="6"/>
      <c r="AQR28" s="6"/>
      <c r="AQS28" s="6"/>
      <c r="AQT28" s="6"/>
      <c r="AQU28" s="6"/>
      <c r="AQV28" s="6"/>
      <c r="AQW28" s="6"/>
      <c r="ASN28" s="8"/>
      <c r="ASO28" s="8"/>
      <c r="ASP28" s="8"/>
      <c r="ASQ28" s="8"/>
      <c r="ASR28" s="8"/>
      <c r="ASS28" s="8"/>
      <c r="AST28" s="8"/>
      <c r="ASU28" s="8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7"/>
      <c r="AUK28" s="7"/>
      <c r="AUL28" s="7"/>
      <c r="AUM28" s="7"/>
      <c r="AUN28" s="7"/>
      <c r="AUO28" s="6"/>
      <c r="AUP28" s="6"/>
      <c r="AUQ28" s="6"/>
      <c r="AUR28" s="6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6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EZ28" s="6"/>
      <c r="BFA28" s="6"/>
      <c r="BFB28" s="6"/>
      <c r="BFC28" s="6"/>
      <c r="BFD28" s="6"/>
      <c r="BFE28" s="6"/>
      <c r="BFF28" s="6"/>
      <c r="BFG28" s="6"/>
      <c r="BFH28" s="6"/>
      <c r="BFI28" s="6"/>
      <c r="BFJ28" s="6"/>
      <c r="BFK28" s="6"/>
      <c r="BPE28">
        <v>60</v>
      </c>
      <c r="BPG28">
        <v>1</v>
      </c>
      <c r="BPH28">
        <v>26.6</v>
      </c>
      <c r="BPJ28">
        <v>1</v>
      </c>
      <c r="BPK28">
        <v>20</v>
      </c>
      <c r="BPT28">
        <v>1</v>
      </c>
      <c r="BPU28">
        <v>1</v>
      </c>
      <c r="BQD28">
        <v>1</v>
      </c>
      <c r="BQN28">
        <v>1</v>
      </c>
      <c r="BRF28">
        <v>1</v>
      </c>
      <c r="BRK28">
        <v>1</v>
      </c>
      <c r="BRL28">
        <v>1</v>
      </c>
      <c r="BWM28">
        <v>1</v>
      </c>
      <c r="BWR28">
        <v>1</v>
      </c>
      <c r="BWZ28">
        <v>1</v>
      </c>
      <c r="BXF28">
        <v>1</v>
      </c>
      <c r="BZQ28" s="2">
        <v>1</v>
      </c>
      <c r="BZR28">
        <v>1</v>
      </c>
      <c r="BZU28">
        <v>1</v>
      </c>
      <c r="BZW28">
        <v>2</v>
      </c>
      <c r="BZX28">
        <v>24</v>
      </c>
      <c r="BZY28">
        <v>0</v>
      </c>
      <c r="CAA28">
        <v>4</v>
      </c>
      <c r="CGD28" s="36">
        <v>2</v>
      </c>
      <c r="CGE28" s="36">
        <v>2</v>
      </c>
      <c r="CGH28">
        <v>1</v>
      </c>
      <c r="CGI28">
        <v>3</v>
      </c>
      <c r="CGJ28">
        <v>9</v>
      </c>
      <c r="CGK28">
        <v>7</v>
      </c>
      <c r="CGM28">
        <v>5</v>
      </c>
      <c r="CGN28" s="36">
        <v>2</v>
      </c>
      <c r="CGO28" s="36">
        <v>1</v>
      </c>
      <c r="CGR28">
        <v>1</v>
      </c>
      <c r="CGS28">
        <v>2</v>
      </c>
      <c r="CGT28">
        <v>8</v>
      </c>
      <c r="CGU28">
        <v>6</v>
      </c>
      <c r="CGW28">
        <v>5</v>
      </c>
      <c r="CHI28" s="50"/>
      <c r="CHJ28">
        <v>1</v>
      </c>
      <c r="CHM28">
        <v>1</v>
      </c>
      <c r="CHN28">
        <v>1</v>
      </c>
      <c r="CHO28">
        <v>4</v>
      </c>
      <c r="CHP28">
        <v>4</v>
      </c>
      <c r="CHR28">
        <v>4</v>
      </c>
      <c r="CLQ28">
        <v>2</v>
      </c>
      <c r="CLR28">
        <v>1</v>
      </c>
      <c r="CLU28">
        <v>1</v>
      </c>
      <c r="CLV28">
        <v>1</v>
      </c>
      <c r="CLW28">
        <v>1</v>
      </c>
      <c r="CLX28">
        <v>1</v>
      </c>
      <c r="CLZ28">
        <v>6</v>
      </c>
      <c r="EFA28" s="2">
        <v>1</v>
      </c>
      <c r="EFB28" s="2">
        <v>2</v>
      </c>
      <c r="EFE28">
        <v>1</v>
      </c>
      <c r="EFG28" s="36">
        <v>29</v>
      </c>
      <c r="EFH28">
        <v>999</v>
      </c>
      <c r="EFI28">
        <v>0</v>
      </c>
      <c r="EFK28">
        <v>6</v>
      </c>
      <c r="EHB28">
        <v>20</v>
      </c>
      <c r="EHC28">
        <v>3</v>
      </c>
      <c r="EHF28">
        <v>1</v>
      </c>
      <c r="EHG28">
        <v>16</v>
      </c>
      <c r="EHH28">
        <v>23</v>
      </c>
      <c r="EHI28">
        <v>9</v>
      </c>
      <c r="EHK28">
        <v>6</v>
      </c>
      <c r="EKX28">
        <v>1</v>
      </c>
      <c r="EKY28">
        <v>1</v>
      </c>
      <c r="ELB28">
        <v>1</v>
      </c>
      <c r="ELC28" s="15">
        <v>2</v>
      </c>
      <c r="ELD28">
        <v>999</v>
      </c>
      <c r="ELE28">
        <v>27</v>
      </c>
      <c r="ELG28">
        <v>7</v>
      </c>
      <c r="ELR28">
        <v>1</v>
      </c>
      <c r="ELS28">
        <v>2</v>
      </c>
      <c r="ELV28">
        <v>1</v>
      </c>
      <c r="ELW28" s="35">
        <v>8</v>
      </c>
      <c r="ELX28">
        <v>7</v>
      </c>
      <c r="ELY28">
        <v>0</v>
      </c>
      <c r="EMA28">
        <v>5</v>
      </c>
      <c r="EMN28">
        <v>1</v>
      </c>
      <c r="EMQ28">
        <v>1</v>
      </c>
      <c r="EMR28" s="35">
        <v>27</v>
      </c>
      <c r="EMS28">
        <v>26</v>
      </c>
      <c r="EMV28">
        <v>6</v>
      </c>
      <c r="EMW28" s="2">
        <v>1</v>
      </c>
      <c r="EMX28">
        <v>4</v>
      </c>
      <c r="ENA28">
        <v>1</v>
      </c>
      <c r="ENB28">
        <v>15</v>
      </c>
      <c r="ENC28">
        <v>23</v>
      </c>
      <c r="END28">
        <v>9</v>
      </c>
      <c r="ENF28">
        <v>6</v>
      </c>
      <c r="ENH28">
        <v>2</v>
      </c>
      <c r="ENK28">
        <v>1</v>
      </c>
      <c r="ENL28">
        <v>7</v>
      </c>
      <c r="ENM28">
        <v>7</v>
      </c>
      <c r="ENN28">
        <v>0</v>
      </c>
      <c r="ENP28">
        <v>5</v>
      </c>
      <c r="EST28">
        <v>1</v>
      </c>
      <c r="ESU28">
        <v>1</v>
      </c>
      <c r="ESV28">
        <v>1</v>
      </c>
      <c r="ESW28">
        <v>1</v>
      </c>
      <c r="ESX28">
        <v>22</v>
      </c>
      <c r="ESY28">
        <v>22</v>
      </c>
      <c r="ETA28">
        <v>7</v>
      </c>
      <c r="FHF28" s="2">
        <v>100</v>
      </c>
      <c r="FHG28">
        <v>3</v>
      </c>
      <c r="FHJ28">
        <v>1</v>
      </c>
      <c r="FHK28" s="36">
        <v>29</v>
      </c>
      <c r="FHL28">
        <v>999</v>
      </c>
      <c r="FHM28">
        <v>0</v>
      </c>
      <c r="FHO28">
        <v>3</v>
      </c>
      <c r="FQN28" s="36">
        <v>1</v>
      </c>
      <c r="FQO28">
        <v>1</v>
      </c>
      <c r="FQR28">
        <v>1</v>
      </c>
      <c r="FQS28" s="36">
        <v>29</v>
      </c>
      <c r="FQT28">
        <v>999</v>
      </c>
      <c r="FQU28">
        <v>0</v>
      </c>
      <c r="FQW28">
        <v>5</v>
      </c>
      <c r="FXS28">
        <v>1</v>
      </c>
      <c r="FXT28">
        <v>1</v>
      </c>
      <c r="FXW28">
        <v>1</v>
      </c>
      <c r="FXX28">
        <v>6</v>
      </c>
      <c r="FXY28">
        <v>6</v>
      </c>
      <c r="FXZ28">
        <v>0</v>
      </c>
      <c r="FYB28">
        <v>5</v>
      </c>
      <c r="GPV28">
        <v>1</v>
      </c>
      <c r="GPW28">
        <v>3</v>
      </c>
      <c r="GPZ28">
        <v>1</v>
      </c>
      <c r="GQA28" s="36">
        <v>29</v>
      </c>
      <c r="GQB28">
        <v>999</v>
      </c>
      <c r="GQC28">
        <v>0</v>
      </c>
      <c r="GQE28">
        <v>6</v>
      </c>
      <c r="GYL28">
        <v>1</v>
      </c>
      <c r="HFP28">
        <v>1</v>
      </c>
      <c r="HFW28">
        <v>1</v>
      </c>
      <c r="HGH28">
        <v>1</v>
      </c>
      <c r="HGK28">
        <v>1</v>
      </c>
      <c r="HGM28">
        <v>1</v>
      </c>
      <c r="HGT28">
        <v>1</v>
      </c>
      <c r="HHB28">
        <v>1</v>
      </c>
      <c r="HHM28">
        <v>1</v>
      </c>
    </row>
    <row r="29" spans="1:2046 2049:3058 3185:4086 4097:4993 5170:5793" x14ac:dyDescent="0.25">
      <c r="A29" s="50">
        <v>1506</v>
      </c>
      <c r="B29" s="50"/>
      <c r="C29" s="50"/>
      <c r="D29" s="50"/>
      <c r="E29" s="50"/>
      <c r="F29" s="50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51"/>
      <c r="FO29" s="51"/>
      <c r="FP29" s="51"/>
      <c r="FQ29" s="51"/>
      <c r="FR29" s="51"/>
      <c r="FS29" s="51"/>
      <c r="FT29" s="51"/>
      <c r="FU29" s="51"/>
      <c r="FV29" s="51"/>
      <c r="FW29" s="51"/>
      <c r="FX29" s="51"/>
      <c r="FY29" s="51"/>
      <c r="FZ29" s="51"/>
      <c r="GA29" s="51"/>
      <c r="GB29" s="51"/>
      <c r="GC29" s="51"/>
      <c r="GD29" s="51"/>
      <c r="GE29" s="51"/>
      <c r="GF29" s="51"/>
      <c r="GG29" s="51"/>
      <c r="GH29" s="51"/>
      <c r="GI29" s="51"/>
      <c r="GJ29" s="51"/>
      <c r="GK29" s="51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6"/>
      <c r="HR29" s="6"/>
      <c r="HS29">
        <v>11460</v>
      </c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>
        <v>15</v>
      </c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>
        <v>28</v>
      </c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>
        <v>45</v>
      </c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6"/>
      <c r="TN29" s="6"/>
      <c r="TO29" s="6"/>
      <c r="TP29" s="6"/>
      <c r="TQ29">
        <v>144</v>
      </c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>
        <v>6.8</v>
      </c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51"/>
      <c r="AIW29" s="51"/>
      <c r="AIX29" s="57"/>
      <c r="AIY29" s="57"/>
      <c r="AIZ29" s="57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7"/>
      <c r="AKF29" s="7"/>
      <c r="AKG29" s="7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7"/>
      <c r="ALP29" s="7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 s="6"/>
      <c r="ANJ29" s="6"/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51"/>
      <c r="ANV29" s="51"/>
      <c r="ANW29" s="51"/>
      <c r="ANX29" s="51"/>
      <c r="ANY29" s="51"/>
      <c r="ANZ29" s="51"/>
      <c r="AOA29" s="51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6"/>
      <c r="APY29" s="6"/>
      <c r="APZ29" s="6"/>
      <c r="AQA29" s="6"/>
      <c r="AQB29" s="6"/>
      <c r="AQC29" s="6"/>
      <c r="AQD29" s="6"/>
      <c r="AQE29" s="6"/>
      <c r="AQF29" s="6"/>
      <c r="AQG29" s="6"/>
      <c r="AQH29" s="6"/>
      <c r="AQI29" s="6"/>
      <c r="AQJ29" s="6"/>
      <c r="AQK29" s="6"/>
      <c r="AQL29" s="6"/>
      <c r="AQM29" s="6"/>
      <c r="AQN29" s="6"/>
      <c r="AQO29" s="6"/>
      <c r="AQP29" s="6"/>
      <c r="AQQ29" s="6"/>
      <c r="AQR29" s="6"/>
      <c r="AQS29" s="6"/>
      <c r="AQT29" s="6"/>
      <c r="AQU29" s="6"/>
      <c r="AQV29" s="6"/>
      <c r="AQW29" s="6"/>
      <c r="ASN29" s="8"/>
      <c r="ASO29" s="8"/>
      <c r="ASP29" s="8"/>
      <c r="ASQ29" s="8"/>
      <c r="ASR29" s="8"/>
      <c r="ASS29" s="8"/>
      <c r="AST29" s="8"/>
      <c r="ASU29" s="8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7"/>
      <c r="AUK29" s="7"/>
      <c r="AUL29" s="7"/>
      <c r="AUM29" s="7"/>
      <c r="AUN29" s="7"/>
      <c r="AUO29" s="6"/>
      <c r="AUP29" s="6"/>
      <c r="AUQ29" s="6"/>
      <c r="AUR29" s="6"/>
      <c r="AUS29" s="6"/>
      <c r="AUT29" s="6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6"/>
      <c r="AWM29" s="6"/>
      <c r="AWN29" s="6"/>
      <c r="AWO29" s="6"/>
      <c r="AWP29" s="6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6"/>
      <c r="AYD29" s="6"/>
      <c r="AYE29" s="6"/>
      <c r="AYF29" s="6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J29" s="6"/>
      <c r="BCK29" s="6"/>
      <c r="BCL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ES29" s="6"/>
      <c r="BET29" s="6"/>
      <c r="BEU29" s="6"/>
      <c r="BEV29" s="6"/>
      <c r="BEW29" s="6"/>
      <c r="BEX29" s="6"/>
      <c r="BEY29" s="6"/>
      <c r="BEZ29" s="6"/>
      <c r="BFA29" s="6"/>
      <c r="BFB29" s="6"/>
      <c r="BFC29" s="6"/>
      <c r="BFD29" s="6"/>
      <c r="BFE29" s="6"/>
      <c r="BFF29" s="6"/>
      <c r="BFG29" s="6"/>
      <c r="BFH29" s="6"/>
      <c r="BFI29" s="6"/>
      <c r="BFJ29" s="6"/>
      <c r="BFK29" s="6"/>
      <c r="BPE29">
        <v>36</v>
      </c>
      <c r="BPG29">
        <v>1</v>
      </c>
      <c r="BPH29">
        <v>25.8</v>
      </c>
      <c r="BPK29">
        <v>15</v>
      </c>
      <c r="BSB29">
        <v>1</v>
      </c>
      <c r="BUI29">
        <v>1</v>
      </c>
      <c r="BZQ29">
        <v>500</v>
      </c>
      <c r="BZR29">
        <v>1</v>
      </c>
      <c r="BZU29">
        <v>1</v>
      </c>
      <c r="BZW29">
        <v>2</v>
      </c>
      <c r="BZX29">
        <v>0</v>
      </c>
      <c r="BZY29">
        <v>0</v>
      </c>
      <c r="BZZ29">
        <v>1</v>
      </c>
      <c r="CML29">
        <v>2</v>
      </c>
      <c r="CMO29">
        <v>1</v>
      </c>
      <c r="CMP29">
        <v>11</v>
      </c>
      <c r="CMQ29">
        <v>17</v>
      </c>
      <c r="CMR29">
        <v>8</v>
      </c>
      <c r="CMS29">
        <v>0</v>
      </c>
      <c r="CMT29">
        <v>3</v>
      </c>
      <c r="CQS29">
        <v>2</v>
      </c>
      <c r="CQV29">
        <v>1</v>
      </c>
      <c r="CQW29">
        <v>9</v>
      </c>
      <c r="CQX29">
        <v>6</v>
      </c>
      <c r="CQY29">
        <v>0</v>
      </c>
      <c r="CQZ29">
        <v>999</v>
      </c>
      <c r="HGJ29">
        <v>1</v>
      </c>
      <c r="HGP29">
        <v>1</v>
      </c>
      <c r="HHB29">
        <v>1</v>
      </c>
      <c r="HHH29">
        <v>1</v>
      </c>
      <c r="HHN29">
        <v>1</v>
      </c>
      <c r="HHO29">
        <v>1</v>
      </c>
      <c r="HHP29">
        <v>1</v>
      </c>
      <c r="HJL29">
        <v>1</v>
      </c>
      <c r="HJM29">
        <v>1</v>
      </c>
      <c r="HKC29">
        <v>1</v>
      </c>
    </row>
    <row r="30" spans="1:2046 2049:3058 3185:4086 4097:4993 5170:5793" x14ac:dyDescent="0.25">
      <c r="A30" s="50">
        <v>99000894</v>
      </c>
      <c r="B30" s="50"/>
      <c r="C30" s="50"/>
      <c r="D30" s="50"/>
      <c r="E30" s="50"/>
      <c r="F30" s="50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51"/>
      <c r="FO30" s="51"/>
      <c r="FP30" s="51"/>
      <c r="FQ30" s="51"/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7"/>
      <c r="GY30" s="7"/>
      <c r="GZ30" s="7"/>
      <c r="HA30" s="7"/>
      <c r="HB30" s="7"/>
      <c r="HC30" s="7"/>
      <c r="HD30" s="7"/>
      <c r="HP30" s="7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>
        <v>14100</v>
      </c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JA30" s="6"/>
      <c r="JB30" s="6"/>
      <c r="JC30" s="6"/>
      <c r="JD30" s="6"/>
      <c r="JE30" s="6"/>
      <c r="JF30" s="6"/>
      <c r="JG30" s="6"/>
      <c r="JH30" s="6"/>
      <c r="JJ30" s="6"/>
      <c r="JK30" s="6"/>
      <c r="JP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>
        <v>30</v>
      </c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S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>
        <v>72</v>
      </c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8"/>
      <c r="TK30" s="8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51"/>
      <c r="AIW30" s="51"/>
      <c r="AIX30" s="57"/>
      <c r="AIY30" s="57"/>
      <c r="AIZ30" s="57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7"/>
      <c r="AKF30" s="7"/>
      <c r="AKG30" s="7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7"/>
      <c r="ALP30" s="7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51"/>
      <c r="ANV30" s="51"/>
      <c r="ANW30" s="51"/>
      <c r="ANX30" s="51"/>
      <c r="ANY30" s="51"/>
      <c r="ANZ30" s="51"/>
      <c r="AOA30" s="51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K30" s="6"/>
      <c r="APP30" s="6"/>
      <c r="APQ30" s="6"/>
      <c r="APR30" s="6"/>
      <c r="APS30" s="6"/>
      <c r="APT30" s="6"/>
      <c r="APU30" s="6"/>
      <c r="APV30" s="6"/>
      <c r="APW30" s="6"/>
      <c r="APX30" s="6"/>
      <c r="APY30" s="6"/>
      <c r="APZ30" s="6"/>
      <c r="AQA30" s="6"/>
      <c r="AQB30" s="6"/>
      <c r="AQC30" s="6"/>
      <c r="AQD30" s="6"/>
      <c r="AQE30" s="6"/>
      <c r="AQF30" s="6"/>
      <c r="AQG30" s="6"/>
      <c r="AQH30" s="6"/>
      <c r="AQI30" s="6"/>
      <c r="AQJ30" s="6"/>
      <c r="AQK30" s="6"/>
      <c r="AQL30" s="6"/>
      <c r="AQM30" s="6"/>
      <c r="AQN30" s="6"/>
      <c r="AQO30" s="6"/>
      <c r="AQP30" s="6"/>
      <c r="AQQ30" s="6"/>
      <c r="AQR30" s="6"/>
      <c r="AQS30" s="6"/>
      <c r="AQT30" s="6"/>
      <c r="AQU30" s="6"/>
      <c r="AQV30" s="6"/>
      <c r="AQW30" s="6"/>
      <c r="ASN30" s="8"/>
      <c r="ASO30" s="8"/>
      <c r="ASP30" s="8"/>
      <c r="ASQ30" s="8"/>
      <c r="ASR30" s="8"/>
      <c r="ASS30" s="8"/>
      <c r="AST30" s="8"/>
      <c r="ASU30" s="8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7"/>
      <c r="AUK30" s="7"/>
      <c r="AUL30" s="7"/>
      <c r="AUM30" s="7"/>
      <c r="AUN30" s="7"/>
      <c r="AUO30" s="6"/>
      <c r="AUP30" s="6"/>
      <c r="AUQ30" s="6"/>
      <c r="AUR30" s="6"/>
      <c r="AUS30" s="6"/>
      <c r="AUT30" s="6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6"/>
      <c r="AWO30" s="6"/>
      <c r="AWP30" s="6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6"/>
      <c r="AYD30" s="6"/>
      <c r="AYE30" s="6"/>
      <c r="AYF30" s="6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J30" s="6"/>
      <c r="BCK30" s="6"/>
      <c r="BCL30" s="6"/>
      <c r="BCM30" s="6"/>
      <c r="BCN30" s="6"/>
      <c r="BCO30" s="6"/>
      <c r="BCP30" s="6"/>
      <c r="BCQ30" s="6"/>
      <c r="BCR30" s="6"/>
      <c r="BCS30" s="6"/>
      <c r="BCT30" s="6"/>
      <c r="BCU30" s="6"/>
      <c r="BCV30" s="6"/>
      <c r="BCW30" s="6"/>
      <c r="BCX30" s="6"/>
      <c r="BCY30" s="6"/>
      <c r="BCZ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ES30" s="6"/>
      <c r="BET30" s="6"/>
      <c r="BEU30" s="6"/>
      <c r="BEV30" s="6"/>
      <c r="BEW30" s="6"/>
      <c r="BEX30" s="6"/>
      <c r="BEY30" s="6"/>
      <c r="BEZ30" s="6"/>
      <c r="BFA30" s="6"/>
      <c r="BFB30" s="6"/>
      <c r="BFC30" s="6"/>
      <c r="BFD30" s="6"/>
      <c r="BFE30" s="6"/>
      <c r="BFF30" s="6"/>
      <c r="BFG30" s="6"/>
      <c r="BFH30" s="6"/>
      <c r="BFI30" s="6"/>
      <c r="BFJ30" s="6"/>
      <c r="BFK30" s="6"/>
      <c r="BPE30">
        <v>58</v>
      </c>
      <c r="BPG30">
        <v>1</v>
      </c>
      <c r="BPH30">
        <v>22.6</v>
      </c>
      <c r="BPJ30">
        <v>1</v>
      </c>
      <c r="BPK30">
        <v>27</v>
      </c>
      <c r="BWM30">
        <v>1</v>
      </c>
      <c r="BWR30">
        <v>1</v>
      </c>
      <c r="BWS30">
        <v>1</v>
      </c>
      <c r="BWV30">
        <v>1</v>
      </c>
      <c r="BZQ30" t="s">
        <v>403</v>
      </c>
      <c r="BZR30" s="2">
        <v>1</v>
      </c>
      <c r="BZU30">
        <v>1</v>
      </c>
      <c r="BZW30">
        <v>1</v>
      </c>
      <c r="BZX30">
        <v>1</v>
      </c>
      <c r="BZY30">
        <v>1</v>
      </c>
      <c r="BZZ30">
        <v>0</v>
      </c>
      <c r="CAA30">
        <v>7</v>
      </c>
      <c r="CIC30" s="2">
        <v>2</v>
      </c>
      <c r="CID30">
        <v>1</v>
      </c>
      <c r="CIE30">
        <v>1</v>
      </c>
      <c r="CIH30">
        <v>2</v>
      </c>
      <c r="CII30">
        <v>2</v>
      </c>
      <c r="CIJ30">
        <v>1</v>
      </c>
      <c r="CIK30">
        <v>0</v>
      </c>
      <c r="CIL30">
        <v>5</v>
      </c>
      <c r="DAY30">
        <v>7.5</v>
      </c>
      <c r="DAZ30">
        <v>1</v>
      </c>
      <c r="DBC30">
        <v>1</v>
      </c>
      <c r="DBD30">
        <v>1</v>
      </c>
      <c r="DBE30">
        <v>2</v>
      </c>
      <c r="DBF30">
        <v>2</v>
      </c>
      <c r="DBG30">
        <v>0</v>
      </c>
      <c r="DBH30">
        <v>4</v>
      </c>
      <c r="DBI30">
        <v>1</v>
      </c>
      <c r="DBJ30">
        <v>1</v>
      </c>
      <c r="DBM30">
        <v>1</v>
      </c>
      <c r="DBN30">
        <v>1</v>
      </c>
      <c r="DBO30">
        <v>3</v>
      </c>
      <c r="DBP30">
        <v>3</v>
      </c>
      <c r="DBQ30">
        <v>0</v>
      </c>
      <c r="DBR30">
        <v>4</v>
      </c>
      <c r="DXQ30" t="s">
        <v>399</v>
      </c>
      <c r="DXR30">
        <v>3</v>
      </c>
      <c r="DXU30">
        <v>1</v>
      </c>
      <c r="DXW30">
        <v>9</v>
      </c>
      <c r="DXX30">
        <v>18</v>
      </c>
      <c r="DXY30">
        <v>10</v>
      </c>
      <c r="DXZ30">
        <v>0</v>
      </c>
      <c r="DYA30">
        <v>5</v>
      </c>
      <c r="EFA30" t="s">
        <v>395</v>
      </c>
      <c r="EFB30">
        <v>1</v>
      </c>
      <c r="EFE30">
        <v>1</v>
      </c>
      <c r="EFG30">
        <v>16</v>
      </c>
      <c r="EFH30">
        <v>18</v>
      </c>
      <c r="EFI30">
        <v>3</v>
      </c>
      <c r="EFJ30">
        <v>999</v>
      </c>
      <c r="EFK30">
        <v>5</v>
      </c>
      <c r="EIP30">
        <v>10</v>
      </c>
      <c r="EIQ30">
        <v>1</v>
      </c>
      <c r="EIR30">
        <v>1</v>
      </c>
      <c r="EIU30">
        <v>2</v>
      </c>
      <c r="EIV30">
        <v>2</v>
      </c>
      <c r="EIW30">
        <v>1</v>
      </c>
      <c r="EIX30">
        <v>0</v>
      </c>
      <c r="EIY30">
        <v>5</v>
      </c>
      <c r="EJJ30">
        <v>250</v>
      </c>
      <c r="EJK30">
        <v>1</v>
      </c>
      <c r="EJN30">
        <v>1</v>
      </c>
      <c r="EJO30">
        <v>22</v>
      </c>
      <c r="EJP30">
        <v>18</v>
      </c>
      <c r="EJQ30">
        <v>0</v>
      </c>
      <c r="EJR30">
        <v>999</v>
      </c>
      <c r="EJS30">
        <v>5</v>
      </c>
      <c r="EMW30" s="2">
        <v>1</v>
      </c>
      <c r="EMX30">
        <v>4</v>
      </c>
      <c r="ENA30">
        <v>1</v>
      </c>
      <c r="ENB30">
        <v>22</v>
      </c>
      <c r="ENC30">
        <v>18</v>
      </c>
      <c r="END30">
        <v>0</v>
      </c>
      <c r="ENE30">
        <v>999</v>
      </c>
      <c r="ENF30">
        <v>5</v>
      </c>
      <c r="EUS30" s="2">
        <v>1</v>
      </c>
      <c r="EUT30">
        <v>1</v>
      </c>
      <c r="EUW30">
        <v>11</v>
      </c>
      <c r="EUX30">
        <v>9</v>
      </c>
      <c r="EUY30">
        <v>0</v>
      </c>
      <c r="EUZ30">
        <v>1</v>
      </c>
      <c r="EVA30">
        <v>5</v>
      </c>
      <c r="FCD30" t="s">
        <v>394</v>
      </c>
      <c r="FCE30">
        <v>1</v>
      </c>
      <c r="FCH30">
        <v>1</v>
      </c>
      <c r="FCI30">
        <v>10</v>
      </c>
      <c r="FCJ30">
        <v>9</v>
      </c>
      <c r="FCK30">
        <v>0</v>
      </c>
      <c r="FCL30">
        <v>0</v>
      </c>
      <c r="FCM30">
        <v>5</v>
      </c>
      <c r="FGA30">
        <v>2</v>
      </c>
      <c r="FGB30">
        <v>1</v>
      </c>
      <c r="FGC30">
        <v>1</v>
      </c>
      <c r="FGF30">
        <v>1</v>
      </c>
      <c r="FGG30">
        <v>2</v>
      </c>
      <c r="FGH30">
        <v>2</v>
      </c>
      <c r="FGI30">
        <v>0</v>
      </c>
      <c r="FGJ30">
        <v>5</v>
      </c>
      <c r="FHF30" t="s">
        <v>393</v>
      </c>
      <c r="FHG30">
        <v>3</v>
      </c>
      <c r="FHJ30">
        <v>1</v>
      </c>
      <c r="FHK30">
        <v>16</v>
      </c>
      <c r="FHL30">
        <v>18</v>
      </c>
      <c r="FHM30">
        <v>3</v>
      </c>
      <c r="FHN30">
        <v>999</v>
      </c>
      <c r="FHO30">
        <v>3</v>
      </c>
      <c r="GFP30">
        <v>2</v>
      </c>
      <c r="GFQ30">
        <v>1</v>
      </c>
      <c r="GFR30">
        <v>1</v>
      </c>
      <c r="GFU30">
        <v>1</v>
      </c>
      <c r="GFV30">
        <v>2</v>
      </c>
      <c r="GFW30">
        <v>2</v>
      </c>
      <c r="GFX30">
        <v>0</v>
      </c>
      <c r="GFY30">
        <v>4</v>
      </c>
      <c r="GSG30">
        <v>1</v>
      </c>
      <c r="GSH30">
        <v>1</v>
      </c>
      <c r="GSI30">
        <v>1</v>
      </c>
      <c r="GSL30">
        <v>1</v>
      </c>
      <c r="GSM30">
        <v>2</v>
      </c>
      <c r="GSN30">
        <v>2</v>
      </c>
      <c r="GSO30" s="2">
        <v>0</v>
      </c>
      <c r="GSP30">
        <v>5</v>
      </c>
      <c r="GWJ30">
        <v>4</v>
      </c>
      <c r="GWL30">
        <v>1</v>
      </c>
      <c r="GWP30">
        <v>2</v>
      </c>
      <c r="GYE30">
        <v>1</v>
      </c>
      <c r="HEJ30">
        <v>1</v>
      </c>
      <c r="HFF30">
        <v>1</v>
      </c>
      <c r="HGH30">
        <v>1</v>
      </c>
      <c r="HHB30">
        <v>1</v>
      </c>
    </row>
    <row r="31" spans="1:2046 2049:3058 3185:4086 4097:4993 5170:5793" x14ac:dyDescent="0.25">
      <c r="A31" s="50">
        <v>99000897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IG31" s="3">
        <v>14800</v>
      </c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>
        <v>37</v>
      </c>
      <c r="TK31">
        <v>284</v>
      </c>
      <c r="XN31">
        <v>9</v>
      </c>
      <c r="AIV31" s="50"/>
      <c r="AIW31" s="50"/>
      <c r="AIX31" s="50"/>
      <c r="AIY31" s="50"/>
      <c r="AIZ31" s="50"/>
      <c r="ANU31" s="50"/>
      <c r="ANV31" s="50"/>
      <c r="ANW31" s="50"/>
      <c r="ANX31" s="50"/>
      <c r="ANY31" s="50"/>
      <c r="ANZ31" s="50"/>
      <c r="AOA31" s="50"/>
      <c r="BPE31">
        <v>36</v>
      </c>
      <c r="BPG31">
        <v>1</v>
      </c>
      <c r="BPJ31">
        <v>1</v>
      </c>
      <c r="BPK31">
        <v>19</v>
      </c>
      <c r="BZQ31" s="2">
        <v>75</v>
      </c>
      <c r="BZR31">
        <v>3</v>
      </c>
      <c r="BZV31">
        <v>1</v>
      </c>
      <c r="BZW31">
        <v>2</v>
      </c>
      <c r="BZX31">
        <v>0</v>
      </c>
      <c r="BZY31">
        <v>0</v>
      </c>
      <c r="BZZ31">
        <v>999</v>
      </c>
      <c r="CAA31">
        <v>5</v>
      </c>
      <c r="CMK31">
        <v>500</v>
      </c>
      <c r="CML31">
        <v>3</v>
      </c>
      <c r="CMO31">
        <v>1</v>
      </c>
      <c r="CMP31" s="35">
        <v>4</v>
      </c>
      <c r="CMQ31">
        <v>2</v>
      </c>
      <c r="CMR31">
        <v>0</v>
      </c>
      <c r="CMS31">
        <v>999</v>
      </c>
      <c r="CMT31">
        <v>4</v>
      </c>
      <c r="GWI31">
        <v>1</v>
      </c>
      <c r="GYE31">
        <v>1</v>
      </c>
      <c r="GZN31">
        <v>1</v>
      </c>
      <c r="HEI31">
        <v>1</v>
      </c>
      <c r="HFF31">
        <v>1</v>
      </c>
      <c r="HGH31">
        <v>1</v>
      </c>
      <c r="HHB31">
        <v>1</v>
      </c>
    </row>
    <row r="32" spans="1:2046 2049:3058 3185:4086 4097:4993 5170:5793" x14ac:dyDescent="0.25">
      <c r="A32" s="50">
        <v>99001245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JS32">
        <v>31</v>
      </c>
      <c r="TN32">
        <v>681</v>
      </c>
      <c r="XO32">
        <v>24.7</v>
      </c>
      <c r="ANU32" s="50"/>
      <c r="ANV32" s="50"/>
      <c r="ANW32" s="50"/>
      <c r="ANX32" s="50"/>
      <c r="ANY32" s="50"/>
      <c r="ANZ32" s="50"/>
      <c r="AOA32" s="50"/>
      <c r="BPE32">
        <v>4</v>
      </c>
      <c r="BPG32">
        <v>1</v>
      </c>
      <c r="BPJ32">
        <v>1</v>
      </c>
      <c r="BPK32">
        <v>8</v>
      </c>
      <c r="BQD32">
        <v>1</v>
      </c>
      <c r="BUS32">
        <v>1</v>
      </c>
      <c r="BZQ32">
        <v>250</v>
      </c>
      <c r="BZR32" s="2">
        <v>2</v>
      </c>
      <c r="BZV32">
        <v>1</v>
      </c>
      <c r="BZW32" s="35">
        <v>3</v>
      </c>
      <c r="BZX32">
        <v>1</v>
      </c>
      <c r="BZY32">
        <v>0</v>
      </c>
      <c r="BZZ32">
        <v>999</v>
      </c>
      <c r="CAA32">
        <v>4</v>
      </c>
      <c r="CMA32">
        <v>75</v>
      </c>
      <c r="CMB32" s="2">
        <v>1</v>
      </c>
      <c r="CME32">
        <v>1</v>
      </c>
      <c r="CMF32" s="15">
        <v>5</v>
      </c>
      <c r="CMG32">
        <v>999</v>
      </c>
      <c r="CMH32">
        <v>0</v>
      </c>
      <c r="CMI32">
        <v>0</v>
      </c>
      <c r="CMJ32">
        <v>3</v>
      </c>
      <c r="EVB32">
        <v>1</v>
      </c>
      <c r="EVC32" s="2">
        <v>1</v>
      </c>
      <c r="EVF32">
        <v>1</v>
      </c>
      <c r="EVG32">
        <v>2</v>
      </c>
      <c r="EVH32">
        <v>1</v>
      </c>
      <c r="EVI32">
        <v>0</v>
      </c>
      <c r="EVJ32">
        <v>0</v>
      </c>
      <c r="EVK32">
        <v>5</v>
      </c>
      <c r="GYE32">
        <v>1</v>
      </c>
      <c r="GYX32">
        <v>1</v>
      </c>
      <c r="HFF32">
        <v>1</v>
      </c>
      <c r="HGH32">
        <v>1</v>
      </c>
      <c r="HGZ32">
        <v>1</v>
      </c>
      <c r="HHB32">
        <v>1</v>
      </c>
      <c r="HHD32">
        <v>1</v>
      </c>
    </row>
    <row r="33" spans="1:2046 2049:3058 3103:3983 4107:5095 5337:5799" x14ac:dyDescent="0.25">
      <c r="A33" s="50">
        <v>99001902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HS33">
        <v>16500</v>
      </c>
      <c r="JS33">
        <v>50</v>
      </c>
      <c r="NH33">
        <v>29</v>
      </c>
      <c r="QV33">
        <v>18</v>
      </c>
      <c r="XO33">
        <v>29</v>
      </c>
      <c r="ANU33" s="50"/>
      <c r="ANV33" s="50"/>
      <c r="ANW33" s="50"/>
      <c r="ANX33" s="50"/>
      <c r="ANY33" s="50"/>
      <c r="ANZ33" s="50"/>
      <c r="AOA33" s="50"/>
      <c r="BPE33">
        <v>1</v>
      </c>
      <c r="BPF33">
        <v>1</v>
      </c>
      <c r="BPJ33">
        <v>1</v>
      </c>
      <c r="BPK33">
        <v>17</v>
      </c>
      <c r="BPP33">
        <v>1</v>
      </c>
      <c r="BUR33">
        <v>1</v>
      </c>
      <c r="BZV33">
        <v>1</v>
      </c>
      <c r="BZW33">
        <v>11</v>
      </c>
      <c r="BZX33">
        <v>15</v>
      </c>
      <c r="BZY33">
        <v>5</v>
      </c>
      <c r="BZZ33">
        <v>0</v>
      </c>
      <c r="CAA33">
        <v>4</v>
      </c>
      <c r="CMO33">
        <v>1</v>
      </c>
      <c r="CMP33">
        <v>8</v>
      </c>
      <c r="CMQ33">
        <v>14</v>
      </c>
      <c r="CMR33">
        <v>7</v>
      </c>
      <c r="CMS33">
        <v>0</v>
      </c>
      <c r="CMT33">
        <v>3</v>
      </c>
      <c r="GYE33">
        <v>1</v>
      </c>
      <c r="GYW33">
        <v>1</v>
      </c>
      <c r="HFF33">
        <v>1</v>
      </c>
      <c r="HGH33">
        <v>1</v>
      </c>
      <c r="HHD33">
        <v>1</v>
      </c>
    </row>
    <row r="34" spans="1:2046 2049:3058 3103:3983 4107:5095 5337:5799" x14ac:dyDescent="0.25">
      <c r="A34" s="50">
        <v>99001912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HS34">
        <v>10900</v>
      </c>
      <c r="JV34">
        <v>51</v>
      </c>
      <c r="NK34">
        <v>147</v>
      </c>
      <c r="QY34">
        <v>139</v>
      </c>
      <c r="TQ34">
        <v>131</v>
      </c>
      <c r="XO34">
        <v>15</v>
      </c>
      <c r="ANU34" s="50"/>
      <c r="ANV34" s="50"/>
      <c r="ANW34" s="50"/>
      <c r="ANX34" s="50"/>
      <c r="ANY34" s="50"/>
      <c r="ANZ34" s="50"/>
      <c r="AOA34" s="50"/>
      <c r="BPE34">
        <v>37</v>
      </c>
      <c r="BPG34">
        <v>1</v>
      </c>
      <c r="BPJ34">
        <v>1</v>
      </c>
      <c r="BPK34">
        <v>35</v>
      </c>
      <c r="BYU34">
        <v>1</v>
      </c>
      <c r="BYY34">
        <v>3</v>
      </c>
      <c r="BYZ34">
        <v>1</v>
      </c>
      <c r="BZA34">
        <v>0</v>
      </c>
      <c r="BZB34">
        <v>999</v>
      </c>
      <c r="BZC34">
        <v>3</v>
      </c>
      <c r="BZW34">
        <v>2</v>
      </c>
      <c r="BZX34">
        <v>3</v>
      </c>
      <c r="BZY34">
        <v>2</v>
      </c>
      <c r="BZZ34">
        <v>0</v>
      </c>
      <c r="CAA34">
        <v>4</v>
      </c>
      <c r="CMP34">
        <v>2</v>
      </c>
      <c r="CMQ34">
        <v>3</v>
      </c>
      <c r="CMR34">
        <v>2</v>
      </c>
      <c r="CMS34">
        <v>0</v>
      </c>
      <c r="CMT34">
        <v>3</v>
      </c>
    </row>
    <row r="35" spans="1:2046 2049:3058 3103:3983 4107:5095 5337:5799" x14ac:dyDescent="0.25">
      <c r="A35" s="50">
        <v>99001913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JS35">
        <v>28</v>
      </c>
      <c r="NH35">
        <v>24</v>
      </c>
      <c r="QV35">
        <v>22</v>
      </c>
      <c r="XO35">
        <v>9</v>
      </c>
      <c r="ALP35" s="50"/>
      <c r="ALQ35" s="50"/>
      <c r="ALR35" s="50"/>
      <c r="ALS35" s="50"/>
      <c r="ALT35" s="50"/>
      <c r="ALU35" s="50"/>
      <c r="ALV35" s="50"/>
      <c r="ANU35" s="50"/>
      <c r="ANV35" s="50"/>
      <c r="ANW35" s="50"/>
      <c r="ANX35" s="50"/>
      <c r="ANY35" s="50"/>
      <c r="ANZ35" s="50"/>
      <c r="AOA35" s="50"/>
      <c r="BPE35">
        <v>20</v>
      </c>
      <c r="BPF35">
        <v>1</v>
      </c>
      <c r="BPH35">
        <v>21</v>
      </c>
      <c r="BPJ35">
        <v>1</v>
      </c>
      <c r="BPK35">
        <v>27</v>
      </c>
      <c r="BPP35">
        <v>1</v>
      </c>
      <c r="BPQ35">
        <v>1</v>
      </c>
      <c r="BPS35">
        <v>1</v>
      </c>
      <c r="BQD35">
        <v>1</v>
      </c>
      <c r="BUY35">
        <v>1</v>
      </c>
      <c r="BZU35">
        <v>1</v>
      </c>
      <c r="BZW35">
        <v>3</v>
      </c>
      <c r="BZX35">
        <v>1</v>
      </c>
      <c r="BZY35">
        <v>0</v>
      </c>
      <c r="BZZ35">
        <v>1</v>
      </c>
      <c r="CAA35">
        <v>5</v>
      </c>
      <c r="CAG35">
        <v>1</v>
      </c>
      <c r="CAH35">
        <v>1</v>
      </c>
      <c r="CAI35">
        <v>7</v>
      </c>
      <c r="CAJ35">
        <v>7</v>
      </c>
      <c r="CAK35">
        <v>0</v>
      </c>
      <c r="CAL35">
        <v>5</v>
      </c>
      <c r="EOY35">
        <v>1</v>
      </c>
      <c r="EOZ35">
        <v>29</v>
      </c>
      <c r="EPA35">
        <v>27</v>
      </c>
      <c r="EPB35">
        <v>0</v>
      </c>
      <c r="EPC35">
        <v>1</v>
      </c>
      <c r="EPD35">
        <v>6</v>
      </c>
      <c r="EUR35">
        <v>200</v>
      </c>
      <c r="EUV35">
        <v>1</v>
      </c>
      <c r="EUW35">
        <v>3</v>
      </c>
      <c r="EUX35">
        <v>1</v>
      </c>
      <c r="EUY35">
        <v>0</v>
      </c>
      <c r="EUZ35">
        <v>1</v>
      </c>
      <c r="EVA35">
        <v>5</v>
      </c>
      <c r="FAY35">
        <v>200</v>
      </c>
      <c r="FBC35">
        <v>1</v>
      </c>
      <c r="FBD35">
        <v>3</v>
      </c>
      <c r="FBE35">
        <v>1</v>
      </c>
      <c r="FBF35">
        <v>0</v>
      </c>
      <c r="FBG35">
        <v>1</v>
      </c>
      <c r="FBH35">
        <v>5</v>
      </c>
      <c r="FSP35">
        <v>1</v>
      </c>
      <c r="FSQ35">
        <v>3</v>
      </c>
      <c r="FSR35">
        <v>1</v>
      </c>
      <c r="FSS35">
        <v>0</v>
      </c>
      <c r="FST35">
        <v>1</v>
      </c>
      <c r="FSU35">
        <v>5</v>
      </c>
      <c r="GYE35">
        <v>1</v>
      </c>
      <c r="GYL35">
        <v>1</v>
      </c>
      <c r="GZN35">
        <v>1</v>
      </c>
      <c r="HFF35">
        <v>1</v>
      </c>
      <c r="HHB35">
        <v>1</v>
      </c>
      <c r="HHD35">
        <v>1</v>
      </c>
    </row>
    <row r="36" spans="1:2046 2049:3058 3103:3983 4107:5095 5337:5799" x14ac:dyDescent="0.25">
      <c r="A36" s="50">
        <v>99001937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JW36">
        <v>21</v>
      </c>
      <c r="NM36">
        <v>48</v>
      </c>
      <c r="RA36">
        <v>53</v>
      </c>
      <c r="TR36">
        <v>226</v>
      </c>
      <c r="ALP36" s="50"/>
      <c r="ALQ36" s="50"/>
      <c r="ALR36" s="50"/>
      <c r="ALS36" s="50"/>
      <c r="ALT36" s="50"/>
      <c r="ALU36" s="50"/>
      <c r="ALV36" s="50"/>
      <c r="ANU36" s="50"/>
      <c r="ANV36" s="50"/>
      <c r="ANW36" s="50"/>
      <c r="ANX36" s="50"/>
      <c r="ANY36" s="50"/>
      <c r="ANZ36" s="50"/>
      <c r="AOA36" s="50"/>
      <c r="BPE36">
        <v>83</v>
      </c>
      <c r="BPF36">
        <v>1</v>
      </c>
      <c r="BPH36">
        <v>26.5</v>
      </c>
      <c r="BPJ36">
        <v>1</v>
      </c>
      <c r="BPK36">
        <v>32</v>
      </c>
      <c r="BPQ36">
        <v>1</v>
      </c>
      <c r="BQD36">
        <v>1</v>
      </c>
      <c r="BQH36">
        <v>1</v>
      </c>
      <c r="BQN36">
        <v>1</v>
      </c>
      <c r="BQZ36">
        <v>1</v>
      </c>
      <c r="BTA36">
        <v>1</v>
      </c>
      <c r="BTU36">
        <v>1</v>
      </c>
      <c r="BTW36">
        <v>1</v>
      </c>
      <c r="BUJ36">
        <v>1</v>
      </c>
      <c r="BUO36">
        <v>1</v>
      </c>
      <c r="BYA36">
        <v>1</v>
      </c>
      <c r="BZQ36">
        <v>500</v>
      </c>
      <c r="BZU36">
        <v>1</v>
      </c>
      <c r="BZW36">
        <v>1</v>
      </c>
      <c r="BZX36">
        <v>21</v>
      </c>
      <c r="BZY36">
        <v>21</v>
      </c>
      <c r="CAA36">
        <v>5</v>
      </c>
      <c r="DPA36">
        <v>1</v>
      </c>
      <c r="DPE36">
        <v>2</v>
      </c>
      <c r="DPF36">
        <v>18</v>
      </c>
      <c r="DPG36">
        <v>17</v>
      </c>
      <c r="DPH36" s="2">
        <v>0</v>
      </c>
      <c r="DPI36">
        <v>5</v>
      </c>
      <c r="DPJ36">
        <v>600</v>
      </c>
      <c r="DPK36">
        <v>1</v>
      </c>
      <c r="DPN36">
        <v>1</v>
      </c>
      <c r="DPO36" s="15">
        <v>23</v>
      </c>
      <c r="DPP36">
        <v>999</v>
      </c>
      <c r="DPQ36">
        <v>6</v>
      </c>
      <c r="DPS36">
        <v>6</v>
      </c>
      <c r="DQZ36">
        <v>1</v>
      </c>
      <c r="DRC36">
        <v>1</v>
      </c>
      <c r="DRD36" s="36">
        <v>29</v>
      </c>
      <c r="DRE36">
        <v>28</v>
      </c>
      <c r="DRF36">
        <v>0</v>
      </c>
      <c r="DRG36">
        <v>999</v>
      </c>
      <c r="DRH36">
        <v>6</v>
      </c>
      <c r="EEP36">
        <v>500</v>
      </c>
      <c r="EER36">
        <v>1</v>
      </c>
      <c r="EEU36">
        <v>2</v>
      </c>
      <c r="EEV36">
        <v>5</v>
      </c>
      <c r="EEW36">
        <v>0</v>
      </c>
      <c r="EEY36">
        <v>5</v>
      </c>
      <c r="EHF36">
        <v>1</v>
      </c>
      <c r="EHG36">
        <v>1</v>
      </c>
      <c r="EHH36">
        <v>28</v>
      </c>
      <c r="EHI36">
        <v>28</v>
      </c>
      <c r="EHK36">
        <v>6</v>
      </c>
      <c r="EJN36">
        <v>1</v>
      </c>
      <c r="EJO36">
        <v>1</v>
      </c>
      <c r="EJP36">
        <v>20</v>
      </c>
      <c r="EJQ36">
        <v>20</v>
      </c>
      <c r="EJR36" s="2">
        <v>0</v>
      </c>
      <c r="EJS36">
        <v>5</v>
      </c>
      <c r="EKX36">
        <v>1</v>
      </c>
      <c r="EKY36">
        <v>2</v>
      </c>
      <c r="ELB36">
        <v>1</v>
      </c>
      <c r="ELC36">
        <v>15</v>
      </c>
      <c r="ELD36">
        <v>20</v>
      </c>
      <c r="ELE36">
        <v>6</v>
      </c>
      <c r="ELG36">
        <v>5</v>
      </c>
      <c r="ELH36">
        <v>1</v>
      </c>
      <c r="ELI36">
        <v>3</v>
      </c>
      <c r="ELL36">
        <v>1</v>
      </c>
      <c r="ELM36">
        <v>14</v>
      </c>
      <c r="ELN36">
        <v>19</v>
      </c>
      <c r="ELO36">
        <v>6</v>
      </c>
      <c r="ELQ36">
        <v>5</v>
      </c>
      <c r="ELW36">
        <v>16</v>
      </c>
      <c r="ELX36">
        <v>21</v>
      </c>
      <c r="ELY36">
        <v>6</v>
      </c>
      <c r="EMA36">
        <v>6</v>
      </c>
      <c r="ENQ36">
        <v>1</v>
      </c>
      <c r="ENR36">
        <v>3</v>
      </c>
      <c r="ENU36">
        <v>1</v>
      </c>
      <c r="ENV36">
        <v>12</v>
      </c>
      <c r="ENW36">
        <v>17</v>
      </c>
      <c r="ENX36">
        <v>6</v>
      </c>
      <c r="ENZ36">
        <v>4</v>
      </c>
      <c r="EOE36">
        <v>1</v>
      </c>
      <c r="EOF36">
        <v>9</v>
      </c>
      <c r="EOG36">
        <v>16</v>
      </c>
      <c r="EOH36">
        <v>6</v>
      </c>
      <c r="EOI36" s="2">
        <v>0</v>
      </c>
      <c r="EOJ36">
        <v>5</v>
      </c>
      <c r="ERT36">
        <v>1</v>
      </c>
      <c r="ERU36">
        <v>8</v>
      </c>
      <c r="ERV36">
        <v>19</v>
      </c>
      <c r="ERW36">
        <v>6</v>
      </c>
      <c r="ERX36" s="2">
        <v>0</v>
      </c>
      <c r="ERY36">
        <v>4</v>
      </c>
      <c r="FTA36" s="15">
        <v>21</v>
      </c>
      <c r="FTB36">
        <v>999</v>
      </c>
      <c r="FTC36">
        <v>3</v>
      </c>
      <c r="FTE36">
        <v>6</v>
      </c>
      <c r="FUJ36" s="39" t="s">
        <v>420</v>
      </c>
      <c r="FUL36">
        <v>1</v>
      </c>
      <c r="FUM36" s="15">
        <v>21</v>
      </c>
      <c r="FUN36">
        <v>999</v>
      </c>
      <c r="FUO36">
        <v>3</v>
      </c>
      <c r="FUQ36">
        <v>6</v>
      </c>
      <c r="FUR36">
        <v>5</v>
      </c>
      <c r="FUS36">
        <v>1</v>
      </c>
      <c r="FUV36">
        <v>1</v>
      </c>
      <c r="FUW36" s="35">
        <v>14</v>
      </c>
      <c r="FUX36">
        <v>27</v>
      </c>
      <c r="FUY36">
        <v>0</v>
      </c>
      <c r="FVA36">
        <v>6</v>
      </c>
      <c r="HFF36">
        <v>1</v>
      </c>
      <c r="HGH36">
        <v>1</v>
      </c>
      <c r="HHB36">
        <v>1</v>
      </c>
    </row>
    <row r="37" spans="1:2046 2049:3058 3103:3983 4107:5095 5337:5799" x14ac:dyDescent="0.25">
      <c r="A37" s="50">
        <v>99001943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HL37">
        <v>12700</v>
      </c>
      <c r="HS37">
        <v>12700</v>
      </c>
      <c r="KG37">
        <v>21</v>
      </c>
      <c r="NV37">
        <v>27</v>
      </c>
      <c r="RJ37">
        <v>162</v>
      </c>
      <c r="XK37">
        <v>9</v>
      </c>
      <c r="XO37">
        <v>9</v>
      </c>
      <c r="ALP37" s="50"/>
      <c r="ALQ37" s="50"/>
      <c r="ALR37" s="50"/>
      <c r="ALS37" s="50"/>
      <c r="ALT37" s="50"/>
      <c r="ALU37" s="50"/>
      <c r="ALV37" s="50"/>
      <c r="ANU37" s="50"/>
      <c r="ANV37" s="50"/>
      <c r="ANW37" s="50"/>
      <c r="ANX37" s="50"/>
      <c r="ANY37" s="50"/>
      <c r="ANZ37" s="50"/>
      <c r="AOA37" s="50"/>
      <c r="BPE37">
        <v>53</v>
      </c>
      <c r="BPG37">
        <v>1</v>
      </c>
      <c r="BPH37">
        <v>19.600000000000001</v>
      </c>
      <c r="BPJ37">
        <v>1</v>
      </c>
      <c r="BPK37">
        <v>35</v>
      </c>
      <c r="BSM37">
        <v>1</v>
      </c>
      <c r="BWV37">
        <v>1</v>
      </c>
      <c r="BZV37">
        <v>1</v>
      </c>
      <c r="BZW37">
        <v>2</v>
      </c>
      <c r="BZX37">
        <v>4</v>
      </c>
      <c r="BZY37">
        <v>3</v>
      </c>
      <c r="BZZ37">
        <v>0</v>
      </c>
      <c r="CAA37">
        <v>4</v>
      </c>
      <c r="CFA37">
        <v>1</v>
      </c>
      <c r="CFE37">
        <v>1</v>
      </c>
      <c r="CFF37">
        <v>22</v>
      </c>
      <c r="CFG37">
        <v>21</v>
      </c>
      <c r="CFI37">
        <v>7</v>
      </c>
      <c r="CIO37">
        <v>1</v>
      </c>
      <c r="CIS37">
        <v>1</v>
      </c>
      <c r="CIT37">
        <v>22</v>
      </c>
      <c r="CIU37">
        <v>22</v>
      </c>
      <c r="CIV37">
        <v>0</v>
      </c>
      <c r="CIW37">
        <v>7</v>
      </c>
      <c r="CJT37">
        <v>1</v>
      </c>
      <c r="CJW37">
        <v>1</v>
      </c>
      <c r="CJX37">
        <v>22</v>
      </c>
      <c r="CJY37">
        <v>22</v>
      </c>
      <c r="CJZ37">
        <v>0</v>
      </c>
      <c r="CKA37">
        <v>7</v>
      </c>
      <c r="DBA37">
        <v>1</v>
      </c>
      <c r="DBD37">
        <v>2</v>
      </c>
      <c r="DBE37">
        <v>22</v>
      </c>
      <c r="DBF37">
        <v>22</v>
      </c>
      <c r="DBG37">
        <v>0</v>
      </c>
      <c r="DBH37">
        <v>7</v>
      </c>
      <c r="DBU37">
        <v>1</v>
      </c>
      <c r="DBX37">
        <v>1</v>
      </c>
      <c r="DBY37">
        <v>21</v>
      </c>
      <c r="DBZ37">
        <v>21</v>
      </c>
      <c r="DCA37">
        <v>0</v>
      </c>
      <c r="DCB37">
        <v>7</v>
      </c>
      <c r="DPD37">
        <v>1</v>
      </c>
      <c r="DPE37">
        <v>1</v>
      </c>
      <c r="DPF37">
        <v>22</v>
      </c>
      <c r="DPG37">
        <v>22</v>
      </c>
      <c r="DPH37">
        <v>0</v>
      </c>
      <c r="DPI37">
        <v>7</v>
      </c>
      <c r="DPV37">
        <v>1</v>
      </c>
      <c r="DPY37">
        <v>2</v>
      </c>
      <c r="DPZ37">
        <v>22</v>
      </c>
      <c r="DQA37">
        <v>22</v>
      </c>
      <c r="DQB37">
        <v>0</v>
      </c>
      <c r="DQC37">
        <v>7</v>
      </c>
      <c r="DQF37">
        <v>1</v>
      </c>
      <c r="DQI37">
        <v>1</v>
      </c>
      <c r="DQJ37">
        <v>22</v>
      </c>
      <c r="DQK37">
        <v>22</v>
      </c>
      <c r="DQL37">
        <v>0</v>
      </c>
      <c r="DQM37">
        <v>7</v>
      </c>
      <c r="DVG37">
        <v>0.25</v>
      </c>
      <c r="DVH37">
        <v>1</v>
      </c>
      <c r="DVK37">
        <v>1</v>
      </c>
      <c r="DVL37" s="15">
        <v>12</v>
      </c>
      <c r="DVM37">
        <v>999</v>
      </c>
      <c r="DVN37">
        <v>5</v>
      </c>
      <c r="DVO37">
        <v>0</v>
      </c>
      <c r="DVP37">
        <v>6</v>
      </c>
      <c r="DWB37">
        <v>10</v>
      </c>
      <c r="DWF37">
        <v>1</v>
      </c>
      <c r="DWG37">
        <v>5</v>
      </c>
      <c r="DWH37">
        <v>24</v>
      </c>
      <c r="DWI37">
        <v>20</v>
      </c>
      <c r="DWJ37">
        <v>0</v>
      </c>
      <c r="DWK37">
        <v>6</v>
      </c>
      <c r="EFC37">
        <v>1</v>
      </c>
      <c r="EFG37">
        <v>3</v>
      </c>
      <c r="EFH37">
        <v>22</v>
      </c>
      <c r="EFI37">
        <v>20</v>
      </c>
      <c r="EFJ37">
        <v>0</v>
      </c>
      <c r="EFK37">
        <v>6</v>
      </c>
      <c r="EIR37">
        <v>1</v>
      </c>
      <c r="EIU37">
        <v>3</v>
      </c>
      <c r="EIV37">
        <v>22</v>
      </c>
      <c r="EIW37">
        <v>20</v>
      </c>
      <c r="EIX37">
        <v>0</v>
      </c>
      <c r="EIY37">
        <v>6</v>
      </c>
      <c r="FAZ37">
        <v>2</v>
      </c>
      <c r="FBD37">
        <v>4</v>
      </c>
      <c r="FBE37">
        <v>3</v>
      </c>
      <c r="FBF37">
        <v>0</v>
      </c>
      <c r="FBG37">
        <v>0</v>
      </c>
      <c r="FBH37">
        <v>4</v>
      </c>
      <c r="FCF37">
        <v>1</v>
      </c>
      <c r="FCI37">
        <v>3</v>
      </c>
      <c r="FCJ37">
        <v>22</v>
      </c>
      <c r="FCK37">
        <v>20</v>
      </c>
      <c r="FCL37">
        <v>0</v>
      </c>
      <c r="FCM37">
        <v>6</v>
      </c>
      <c r="FHH37">
        <v>1</v>
      </c>
      <c r="FHJ37">
        <v>1</v>
      </c>
      <c r="FHK37" s="35">
        <v>22</v>
      </c>
      <c r="FHL37">
        <v>19</v>
      </c>
      <c r="FHM37">
        <v>0</v>
      </c>
      <c r="FHN37">
        <v>999</v>
      </c>
      <c r="FHO37">
        <v>3</v>
      </c>
      <c r="FYC37" t="s">
        <v>435</v>
      </c>
      <c r="FYD37">
        <v>2</v>
      </c>
      <c r="FYG37">
        <v>1</v>
      </c>
      <c r="FYH37">
        <v>4</v>
      </c>
      <c r="FYI37">
        <v>4</v>
      </c>
      <c r="FYJ37">
        <v>0</v>
      </c>
      <c r="FYK37">
        <v>0</v>
      </c>
      <c r="FYL37">
        <v>7</v>
      </c>
      <c r="FYW37" t="s">
        <v>438</v>
      </c>
      <c r="FYX37">
        <v>1</v>
      </c>
      <c r="FZA37">
        <v>1</v>
      </c>
      <c r="FZB37" s="36">
        <v>27</v>
      </c>
      <c r="FZC37">
        <v>999</v>
      </c>
      <c r="FZD37">
        <v>0</v>
      </c>
      <c r="FZE37">
        <v>999</v>
      </c>
      <c r="FZF37">
        <v>6</v>
      </c>
      <c r="GWI37">
        <v>1</v>
      </c>
      <c r="GWJ37">
        <v>2</v>
      </c>
      <c r="GWP37">
        <v>4</v>
      </c>
      <c r="GYE37">
        <v>1</v>
      </c>
      <c r="HFF37">
        <v>1</v>
      </c>
      <c r="HHB37">
        <v>1</v>
      </c>
      <c r="HHD37">
        <v>1</v>
      </c>
    </row>
    <row r="38" spans="1:2046 2049:3058 3103:3983 4107:5095 5337:5799" x14ac:dyDescent="0.25">
      <c r="A38" s="50">
        <v>99001927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HP38">
        <v>10100</v>
      </c>
      <c r="JP38">
        <v>1425</v>
      </c>
      <c r="NE38">
        <v>2880</v>
      </c>
      <c r="QS38">
        <v>167</v>
      </c>
      <c r="TK38">
        <v>2013</v>
      </c>
      <c r="ALP38" s="50"/>
      <c r="ALQ38" s="50"/>
      <c r="ALR38" s="50"/>
      <c r="ALS38" s="50"/>
      <c r="ALT38" s="50"/>
      <c r="ALU38" s="50"/>
      <c r="ALV38" s="50"/>
      <c r="ANU38" s="50"/>
      <c r="ANV38" s="50"/>
      <c r="ANW38" s="50"/>
      <c r="ANX38" s="50"/>
      <c r="ANY38" s="50"/>
      <c r="ANZ38" s="50"/>
      <c r="AOA38" s="50"/>
      <c r="BPE38">
        <v>50</v>
      </c>
      <c r="BPG38">
        <v>1</v>
      </c>
      <c r="BPH38">
        <v>26.7</v>
      </c>
      <c r="BPJ38">
        <v>1</v>
      </c>
      <c r="BPK38">
        <v>47</v>
      </c>
      <c r="BPL38">
        <v>1</v>
      </c>
      <c r="BPQ38">
        <v>1</v>
      </c>
      <c r="BPT38">
        <v>1</v>
      </c>
      <c r="BQD38">
        <v>1</v>
      </c>
      <c r="BRA38">
        <v>1</v>
      </c>
      <c r="BRX38">
        <v>1</v>
      </c>
      <c r="BUS38">
        <v>1</v>
      </c>
      <c r="BZR38">
        <v>3</v>
      </c>
      <c r="BZU38">
        <v>1</v>
      </c>
      <c r="BZW38">
        <v>3</v>
      </c>
      <c r="BZX38">
        <v>0</v>
      </c>
      <c r="BZY38">
        <v>0</v>
      </c>
      <c r="BZZ38">
        <v>2</v>
      </c>
      <c r="CAA38">
        <v>4</v>
      </c>
      <c r="CRV38">
        <v>150</v>
      </c>
      <c r="CRW38">
        <v>2</v>
      </c>
      <c r="CRZ38">
        <v>1</v>
      </c>
      <c r="CSA38">
        <v>2</v>
      </c>
      <c r="CSB38">
        <v>1</v>
      </c>
      <c r="CSC38">
        <v>0</v>
      </c>
      <c r="CSD38">
        <v>0</v>
      </c>
      <c r="CSE38">
        <v>5</v>
      </c>
      <c r="CSQ38">
        <v>2</v>
      </c>
      <c r="CST38">
        <v>1</v>
      </c>
      <c r="CSU38">
        <v>3</v>
      </c>
      <c r="CSV38">
        <v>0</v>
      </c>
      <c r="CSW38">
        <v>0</v>
      </c>
      <c r="CSX38">
        <v>2</v>
      </c>
      <c r="CSY38">
        <v>4</v>
      </c>
      <c r="EUR38">
        <v>200</v>
      </c>
      <c r="EUS38">
        <v>3</v>
      </c>
      <c r="EUV38">
        <v>1</v>
      </c>
      <c r="EUW38">
        <v>4</v>
      </c>
      <c r="EUX38">
        <v>1</v>
      </c>
      <c r="EUY38">
        <v>0</v>
      </c>
      <c r="EUZ38" s="2">
        <v>2</v>
      </c>
      <c r="EVA38">
        <v>5</v>
      </c>
      <c r="EVL38">
        <v>15</v>
      </c>
      <c r="EVM38">
        <v>3</v>
      </c>
      <c r="EVP38">
        <v>1</v>
      </c>
      <c r="EVQ38">
        <v>2</v>
      </c>
      <c r="EVR38">
        <v>1</v>
      </c>
      <c r="EVS38">
        <v>0</v>
      </c>
      <c r="EVT38">
        <v>0</v>
      </c>
      <c r="EVU38">
        <v>5</v>
      </c>
      <c r="GYE38">
        <v>1</v>
      </c>
      <c r="GYX38">
        <v>1</v>
      </c>
      <c r="HFF38">
        <v>1</v>
      </c>
      <c r="HGH38">
        <v>1</v>
      </c>
      <c r="HGQ38">
        <v>1</v>
      </c>
      <c r="HHB38">
        <v>1</v>
      </c>
      <c r="HHD38">
        <v>1</v>
      </c>
    </row>
    <row r="39" spans="1:2046 2049:3058 3103:3983 4107:5095 5337:5799" x14ac:dyDescent="0.25">
      <c r="A39" s="50">
        <v>1505</v>
      </c>
      <c r="B39" s="50"/>
      <c r="C39" s="50"/>
      <c r="D39" s="50"/>
      <c r="E39" s="50"/>
      <c r="F39" s="50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51"/>
      <c r="FO39" s="51"/>
      <c r="FP39" s="51"/>
      <c r="FQ39" s="51"/>
      <c r="FR39" s="51"/>
      <c r="FS39" s="51"/>
      <c r="FT39" s="51"/>
      <c r="FU39" s="51"/>
      <c r="FV39" s="51"/>
      <c r="FW39" s="51"/>
      <c r="FX39" s="51"/>
      <c r="FY39" s="51"/>
      <c r="FZ39" s="51"/>
      <c r="GA39" s="51"/>
      <c r="GB39" s="51"/>
      <c r="GC39" s="51"/>
      <c r="GD39" s="51"/>
      <c r="GE39" s="51"/>
      <c r="GF39" s="51"/>
      <c r="GG39" s="51"/>
      <c r="GH39" s="51"/>
      <c r="GI39" s="51"/>
      <c r="GJ39" s="51"/>
      <c r="GK39" s="51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6"/>
      <c r="HR39" s="6"/>
      <c r="HS39" s="6"/>
      <c r="HT39" s="6"/>
      <c r="HU39" s="6"/>
      <c r="HV39">
        <v>12000</v>
      </c>
      <c r="HW39" s="6"/>
      <c r="HX39" s="6"/>
      <c r="HY39" s="6"/>
      <c r="IA39">
        <v>20000</v>
      </c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>
        <v>28</v>
      </c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>
        <v>32</v>
      </c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6"/>
      <c r="TN39" s="6"/>
      <c r="TO39" s="6"/>
      <c r="TP39" s="6"/>
      <c r="TQ39" s="6"/>
      <c r="TR39">
        <v>249</v>
      </c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>
        <v>9.9</v>
      </c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7"/>
      <c r="AIY39" s="7"/>
      <c r="AIZ39" s="7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7"/>
      <c r="AKF39" s="7"/>
      <c r="AKG39" s="7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7"/>
      <c r="ALP39" s="57"/>
      <c r="ALQ39" s="51"/>
      <c r="ALR39" s="51"/>
      <c r="ALS39" s="51"/>
      <c r="ALT39" s="51"/>
      <c r="ALU39" s="51"/>
      <c r="ALV39" s="51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51"/>
      <c r="ANV39" s="51"/>
      <c r="ANW39" s="51"/>
      <c r="ANX39" s="51"/>
      <c r="ANY39" s="51"/>
      <c r="ANZ39" s="51"/>
      <c r="AOA39" s="51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QF39" s="6"/>
      <c r="AQG39" s="6"/>
      <c r="AQH39" s="6"/>
      <c r="AQI39" s="6"/>
      <c r="AQJ39" s="6"/>
      <c r="AQK39" s="6"/>
      <c r="AQL39" s="6"/>
      <c r="AQM39" s="6"/>
      <c r="AQN39" s="6"/>
      <c r="AQO39" s="6"/>
      <c r="AQP39" s="6"/>
      <c r="AQQ39" s="6"/>
      <c r="AQR39" s="6"/>
      <c r="AQS39" s="6"/>
      <c r="AQT39" s="6"/>
      <c r="AQU39" s="6"/>
      <c r="AQV39" s="6"/>
      <c r="AQW39" s="6"/>
      <c r="ARI39" s="50"/>
      <c r="ARJ39" s="50"/>
      <c r="ARK39" s="50"/>
      <c r="ARL39" s="50"/>
      <c r="ARM39" s="50"/>
      <c r="ARN39" s="50"/>
      <c r="ARO39" s="50"/>
      <c r="ARP39" s="50"/>
      <c r="ARQ39" s="50"/>
      <c r="ARR39" s="50"/>
      <c r="ARS39" s="50"/>
      <c r="ART39" s="50"/>
      <c r="ASN39" s="8"/>
      <c r="ASO39" s="8"/>
      <c r="ASP39" s="8"/>
      <c r="ASQ39" s="8"/>
      <c r="ASR39" s="8"/>
      <c r="ASS39" s="8"/>
      <c r="AST39" s="8"/>
      <c r="ASU39" s="8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7"/>
      <c r="AUK39" s="7"/>
      <c r="AUL39" s="7"/>
      <c r="AUM39" s="7"/>
      <c r="AUN39" s="7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EZ39" s="6"/>
      <c r="BFA39" s="6"/>
      <c r="BFB39" s="6"/>
      <c r="BFC39" s="6"/>
      <c r="BFD39" s="6"/>
      <c r="BFE39" s="6"/>
      <c r="BFF39" s="6"/>
      <c r="BFG39" s="6"/>
      <c r="BFH39" s="6"/>
      <c r="BFI39" s="6"/>
      <c r="BFJ39" s="6"/>
      <c r="BFK39" s="6"/>
      <c r="BFL39">
        <v>1</v>
      </c>
      <c r="BPE39">
        <v>15</v>
      </c>
      <c r="BPF39">
        <v>1</v>
      </c>
      <c r="BPH39">
        <v>26.1</v>
      </c>
      <c r="BPK39">
        <v>22</v>
      </c>
      <c r="BPP39">
        <v>1</v>
      </c>
      <c r="BPQ39">
        <v>1</v>
      </c>
      <c r="BZQ39">
        <v>500</v>
      </c>
      <c r="BZR39">
        <v>3</v>
      </c>
      <c r="BZU39">
        <v>1</v>
      </c>
      <c r="BZW39">
        <v>6</v>
      </c>
      <c r="BZX39">
        <v>1</v>
      </c>
      <c r="BZY39">
        <v>0</v>
      </c>
      <c r="BZZ39">
        <v>4</v>
      </c>
      <c r="CAA39">
        <v>5</v>
      </c>
      <c r="EUR39">
        <v>200</v>
      </c>
      <c r="EUS39">
        <v>1</v>
      </c>
      <c r="EUV39">
        <v>1</v>
      </c>
      <c r="EUW39">
        <v>1</v>
      </c>
      <c r="EUX39">
        <v>2</v>
      </c>
      <c r="EUY39">
        <v>2</v>
      </c>
      <c r="EUZ39">
        <v>0</v>
      </c>
      <c r="EVA39">
        <v>5</v>
      </c>
      <c r="FBK39">
        <v>3</v>
      </c>
      <c r="FBN39">
        <v>1</v>
      </c>
      <c r="FBO39">
        <v>6</v>
      </c>
      <c r="FBP39">
        <v>1</v>
      </c>
      <c r="FBQ39">
        <v>0</v>
      </c>
      <c r="FBR39">
        <v>4</v>
      </c>
      <c r="FBS39">
        <v>5</v>
      </c>
      <c r="FCD39">
        <v>10</v>
      </c>
      <c r="FCE39">
        <v>3</v>
      </c>
      <c r="FCH39">
        <v>1</v>
      </c>
      <c r="FCI39">
        <v>6</v>
      </c>
      <c r="FCJ39">
        <v>1</v>
      </c>
      <c r="FCK39">
        <v>0</v>
      </c>
      <c r="FCL39">
        <v>4</v>
      </c>
      <c r="FCM39">
        <v>5</v>
      </c>
      <c r="GYK39">
        <v>1</v>
      </c>
      <c r="HGH39">
        <v>1</v>
      </c>
      <c r="HHB39">
        <v>1</v>
      </c>
      <c r="HIB39">
        <v>1</v>
      </c>
      <c r="HJA39">
        <v>1</v>
      </c>
    </row>
    <row r="40" spans="1:2046 2049:3058 3103:3983 4107:5095 5337:5799" x14ac:dyDescent="0.25">
      <c r="A40" s="50">
        <v>1000197</v>
      </c>
      <c r="B40" s="50"/>
      <c r="C40" s="50"/>
      <c r="D40" s="50"/>
      <c r="E40" s="50"/>
      <c r="F40" s="50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51"/>
      <c r="FO40" s="51"/>
      <c r="FP40" s="51"/>
      <c r="FQ40" s="51"/>
      <c r="FR40" s="51"/>
      <c r="FS40" s="51"/>
      <c r="FT40" s="51"/>
      <c r="FU40" s="51"/>
      <c r="FV40" s="51"/>
      <c r="FW40" s="51"/>
      <c r="FX40" s="51"/>
      <c r="FY40" s="51"/>
      <c r="FZ40" s="51"/>
      <c r="GA40" s="51"/>
      <c r="GB40" s="51"/>
      <c r="GC40" s="51"/>
      <c r="GD40" s="51"/>
      <c r="GE40" s="51"/>
      <c r="GF40" s="51"/>
      <c r="GG40" s="51"/>
      <c r="GH40" s="51"/>
      <c r="GI40" s="51"/>
      <c r="GJ40" s="51"/>
      <c r="GK40" s="51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6"/>
      <c r="HR40" s="6"/>
      <c r="HT40" s="6"/>
      <c r="HU40" s="6"/>
      <c r="HV40">
        <v>8900</v>
      </c>
      <c r="HW40">
        <v>10600</v>
      </c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W40" s="6"/>
      <c r="JX40" s="6"/>
      <c r="JY40">
        <v>25</v>
      </c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L40">
        <v>64</v>
      </c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RA40" s="6"/>
      <c r="RB40">
        <v>51</v>
      </c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6"/>
      <c r="TN40" s="6"/>
      <c r="TO40" s="6"/>
      <c r="TP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Q40" s="27">
        <v>50</v>
      </c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7"/>
      <c r="AIY40" s="7"/>
      <c r="AIZ40" s="7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7"/>
      <c r="AKF40" s="7"/>
      <c r="AKG40" s="7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7"/>
      <c r="ALP40" s="57"/>
      <c r="ALQ40" s="51"/>
      <c r="ALR40" s="51"/>
      <c r="ALS40" s="51"/>
      <c r="ALT40" s="51"/>
      <c r="ALU40" s="51"/>
      <c r="ALV40" s="51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51"/>
      <c r="ANV40" s="51"/>
      <c r="ANW40" s="51"/>
      <c r="ANX40" s="51"/>
      <c r="ANY40" s="51"/>
      <c r="ANZ40" s="51"/>
      <c r="AOA40" s="51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6"/>
      <c r="AQL40" s="6"/>
      <c r="AQM40" s="6"/>
      <c r="AQN40" s="6"/>
      <c r="AQO40" s="6"/>
      <c r="AQP40" s="6"/>
      <c r="AQQ40" s="6"/>
      <c r="AQR40" s="6"/>
      <c r="AQS40" s="6"/>
      <c r="AQT40" s="6"/>
      <c r="AQU40" s="6"/>
      <c r="AQV40" s="6"/>
      <c r="AQW40" s="6"/>
      <c r="ARI40" s="50"/>
      <c r="ARJ40" s="50"/>
      <c r="ARK40" s="50"/>
      <c r="ARL40" s="50"/>
      <c r="ARM40" s="50"/>
      <c r="ARN40" s="50"/>
      <c r="ARO40" s="50"/>
      <c r="ARP40" s="50"/>
      <c r="ARQ40" s="50"/>
      <c r="ARR40" s="50"/>
      <c r="ARS40" s="50"/>
      <c r="ART40" s="50"/>
      <c r="ASN40" s="8"/>
      <c r="ASO40" s="8"/>
      <c r="ASP40" s="8"/>
      <c r="ASQ40" s="8"/>
      <c r="ASR40" s="8"/>
      <c r="ASS40" s="8"/>
      <c r="AST40" s="8"/>
      <c r="ASU40" s="8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7"/>
      <c r="AUK40" s="7"/>
      <c r="AUL40" s="7"/>
      <c r="AUM40" s="7"/>
      <c r="AUN40" s="7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PE40">
        <v>53</v>
      </c>
      <c r="BPG40">
        <v>1</v>
      </c>
      <c r="BPH40">
        <v>31.2</v>
      </c>
      <c r="BPI40">
        <v>1</v>
      </c>
      <c r="BPK40">
        <v>17</v>
      </c>
      <c r="BPP40">
        <v>1</v>
      </c>
      <c r="BTZ40">
        <v>1</v>
      </c>
      <c r="BUD40">
        <v>1</v>
      </c>
      <c r="BUR40">
        <v>1</v>
      </c>
      <c r="BZR40">
        <v>5</v>
      </c>
      <c r="BZU40">
        <v>1</v>
      </c>
      <c r="BZW40">
        <v>2</v>
      </c>
      <c r="BZX40">
        <v>5</v>
      </c>
      <c r="BZY40">
        <v>4</v>
      </c>
      <c r="BZZ40">
        <v>0</v>
      </c>
      <c r="CAA40">
        <v>4</v>
      </c>
      <c r="CAC40" s="50">
        <v>100</v>
      </c>
      <c r="CAD40">
        <v>1</v>
      </c>
      <c r="CAG40">
        <v>1</v>
      </c>
      <c r="CAH40" s="15">
        <v>19</v>
      </c>
      <c r="CAI40">
        <v>999</v>
      </c>
      <c r="CAJ40">
        <v>9</v>
      </c>
      <c r="CAK40">
        <v>0</v>
      </c>
      <c r="CAL40">
        <v>5</v>
      </c>
      <c r="CMM40">
        <v>1</v>
      </c>
      <c r="CMP40">
        <v>1</v>
      </c>
      <c r="CMQ40">
        <v>3</v>
      </c>
      <c r="CMR40">
        <v>3</v>
      </c>
      <c r="CMS40">
        <v>0</v>
      </c>
      <c r="CMT40">
        <v>3</v>
      </c>
      <c r="DLW40">
        <v>40</v>
      </c>
      <c r="DLX40">
        <v>1</v>
      </c>
      <c r="DMA40">
        <v>1</v>
      </c>
      <c r="DMB40" s="36">
        <v>29</v>
      </c>
      <c r="DMC40">
        <v>999</v>
      </c>
      <c r="DMD40">
        <v>0</v>
      </c>
      <c r="DME40">
        <v>999</v>
      </c>
      <c r="DMF40">
        <v>6</v>
      </c>
      <c r="DOJ40" s="36"/>
      <c r="EVW40">
        <v>5</v>
      </c>
      <c r="EVZ40">
        <v>1</v>
      </c>
      <c r="EWA40">
        <v>1</v>
      </c>
      <c r="EWB40">
        <v>4</v>
      </c>
      <c r="EWC40">
        <v>4</v>
      </c>
      <c r="EWD40">
        <v>0</v>
      </c>
      <c r="EWE40">
        <v>4</v>
      </c>
      <c r="FYW40">
        <v>100</v>
      </c>
      <c r="FYX40">
        <v>1</v>
      </c>
      <c r="FZA40">
        <v>1</v>
      </c>
      <c r="FZB40">
        <v>29</v>
      </c>
      <c r="FZC40">
        <v>999</v>
      </c>
      <c r="FZD40">
        <v>0</v>
      </c>
      <c r="FZE40">
        <v>999</v>
      </c>
      <c r="FZF40">
        <v>6</v>
      </c>
      <c r="GCU40">
        <v>1</v>
      </c>
      <c r="GCX40">
        <v>1</v>
      </c>
      <c r="GCZ40">
        <v>29</v>
      </c>
      <c r="GDA40">
        <v>999</v>
      </c>
      <c r="GDB40">
        <v>0</v>
      </c>
      <c r="GDC40">
        <v>999</v>
      </c>
      <c r="GDD40">
        <v>6</v>
      </c>
      <c r="GMQ40">
        <v>1</v>
      </c>
      <c r="GMT40">
        <v>1</v>
      </c>
      <c r="GMU40" s="15">
        <v>19</v>
      </c>
      <c r="GMV40">
        <v>999</v>
      </c>
      <c r="GMW40">
        <v>9</v>
      </c>
      <c r="GMX40">
        <v>0</v>
      </c>
      <c r="GMY40">
        <v>6</v>
      </c>
    </row>
    <row r="41" spans="1:2046 2049:3058 3103:3983 4107:5095 5337:5799" x14ac:dyDescent="0.25">
      <c r="A41" s="50">
        <v>96018835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1"/>
      <c r="M41" s="51"/>
      <c r="N41" s="51"/>
      <c r="O41" s="51"/>
      <c r="P41" s="51"/>
      <c r="Q41">
        <v>40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6"/>
      <c r="BD41">
        <v>67</v>
      </c>
      <c r="BE41">
        <v>82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6"/>
      <c r="EH41" s="6"/>
      <c r="EI41">
        <v>35</v>
      </c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51"/>
      <c r="FO41" s="51"/>
      <c r="FP41" s="51"/>
      <c r="FQ41" s="51"/>
      <c r="FR41" s="51"/>
      <c r="FS41" s="51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7"/>
      <c r="GY41" s="7"/>
      <c r="GZ41" s="7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>
        <v>2000</v>
      </c>
      <c r="HR41">
        <v>2900</v>
      </c>
      <c r="HS41">
        <v>3800</v>
      </c>
      <c r="HT41">
        <v>2100</v>
      </c>
      <c r="HU41" s="6"/>
      <c r="HV41">
        <v>3000</v>
      </c>
      <c r="HX41" s="6"/>
      <c r="HY41">
        <v>6500</v>
      </c>
      <c r="HZ41" s="6"/>
      <c r="IA41" s="6"/>
      <c r="IB41">
        <v>7900</v>
      </c>
      <c r="ID41">
        <v>10100</v>
      </c>
      <c r="IG41">
        <v>7500</v>
      </c>
      <c r="IH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>
        <v>1083</v>
      </c>
      <c r="JS41">
        <v>435</v>
      </c>
      <c r="JT41">
        <v>155</v>
      </c>
      <c r="JU41" s="6"/>
      <c r="JV41">
        <v>68</v>
      </c>
      <c r="JW41" s="6"/>
      <c r="JX41">
        <v>51</v>
      </c>
      <c r="JY41">
        <v>19</v>
      </c>
      <c r="KA41" s="6"/>
      <c r="KB41">
        <v>24</v>
      </c>
      <c r="KE41" s="6"/>
      <c r="KF41" s="6"/>
      <c r="KG41">
        <v>175</v>
      </c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>
        <v>1496</v>
      </c>
      <c r="NH41">
        <v>1029</v>
      </c>
      <c r="NI41">
        <v>630</v>
      </c>
      <c r="NJ41" s="6"/>
      <c r="NK41">
        <v>356</v>
      </c>
      <c r="NM41" s="6"/>
      <c r="NN41" s="6"/>
      <c r="NO41" s="6"/>
      <c r="NP41" s="6"/>
      <c r="NQ41">
        <v>18</v>
      </c>
      <c r="NS41">
        <v>19</v>
      </c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>
        <v>246</v>
      </c>
      <c r="QS41" s="6"/>
      <c r="QT41" s="6"/>
      <c r="QU41">
        <v>201</v>
      </c>
      <c r="QV41">
        <v>180</v>
      </c>
      <c r="QW41">
        <v>177</v>
      </c>
      <c r="QX41" s="6"/>
      <c r="QY41">
        <v>246</v>
      </c>
      <c r="RA41" s="6"/>
      <c r="RD41" s="6"/>
      <c r="RE41">
        <v>41</v>
      </c>
      <c r="RG41">
        <v>70</v>
      </c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>
        <v>1694</v>
      </c>
      <c r="TN41">
        <v>617</v>
      </c>
      <c r="TO41" s="6"/>
      <c r="TP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R41">
        <v>5</v>
      </c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7"/>
      <c r="ZT41" s="7"/>
      <c r="ZU41">
        <v>15.2</v>
      </c>
      <c r="ZV41">
        <v>14.4</v>
      </c>
      <c r="ZW41">
        <v>13.4</v>
      </c>
      <c r="ZX41" s="6"/>
      <c r="ZY41">
        <v>11.8</v>
      </c>
      <c r="AAB41">
        <v>10.7</v>
      </c>
      <c r="AAE41">
        <v>8.6</v>
      </c>
      <c r="AAG41">
        <v>10.5</v>
      </c>
      <c r="AAJ41">
        <v>10</v>
      </c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>
        <v>3.9</v>
      </c>
      <c r="ABD41">
        <v>4.0999999999999996</v>
      </c>
      <c r="ABE41">
        <v>3.7</v>
      </c>
      <c r="ABG41">
        <v>3.9</v>
      </c>
      <c r="ABJ41">
        <v>8.4</v>
      </c>
      <c r="ABL41">
        <v>7.2</v>
      </c>
      <c r="ABN41">
        <v>8.3000000000000007</v>
      </c>
      <c r="ABO41">
        <v>12.1</v>
      </c>
      <c r="AFL41" s="7"/>
      <c r="AFM41" s="7"/>
      <c r="AFN41" s="7"/>
      <c r="AFO41" s="7"/>
      <c r="AFP41">
        <v>3.9</v>
      </c>
      <c r="AFU41">
        <v>3.5</v>
      </c>
      <c r="AGV41">
        <v>515</v>
      </c>
      <c r="AGW41">
        <v>311</v>
      </c>
      <c r="AGX41">
        <v>288</v>
      </c>
      <c r="AGZ41">
        <v>381</v>
      </c>
      <c r="AHF41">
        <v>187</v>
      </c>
      <c r="AHH41">
        <v>326</v>
      </c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7"/>
      <c r="AIY41" s="7"/>
      <c r="AIZ41" s="7"/>
      <c r="AJA41">
        <v>2082</v>
      </c>
      <c r="AKE41" s="7"/>
      <c r="AKF41" s="7"/>
      <c r="AKG41" s="7"/>
      <c r="AKH41" s="6"/>
      <c r="AKI41" s="6"/>
      <c r="AKJ41" s="6"/>
      <c r="AKK41">
        <v>1</v>
      </c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7"/>
      <c r="ALP41" s="57"/>
      <c r="ALQ41" s="50">
        <v>1400</v>
      </c>
      <c r="ALR41" s="50">
        <v>1988</v>
      </c>
      <c r="ALS41" s="50">
        <v>1758</v>
      </c>
      <c r="ALT41" s="50"/>
      <c r="ALU41" s="50">
        <v>332</v>
      </c>
      <c r="ALV41" s="50"/>
      <c r="ALW41">
        <v>24</v>
      </c>
      <c r="ALY41">
        <v>90</v>
      </c>
      <c r="ALZ41">
        <v>99</v>
      </c>
      <c r="AMO41">
        <v>273</v>
      </c>
      <c r="AMP41">
        <v>1000</v>
      </c>
      <c r="AMS41" s="6">
        <v>892</v>
      </c>
      <c r="AMT41" s="6"/>
      <c r="AMU41" s="6"/>
      <c r="AMV41" s="6"/>
      <c r="AMW41" s="6"/>
      <c r="AMX41" s="6"/>
      <c r="AMY41" s="6">
        <v>342</v>
      </c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51"/>
      <c r="ANV41" s="51"/>
      <c r="ANW41" s="51"/>
      <c r="ANX41" s="51"/>
      <c r="ANY41" s="51"/>
      <c r="ANZ41" s="51"/>
      <c r="AOA41" s="51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>
        <v>32.5</v>
      </c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RI41" s="50"/>
      <c r="ARJ41" s="50"/>
      <c r="ARK41" s="50"/>
      <c r="ARL41" s="50"/>
      <c r="ARM41" s="50"/>
      <c r="ARN41" s="50"/>
      <c r="ARO41" s="50"/>
      <c r="ARP41" s="50"/>
      <c r="ARQ41" s="50"/>
      <c r="ARR41" s="50"/>
      <c r="ARS41" s="50">
        <v>200</v>
      </c>
      <c r="ART41" s="50"/>
      <c r="ASN41" s="8"/>
      <c r="ASO41" s="8"/>
      <c r="ASP41" s="8"/>
      <c r="ASQ41" s="8"/>
      <c r="ASR41" s="8"/>
      <c r="ASS41" s="8"/>
      <c r="AST41" s="8"/>
      <c r="ASU41" s="8"/>
      <c r="ASV41">
        <v>90000</v>
      </c>
      <c r="ASW41">
        <v>123000</v>
      </c>
      <c r="ASX41">
        <v>107000</v>
      </c>
      <c r="ASY41" s="23">
        <v>99000</v>
      </c>
      <c r="ASZ41" s="23"/>
      <c r="ATA41" s="23">
        <v>156000</v>
      </c>
      <c r="ATB41" s="23"/>
      <c r="ATC41" s="23"/>
      <c r="ATD41" s="23">
        <v>239000</v>
      </c>
      <c r="ATE41" s="23"/>
      <c r="ATF41" s="23"/>
      <c r="ATG41" s="23">
        <v>86000</v>
      </c>
      <c r="ATH41" s="23"/>
      <c r="ATI41" s="23">
        <v>61000</v>
      </c>
      <c r="ATJ41" s="6"/>
      <c r="ATK41" s="6"/>
      <c r="ATL41" s="6">
        <v>97000</v>
      </c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7"/>
      <c r="AUK41" s="7"/>
      <c r="AUL41" s="7"/>
      <c r="AUM41" s="7"/>
      <c r="AUN41" s="7"/>
      <c r="AUO41" s="6"/>
      <c r="AUP41" s="6"/>
      <c r="AUQ41" s="6"/>
      <c r="AUR41" s="6"/>
      <c r="AUS41">
        <v>66</v>
      </c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>
        <v>25</v>
      </c>
      <c r="AXL41" s="6"/>
      <c r="AXM41" s="6">
        <v>22</v>
      </c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>
        <v>0.3</v>
      </c>
      <c r="AYA41">
        <v>0.3</v>
      </c>
      <c r="BFJ41" s="6"/>
      <c r="BFK41" s="6"/>
      <c r="BGV41">
        <v>141.5</v>
      </c>
      <c r="BIB41">
        <v>4.4000000000000004</v>
      </c>
      <c r="BLA41">
        <v>2.15</v>
      </c>
      <c r="BLB41">
        <v>2.5499999999999998</v>
      </c>
      <c r="BLC41">
        <v>1.28</v>
      </c>
      <c r="BLD41" s="50"/>
      <c r="BLH41">
        <v>39.5</v>
      </c>
      <c r="BLI41">
        <v>38.700000000000003</v>
      </c>
      <c r="BNA41">
        <v>30</v>
      </c>
      <c r="BNO41">
        <v>0.2</v>
      </c>
      <c r="BNW41">
        <v>290</v>
      </c>
      <c r="BPE41">
        <v>34</v>
      </c>
      <c r="BPG41">
        <v>1</v>
      </c>
      <c r="BPH41">
        <v>19</v>
      </c>
      <c r="BPI41">
        <v>1</v>
      </c>
      <c r="BPK41">
        <v>14</v>
      </c>
      <c r="BPQ41">
        <v>1</v>
      </c>
      <c r="BPV41">
        <v>1</v>
      </c>
      <c r="BUY41">
        <v>1</v>
      </c>
      <c r="BVE41">
        <v>1</v>
      </c>
      <c r="BXR41">
        <v>1</v>
      </c>
      <c r="BXV41">
        <v>1</v>
      </c>
      <c r="BYA41">
        <v>1</v>
      </c>
      <c r="BZR41">
        <v>3</v>
      </c>
      <c r="BZU41">
        <v>1</v>
      </c>
      <c r="BZW41" s="36">
        <v>29</v>
      </c>
      <c r="BZX41">
        <v>999</v>
      </c>
      <c r="BZY41">
        <v>0</v>
      </c>
      <c r="BZZ41">
        <v>999</v>
      </c>
      <c r="CAA41">
        <v>5</v>
      </c>
      <c r="CAN41">
        <v>10</v>
      </c>
      <c r="CAO41">
        <v>1</v>
      </c>
      <c r="CAQ41">
        <v>1</v>
      </c>
      <c r="CAS41">
        <v>1</v>
      </c>
      <c r="CAT41">
        <v>0</v>
      </c>
      <c r="CAU41">
        <v>0</v>
      </c>
      <c r="CAV41">
        <v>0</v>
      </c>
      <c r="CAW41">
        <v>4</v>
      </c>
      <c r="CFM41">
        <v>1</v>
      </c>
      <c r="CFO41">
        <v>1</v>
      </c>
      <c r="CFP41">
        <v>0</v>
      </c>
      <c r="CFQ41">
        <v>0</v>
      </c>
      <c r="CFR41">
        <v>0</v>
      </c>
      <c r="CFS41">
        <v>4</v>
      </c>
      <c r="CNY41" s="2">
        <v>100</v>
      </c>
      <c r="CNZ41">
        <v>1</v>
      </c>
      <c r="COC41">
        <v>1</v>
      </c>
      <c r="COD41">
        <v>2</v>
      </c>
      <c r="COE41">
        <v>1</v>
      </c>
      <c r="COF41">
        <v>0</v>
      </c>
      <c r="COG41">
        <v>0</v>
      </c>
      <c r="COH41">
        <v>4</v>
      </c>
      <c r="DOI41">
        <v>1</v>
      </c>
      <c r="DOJ41" s="36">
        <v>29</v>
      </c>
      <c r="DOK41">
        <v>999</v>
      </c>
      <c r="DOL41">
        <v>0</v>
      </c>
      <c r="DOM41">
        <v>999</v>
      </c>
      <c r="DON41">
        <v>6</v>
      </c>
      <c r="FFL41" s="35">
        <v>17</v>
      </c>
      <c r="FFM41">
        <v>15</v>
      </c>
      <c r="FFN41">
        <v>0</v>
      </c>
      <c r="FFO41">
        <v>999</v>
      </c>
      <c r="FFP41">
        <v>6</v>
      </c>
      <c r="FGV41">
        <v>400</v>
      </c>
      <c r="FGW41" s="2">
        <v>1</v>
      </c>
      <c r="FGZ41">
        <v>1</v>
      </c>
      <c r="FHA41">
        <v>8</v>
      </c>
      <c r="FHB41">
        <v>15</v>
      </c>
      <c r="FHC41">
        <v>8</v>
      </c>
      <c r="FHD41">
        <v>0</v>
      </c>
      <c r="FHE41">
        <v>3</v>
      </c>
      <c r="GEO41">
        <v>1</v>
      </c>
      <c r="GEP41" s="35">
        <v>17</v>
      </c>
      <c r="GEQ41">
        <v>15</v>
      </c>
      <c r="GER41">
        <v>0</v>
      </c>
      <c r="GES41">
        <v>999</v>
      </c>
      <c r="GET41">
        <v>5</v>
      </c>
      <c r="GYL41">
        <v>1</v>
      </c>
      <c r="GYM41">
        <v>1</v>
      </c>
      <c r="GYR41">
        <v>1</v>
      </c>
      <c r="HBE41">
        <v>1</v>
      </c>
      <c r="HBS41">
        <v>1</v>
      </c>
      <c r="HCA41">
        <v>1</v>
      </c>
      <c r="HCD41">
        <v>1</v>
      </c>
      <c r="HCM41">
        <v>1</v>
      </c>
      <c r="HCS41">
        <v>1</v>
      </c>
      <c r="HDZ41">
        <v>50</v>
      </c>
      <c r="HEI41">
        <v>1</v>
      </c>
      <c r="HGH41">
        <v>1</v>
      </c>
      <c r="HHC41">
        <v>1</v>
      </c>
      <c r="HHM41">
        <v>1</v>
      </c>
      <c r="HIR41">
        <v>1</v>
      </c>
      <c r="HJB41">
        <v>1</v>
      </c>
      <c r="HMP41">
        <v>1850</v>
      </c>
      <c r="HMQ41">
        <v>1</v>
      </c>
      <c r="HMT41">
        <v>1</v>
      </c>
      <c r="HMU41">
        <v>1</v>
      </c>
      <c r="HMZ41">
        <v>1</v>
      </c>
      <c r="HNA41">
        <v>1</v>
      </c>
    </row>
    <row r="42" spans="1:2046 2049:3058 3103:3983 4107:5095 5337:5799" x14ac:dyDescent="0.25">
      <c r="A42" s="50">
        <v>98008326</v>
      </c>
      <c r="B42" s="50"/>
      <c r="C42" s="50"/>
      <c r="D42" s="50"/>
      <c r="E42" s="50"/>
      <c r="F42" s="50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51"/>
      <c r="FO42" s="51"/>
      <c r="FP42" s="51"/>
      <c r="FQ42" s="51"/>
      <c r="FR42" s="51"/>
      <c r="FS42" s="51"/>
      <c r="FT42" s="51"/>
      <c r="FU42" s="51"/>
      <c r="FV42" s="51"/>
      <c r="FW42" s="51"/>
      <c r="FX42" s="51"/>
      <c r="FY42" s="51"/>
      <c r="FZ42" s="51"/>
      <c r="GA42" s="51"/>
      <c r="GB42" s="51"/>
      <c r="GC42" s="51"/>
      <c r="GD42" s="51"/>
      <c r="GE42" s="51"/>
      <c r="GF42" s="51"/>
      <c r="GG42" s="51"/>
      <c r="GH42" s="51"/>
      <c r="GI42" s="51"/>
      <c r="GJ42" s="51"/>
      <c r="GK42" s="51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7"/>
      <c r="GY42" s="7"/>
      <c r="GZ42" s="7"/>
      <c r="HA42" s="7"/>
      <c r="HB42" s="7"/>
      <c r="HC42" s="7"/>
      <c r="HD42" s="7"/>
      <c r="HE42">
        <v>6000</v>
      </c>
      <c r="HP42" s="7"/>
      <c r="HQ42">
        <v>11400</v>
      </c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JA42" s="6"/>
      <c r="JB42" s="6"/>
      <c r="JC42" s="6"/>
      <c r="JD42" s="6"/>
      <c r="JE42" s="6"/>
      <c r="JF42" s="6"/>
      <c r="JG42" s="6"/>
      <c r="JH42" s="6"/>
      <c r="JJ42" s="6"/>
      <c r="JK42" s="6"/>
      <c r="JL42">
        <v>28</v>
      </c>
      <c r="JP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>
        <v>27</v>
      </c>
      <c r="QS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8"/>
      <c r="TD42">
        <v>249</v>
      </c>
      <c r="TK42" s="8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>
        <v>10</v>
      </c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7"/>
      <c r="AIY42" s="7"/>
      <c r="AIZ42" s="7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7"/>
      <c r="AKF42" s="7"/>
      <c r="AKG42" s="7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7"/>
      <c r="ALP42" s="57"/>
      <c r="ALQ42" s="51"/>
      <c r="ALR42" s="51"/>
      <c r="ALS42" s="51"/>
      <c r="ALT42" s="51"/>
      <c r="ALU42" s="51"/>
      <c r="ALV42" s="51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51"/>
      <c r="ANV42" s="51"/>
      <c r="ANW42" s="51"/>
      <c r="ANX42" s="51"/>
      <c r="ANY42" s="51"/>
      <c r="ANZ42" s="51"/>
      <c r="AOA42" s="51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>
        <v>25.4</v>
      </c>
      <c r="APK42" s="6"/>
      <c r="APP42" s="6"/>
      <c r="APQ42" s="6"/>
      <c r="APR42" s="6"/>
      <c r="APS42" s="6"/>
      <c r="APT42" s="6"/>
      <c r="APU42" s="6"/>
      <c r="APV42" s="6"/>
      <c r="APW42" s="6"/>
      <c r="APX42" s="6"/>
      <c r="APY42" s="6"/>
      <c r="APZ42" s="6"/>
      <c r="AQA42" s="6"/>
      <c r="AQB42" s="6"/>
      <c r="AQC42" s="6"/>
      <c r="AQD42" s="6"/>
      <c r="AQE42" s="6"/>
      <c r="AQF42" s="6"/>
      <c r="AQG42" s="6"/>
      <c r="AQH42" s="6"/>
      <c r="AQI42" s="6"/>
      <c r="AQJ42" s="6"/>
      <c r="AQK42" s="6"/>
      <c r="AQL42" s="6"/>
      <c r="AQM42" s="6"/>
      <c r="AQN42" s="6"/>
      <c r="AQO42" s="6"/>
      <c r="AQP42" s="6"/>
      <c r="AQQ42" s="6"/>
      <c r="AQR42" s="6"/>
      <c r="AQS42" s="6"/>
      <c r="AQT42" s="6"/>
      <c r="AQU42" s="6"/>
      <c r="AQV42" s="6"/>
      <c r="AQW42" s="6"/>
      <c r="ARI42" s="50"/>
      <c r="ARJ42" s="50"/>
      <c r="ARK42" s="50"/>
      <c r="ARL42" s="50"/>
      <c r="ARM42" s="50"/>
      <c r="ARN42" s="50"/>
      <c r="ARO42" s="50"/>
      <c r="ARP42" s="50"/>
      <c r="ARQ42" s="50"/>
      <c r="ARR42" s="50"/>
      <c r="ARS42" s="50"/>
      <c r="ART42" s="50"/>
      <c r="ASN42" s="8"/>
      <c r="ASO42" s="8"/>
      <c r="ASP42" s="8"/>
      <c r="ASQ42" s="8"/>
      <c r="ASR42" s="8"/>
      <c r="ASS42" s="8"/>
      <c r="AST42" s="8"/>
      <c r="ASU42" s="8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UJ42" s="7"/>
      <c r="AUK42" s="7"/>
      <c r="AUL42" s="7"/>
      <c r="AUM42" s="7"/>
      <c r="AUN42" s="7"/>
      <c r="AUO42" s="6"/>
      <c r="AUP42" s="6"/>
      <c r="AUQ42" s="6"/>
      <c r="AUR42" s="6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6"/>
      <c r="AWO42" s="6"/>
      <c r="AWP42" s="6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6"/>
      <c r="AYD42" s="6"/>
      <c r="AYE42" s="6"/>
      <c r="AYF42" s="6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J42" s="6"/>
      <c r="BCK42" s="6"/>
      <c r="BCL42" s="6"/>
      <c r="BCM42" s="6"/>
      <c r="BCN42" s="6"/>
      <c r="BCO42" s="6"/>
      <c r="BCP42" s="6"/>
      <c r="BCQ42" s="6"/>
      <c r="BCR42" s="6"/>
      <c r="BCS42" s="6"/>
      <c r="BCT42" s="6"/>
      <c r="BCU42" s="6"/>
      <c r="BCV42" s="6"/>
      <c r="BCW42" s="6"/>
      <c r="BCX42" s="6"/>
      <c r="BCY42" s="6"/>
      <c r="BCZ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EZ42" s="6"/>
      <c r="BFA42" s="6"/>
      <c r="BFB42" s="6"/>
      <c r="BFC42" s="6"/>
      <c r="BFD42" s="6"/>
      <c r="BFE42" s="6"/>
      <c r="BFF42" s="6"/>
      <c r="BFG42" s="6"/>
      <c r="BFH42" s="6"/>
      <c r="BFI42" s="6"/>
      <c r="BFJ42" s="6"/>
      <c r="BFK42" s="6"/>
      <c r="BPE42">
        <v>88</v>
      </c>
      <c r="BPG42">
        <v>1</v>
      </c>
      <c r="BPH42">
        <v>21.5</v>
      </c>
      <c r="BPJ42">
        <v>1</v>
      </c>
      <c r="BPK42">
        <v>43</v>
      </c>
      <c r="BPQ42">
        <v>1</v>
      </c>
      <c r="BQH42">
        <v>1</v>
      </c>
      <c r="BRR42">
        <v>1</v>
      </c>
      <c r="BSA42">
        <v>1</v>
      </c>
      <c r="BST42">
        <v>1</v>
      </c>
      <c r="BSV42">
        <v>1</v>
      </c>
      <c r="BTA42">
        <v>1</v>
      </c>
      <c r="BVE42">
        <v>1</v>
      </c>
      <c r="BVG42">
        <v>1</v>
      </c>
      <c r="BXF42">
        <v>11</v>
      </c>
      <c r="BXS42">
        <v>1</v>
      </c>
      <c r="BZR42" s="2">
        <v>1</v>
      </c>
      <c r="BZU42">
        <v>1</v>
      </c>
      <c r="BZW42">
        <v>4</v>
      </c>
      <c r="BZX42">
        <v>10</v>
      </c>
      <c r="BZY42">
        <v>7</v>
      </c>
      <c r="BZZ42">
        <v>0</v>
      </c>
      <c r="CAA42">
        <v>4</v>
      </c>
      <c r="CVJ42">
        <v>1500</v>
      </c>
      <c r="CVK42">
        <v>2</v>
      </c>
      <c r="CVL42">
        <v>1</v>
      </c>
      <c r="CVO42">
        <v>10</v>
      </c>
      <c r="CVP42">
        <v>20</v>
      </c>
      <c r="CVQ42">
        <v>11</v>
      </c>
      <c r="CVR42">
        <v>0</v>
      </c>
      <c r="CVS42">
        <v>4</v>
      </c>
      <c r="CVT42">
        <v>100</v>
      </c>
      <c r="CVU42">
        <v>1</v>
      </c>
      <c r="CVV42">
        <v>1</v>
      </c>
      <c r="CVY42">
        <v>9</v>
      </c>
      <c r="CVZ42">
        <v>20</v>
      </c>
      <c r="CWA42">
        <v>12</v>
      </c>
      <c r="CWB42">
        <v>0</v>
      </c>
      <c r="CWC42">
        <v>4</v>
      </c>
      <c r="DDK42" s="2">
        <v>1</v>
      </c>
      <c r="DDN42">
        <v>1</v>
      </c>
      <c r="DDO42">
        <v>2</v>
      </c>
      <c r="DDP42">
        <v>10</v>
      </c>
      <c r="DDQ42">
        <v>9</v>
      </c>
      <c r="DDR42">
        <v>0</v>
      </c>
      <c r="DDS42">
        <v>4</v>
      </c>
      <c r="DEN42" t="s">
        <v>562</v>
      </c>
      <c r="DEO42" s="2">
        <v>1</v>
      </c>
      <c r="DER42">
        <v>1</v>
      </c>
      <c r="DES42">
        <v>2</v>
      </c>
      <c r="DET42">
        <v>10</v>
      </c>
      <c r="DEU42">
        <v>9</v>
      </c>
      <c r="DEV42">
        <v>0</v>
      </c>
      <c r="DEW42">
        <v>5</v>
      </c>
      <c r="DMH42">
        <v>2</v>
      </c>
      <c r="DMK42">
        <v>1</v>
      </c>
      <c r="DML42">
        <v>27</v>
      </c>
      <c r="DMM42">
        <v>12</v>
      </c>
      <c r="DMN42">
        <v>0</v>
      </c>
      <c r="DMO42">
        <v>14</v>
      </c>
      <c r="DMP42">
        <v>5</v>
      </c>
      <c r="DQY42">
        <v>0.125</v>
      </c>
      <c r="DQZ42">
        <v>1</v>
      </c>
      <c r="DRA42">
        <v>1</v>
      </c>
      <c r="DRD42">
        <v>14</v>
      </c>
      <c r="DRE42">
        <v>13</v>
      </c>
      <c r="DRF42">
        <v>1</v>
      </c>
      <c r="DRG42">
        <v>13</v>
      </c>
      <c r="DRH42">
        <v>5</v>
      </c>
      <c r="DXQ42">
        <v>2500</v>
      </c>
      <c r="DXR42">
        <v>3</v>
      </c>
      <c r="DXU42">
        <v>1</v>
      </c>
      <c r="DXW42">
        <v>34</v>
      </c>
      <c r="DXX42">
        <v>19</v>
      </c>
      <c r="DXY42">
        <v>0</v>
      </c>
      <c r="DXZ42">
        <v>14</v>
      </c>
      <c r="DYA42">
        <v>5</v>
      </c>
      <c r="EHV42" s="23">
        <v>1</v>
      </c>
      <c r="EHW42" s="2">
        <v>1</v>
      </c>
      <c r="EHZ42">
        <v>1</v>
      </c>
      <c r="EIA42">
        <v>4</v>
      </c>
      <c r="EIB42">
        <v>12</v>
      </c>
      <c r="EIC42">
        <v>9</v>
      </c>
      <c r="EID42">
        <v>0</v>
      </c>
      <c r="EIE42">
        <v>5</v>
      </c>
      <c r="EPQ42">
        <v>200</v>
      </c>
      <c r="EPR42" s="2">
        <v>3</v>
      </c>
      <c r="EPU42">
        <v>1</v>
      </c>
      <c r="EPV42">
        <v>25</v>
      </c>
      <c r="EPW42">
        <v>10</v>
      </c>
      <c r="EPX42">
        <v>0</v>
      </c>
      <c r="EPY42">
        <v>14</v>
      </c>
      <c r="EPZ42">
        <v>5</v>
      </c>
      <c r="ETN42">
        <v>1</v>
      </c>
      <c r="ETQ42">
        <v>1</v>
      </c>
      <c r="ETR42">
        <v>27</v>
      </c>
      <c r="ETS42">
        <v>12</v>
      </c>
      <c r="ETT42">
        <v>0</v>
      </c>
      <c r="ETU42">
        <v>14</v>
      </c>
      <c r="ETV42">
        <v>5</v>
      </c>
      <c r="FAZ42">
        <v>2</v>
      </c>
      <c r="FBA42">
        <v>1</v>
      </c>
      <c r="FBD42">
        <v>10</v>
      </c>
      <c r="FBE42">
        <v>7</v>
      </c>
      <c r="FBF42">
        <v>0</v>
      </c>
      <c r="FBG42">
        <v>2</v>
      </c>
      <c r="FBH42">
        <v>4</v>
      </c>
      <c r="FBT42">
        <v>500</v>
      </c>
      <c r="FBU42">
        <v>3</v>
      </c>
      <c r="FBV42">
        <v>1</v>
      </c>
      <c r="FBY42">
        <v>16</v>
      </c>
      <c r="FBZ42">
        <v>12</v>
      </c>
      <c r="FCA42">
        <v>0</v>
      </c>
      <c r="FCB42">
        <v>3</v>
      </c>
      <c r="FCC42">
        <v>5</v>
      </c>
      <c r="FQX42">
        <v>3000</v>
      </c>
      <c r="FQY42">
        <v>2</v>
      </c>
      <c r="FQZ42">
        <v>1</v>
      </c>
      <c r="FRC42">
        <v>14</v>
      </c>
      <c r="FRD42">
        <v>26</v>
      </c>
      <c r="FRE42">
        <v>13</v>
      </c>
      <c r="FRF42">
        <v>0</v>
      </c>
      <c r="FRG42">
        <v>6</v>
      </c>
      <c r="GWG42">
        <v>1</v>
      </c>
      <c r="GWI42">
        <v>1</v>
      </c>
      <c r="GWJ42">
        <v>1</v>
      </c>
      <c r="GWK42">
        <v>1</v>
      </c>
      <c r="GWM42">
        <v>1</v>
      </c>
      <c r="GWN42">
        <v>1</v>
      </c>
      <c r="HFF42">
        <v>1</v>
      </c>
      <c r="HFK42">
        <v>1</v>
      </c>
      <c r="HFM42">
        <v>1</v>
      </c>
      <c r="HGH42">
        <v>1</v>
      </c>
      <c r="HGL42">
        <v>1</v>
      </c>
      <c r="HGN42">
        <v>1</v>
      </c>
      <c r="HGZ42">
        <v>1</v>
      </c>
      <c r="HJA42">
        <v>1</v>
      </c>
    </row>
    <row r="43" spans="1:2046 2049:3058 3103:3983 4107:5095 5337:5799" x14ac:dyDescent="0.25">
      <c r="A43" s="50">
        <v>99000717</v>
      </c>
      <c r="B43" s="50"/>
      <c r="C43" s="50"/>
      <c r="D43" s="50"/>
      <c r="E43" s="50"/>
      <c r="F43" s="50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51"/>
      <c r="FO43" s="51"/>
      <c r="FP43" s="51"/>
      <c r="FQ43" s="51"/>
      <c r="FR43" s="51"/>
      <c r="FS43" s="51"/>
      <c r="FT43" s="51"/>
      <c r="FU43" s="51"/>
      <c r="FV43" s="51"/>
      <c r="FW43" s="51"/>
      <c r="FX43" s="51"/>
      <c r="FY43" s="51"/>
      <c r="FZ43" s="51"/>
      <c r="GA43" s="51"/>
      <c r="GB43" s="51"/>
      <c r="GC43" s="51"/>
      <c r="GD43" s="51"/>
      <c r="GE43" s="51"/>
      <c r="GF43" s="51"/>
      <c r="GG43" s="51"/>
      <c r="GH43" s="51"/>
      <c r="GI43" s="51"/>
      <c r="GJ43" s="51"/>
      <c r="GK43" s="51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7"/>
      <c r="GY43" s="7"/>
      <c r="GZ43" s="7"/>
      <c r="HA43" s="7"/>
      <c r="HB43" s="7"/>
      <c r="HC43" s="7"/>
      <c r="HD43" s="7"/>
      <c r="HP43" s="7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>
        <v>7700</v>
      </c>
      <c r="ID43" s="6"/>
      <c r="IE43" s="6"/>
      <c r="IF43" s="6"/>
      <c r="IG43" s="6"/>
      <c r="IH43">
        <v>4300</v>
      </c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JA43" s="6"/>
      <c r="JB43" s="6"/>
      <c r="JC43" s="6"/>
      <c r="JD43" s="6"/>
      <c r="JE43" s="6"/>
      <c r="JF43" s="6"/>
      <c r="JG43" s="6"/>
      <c r="JH43" s="6"/>
      <c r="JJ43" s="6"/>
      <c r="JK43" s="6"/>
      <c r="JP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>
        <v>31</v>
      </c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>
        <v>30</v>
      </c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S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>
        <v>75</v>
      </c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8"/>
      <c r="TK43" s="8"/>
      <c r="TM43" s="6"/>
      <c r="TN43" s="6"/>
      <c r="TO43" s="6"/>
      <c r="TP43" s="6"/>
      <c r="TQ43">
        <v>487</v>
      </c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N43" s="6"/>
      <c r="XO43" s="6"/>
      <c r="XP43" s="6"/>
      <c r="XQ43" s="6"/>
      <c r="XR43" s="6"/>
      <c r="XS43" s="6"/>
      <c r="XT43" s="6"/>
      <c r="XU43" s="6"/>
      <c r="XV43">
        <v>11</v>
      </c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7"/>
      <c r="AIY43" s="7"/>
      <c r="AIZ43" s="7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7"/>
      <c r="AKF43" s="7"/>
      <c r="AKG43" s="7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7"/>
      <c r="ALP43" s="57"/>
      <c r="ALQ43" s="51"/>
      <c r="ALR43" s="51"/>
      <c r="ALS43" s="51"/>
      <c r="ALT43" s="51"/>
      <c r="ALU43" s="51"/>
      <c r="ALV43" s="51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51"/>
      <c r="ANV43" s="51"/>
      <c r="ANW43" s="51"/>
      <c r="ANX43" s="51"/>
      <c r="ANY43" s="51"/>
      <c r="ANZ43" s="51"/>
      <c r="AOA43" s="51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K43" s="6"/>
      <c r="APP43" s="6"/>
      <c r="APQ43" s="6"/>
      <c r="APR43" s="6"/>
      <c r="APS43" s="6"/>
      <c r="APT43" s="6"/>
      <c r="APU43" s="6"/>
      <c r="APV43" s="6"/>
      <c r="APW43" s="6"/>
      <c r="APX43" s="6"/>
      <c r="APY43" s="6"/>
      <c r="APZ43" s="6"/>
      <c r="AQA43" s="6"/>
      <c r="AQB43" s="6"/>
      <c r="AQC43" s="6"/>
      <c r="AQD43" s="6"/>
      <c r="AQE43" s="6"/>
      <c r="AQF43" s="6"/>
      <c r="AQG43" s="6"/>
      <c r="AQH43" s="6"/>
      <c r="AQI43" s="6"/>
      <c r="AQJ43" s="6"/>
      <c r="AQK43" s="6"/>
      <c r="AQL43" s="6"/>
      <c r="AQM43" s="6"/>
      <c r="AQN43" s="6"/>
      <c r="AQO43" s="6"/>
      <c r="AQP43" s="6"/>
      <c r="AQQ43" s="6"/>
      <c r="AQR43" s="6"/>
      <c r="AQS43" s="6"/>
      <c r="AQT43" s="6"/>
      <c r="AQU43" s="6"/>
      <c r="AQV43" s="6"/>
      <c r="AQW43" s="6"/>
      <c r="ARI43" s="50"/>
      <c r="ARJ43" s="50"/>
      <c r="ARK43" s="50"/>
      <c r="ARL43" s="50"/>
      <c r="ARM43" s="50"/>
      <c r="ARN43" s="50"/>
      <c r="ARO43" s="50"/>
      <c r="ARP43" s="50"/>
      <c r="ARQ43" s="50"/>
      <c r="ARR43" s="50"/>
      <c r="ARS43" s="50"/>
      <c r="ART43" s="50"/>
      <c r="ASN43" s="8"/>
      <c r="ASO43" s="8"/>
      <c r="ASP43" s="8"/>
      <c r="ASQ43" s="8"/>
      <c r="ASR43" s="8"/>
      <c r="ASS43" s="8"/>
      <c r="AST43" s="8"/>
      <c r="ASU43" s="8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7"/>
      <c r="AUK43" s="7"/>
      <c r="AUL43" s="7"/>
      <c r="AUM43" s="7"/>
      <c r="AUN43" s="7"/>
      <c r="AUO43" s="6"/>
      <c r="AUP43" s="6"/>
      <c r="AUQ43" s="6"/>
      <c r="AUR43" s="6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6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L43" s="6"/>
      <c r="BCM43" s="6"/>
      <c r="BCN43" s="6"/>
      <c r="BCO43" s="6"/>
      <c r="BCP43" s="6"/>
      <c r="BCQ43" s="6"/>
      <c r="BCR43" s="6"/>
      <c r="BCS43" s="6"/>
      <c r="BCT43" s="6"/>
      <c r="BCU43" s="6"/>
      <c r="BCV43" s="6"/>
      <c r="BCW43" s="6"/>
      <c r="BCX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EZ43" s="6"/>
      <c r="BFA43" s="6"/>
      <c r="BFB43" s="6"/>
      <c r="BFC43" s="6"/>
      <c r="BFD43" s="6"/>
      <c r="BFE43" s="6"/>
      <c r="BFF43" s="6"/>
      <c r="BFG43" s="6"/>
      <c r="BFH43" s="6"/>
      <c r="BFI43" s="6"/>
      <c r="BFJ43" s="6"/>
      <c r="BFK43" s="6"/>
      <c r="BPE43">
        <v>37</v>
      </c>
      <c r="BPG43">
        <v>1</v>
      </c>
      <c r="BPH43">
        <v>25.1</v>
      </c>
      <c r="BPK43">
        <v>29</v>
      </c>
      <c r="BVE43">
        <v>1</v>
      </c>
      <c r="BXG43">
        <v>1</v>
      </c>
      <c r="BYC43">
        <v>1</v>
      </c>
      <c r="BZQ43">
        <v>500</v>
      </c>
      <c r="BZR43">
        <v>3</v>
      </c>
      <c r="BZU43">
        <v>1</v>
      </c>
      <c r="BZW43" s="15">
        <v>26</v>
      </c>
      <c r="BZX43">
        <v>999</v>
      </c>
      <c r="BZY43">
        <v>0</v>
      </c>
      <c r="BZZ43">
        <v>4</v>
      </c>
      <c r="CAA43">
        <v>5</v>
      </c>
      <c r="GJD43">
        <v>2</v>
      </c>
      <c r="GJG43">
        <v>1</v>
      </c>
      <c r="GJH43" s="15">
        <v>28</v>
      </c>
      <c r="GJI43">
        <v>23</v>
      </c>
      <c r="GJJ43">
        <v>0</v>
      </c>
      <c r="GJK43">
        <v>4</v>
      </c>
      <c r="GJL43">
        <v>5</v>
      </c>
      <c r="GJM43">
        <v>450</v>
      </c>
      <c r="GJN43">
        <v>1</v>
      </c>
      <c r="GJQ43">
        <v>1</v>
      </c>
      <c r="GJR43" s="36">
        <v>29</v>
      </c>
      <c r="GJS43">
        <v>999</v>
      </c>
      <c r="GJT43">
        <v>0</v>
      </c>
      <c r="GJU43">
        <v>999</v>
      </c>
      <c r="GJV43">
        <v>6</v>
      </c>
      <c r="GJW43">
        <v>40</v>
      </c>
      <c r="GJX43">
        <v>2</v>
      </c>
      <c r="GKA43">
        <v>1</v>
      </c>
      <c r="GKB43" s="36">
        <v>29</v>
      </c>
      <c r="GKC43">
        <v>999</v>
      </c>
      <c r="GKD43">
        <v>0</v>
      </c>
      <c r="GKE43">
        <v>999</v>
      </c>
      <c r="GKF43">
        <v>6</v>
      </c>
      <c r="GYE43">
        <v>1</v>
      </c>
      <c r="GYK43">
        <v>1</v>
      </c>
      <c r="GZN43">
        <v>1</v>
      </c>
      <c r="HDU43">
        <v>1</v>
      </c>
      <c r="HDV43">
        <v>1</v>
      </c>
      <c r="HDW43">
        <v>1</v>
      </c>
      <c r="HFF43">
        <v>1</v>
      </c>
      <c r="HHB43">
        <v>1</v>
      </c>
    </row>
    <row r="44" spans="1:2046 2049:3058 3103:3983 4107:5095 5337:5799" x14ac:dyDescent="0.25">
      <c r="A44" s="50"/>
      <c r="B44" s="50"/>
      <c r="C44" s="50"/>
      <c r="D44" s="50"/>
      <c r="E44" s="50"/>
      <c r="F44" s="50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51"/>
      <c r="FO44" s="51"/>
      <c r="FP44" s="51"/>
      <c r="FQ44" s="51"/>
      <c r="FR44" s="51"/>
      <c r="FS44" s="51"/>
      <c r="FT44" s="51"/>
      <c r="FU44" s="51"/>
      <c r="FV44" s="51"/>
      <c r="FW44" s="51"/>
      <c r="FX44" s="51"/>
      <c r="FY44" s="51"/>
      <c r="FZ44" s="51"/>
      <c r="GA44" s="51"/>
      <c r="GB44" s="51"/>
      <c r="GC44" s="51"/>
      <c r="GD44" s="51"/>
      <c r="GE44" s="51"/>
      <c r="GF44" s="51"/>
      <c r="GG44" s="51"/>
      <c r="GH44" s="51"/>
      <c r="GI44" s="51"/>
      <c r="GJ44" s="51"/>
      <c r="GK44" s="51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7"/>
      <c r="GY44" s="7"/>
      <c r="GZ44" s="7"/>
      <c r="HA44" s="7"/>
      <c r="HB44" s="7"/>
      <c r="HC44" s="7"/>
      <c r="HD44" s="7"/>
      <c r="HP44" s="7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JA44" s="6"/>
      <c r="JB44" s="6"/>
      <c r="JC44" s="6"/>
      <c r="JD44" s="6"/>
      <c r="JE44" s="6"/>
      <c r="JF44" s="6"/>
      <c r="JG44" s="6"/>
      <c r="JH44" s="6"/>
      <c r="JJ44" s="6"/>
      <c r="JK44" s="6"/>
      <c r="JP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S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8"/>
      <c r="TK44" s="8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7"/>
      <c r="AIY44" s="7"/>
      <c r="AIZ44" s="7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7"/>
      <c r="AKF44" s="7"/>
      <c r="AKG44" s="7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7"/>
      <c r="ALP44" s="57"/>
      <c r="ALQ44" s="51"/>
      <c r="ALR44" s="51"/>
      <c r="ALS44" s="51"/>
      <c r="ALT44" s="51"/>
      <c r="ALU44" s="51"/>
      <c r="ALV44" s="51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51"/>
      <c r="ANV44" s="51"/>
      <c r="ANW44" s="51"/>
      <c r="ANX44" s="51"/>
      <c r="ANY44" s="51"/>
      <c r="ANZ44" s="51"/>
      <c r="AOA44" s="51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K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51"/>
      <c r="ARJ44" s="51"/>
      <c r="ARK44" s="51"/>
      <c r="ARL44" s="51"/>
      <c r="ARM44" s="51"/>
      <c r="ARN44" s="51"/>
      <c r="ARO44" s="51"/>
      <c r="ARP44" s="51"/>
      <c r="ARQ44" s="51"/>
      <c r="ARR44" s="51"/>
      <c r="ARS44" s="51"/>
      <c r="ART44" s="51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8"/>
      <c r="ASO44" s="8"/>
      <c r="ASP44" s="8"/>
      <c r="ASQ44" s="8"/>
      <c r="ASR44" s="8"/>
      <c r="ASS44" s="8"/>
      <c r="AST44" s="8"/>
      <c r="ASU44" s="8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7"/>
      <c r="AUK44" s="7"/>
      <c r="AUL44" s="7"/>
      <c r="AUM44" s="7"/>
      <c r="AUN44" s="7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</row>
    <row r="45" spans="1:2046 2049:3058 3103:3983 4107:5095 5337:5799" x14ac:dyDescent="0.25">
      <c r="A45" s="25" t="s">
        <v>180</v>
      </c>
      <c r="B45" s="25"/>
      <c r="D45" s="10"/>
      <c r="E45" s="10"/>
      <c r="F45" s="1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ALP45" s="50"/>
      <c r="ALQ45" s="50"/>
      <c r="ALR45" s="50"/>
      <c r="ALS45" s="50"/>
      <c r="ALT45" s="50"/>
      <c r="ALU45" s="50"/>
      <c r="ALV45" s="50"/>
      <c r="ANU45" s="50"/>
      <c r="ANV45" s="50"/>
      <c r="ANW45" s="50"/>
      <c r="ANX45" s="50"/>
      <c r="ANY45" s="50"/>
      <c r="ANZ45" s="50"/>
      <c r="AOA45" s="50"/>
      <c r="ARI45" s="50"/>
      <c r="ARJ45" s="50"/>
      <c r="ARK45" s="50"/>
      <c r="ARL45" s="50"/>
      <c r="ARM45" s="50"/>
      <c r="ARN45" s="50"/>
      <c r="ARO45" s="50"/>
      <c r="ARP45" s="50"/>
      <c r="ARQ45" s="50"/>
      <c r="ARR45" s="50"/>
      <c r="ARS45" s="50"/>
      <c r="ART45" s="50"/>
    </row>
    <row r="46" spans="1:2046 2049:3058 3103:3983 4107:5095 5337:5799" x14ac:dyDescent="0.25">
      <c r="A46" s="53" t="s">
        <v>154</v>
      </c>
      <c r="B46" s="53"/>
      <c r="C46" s="50"/>
      <c r="D46" s="53"/>
      <c r="E46" s="53"/>
      <c r="F46" s="53"/>
      <c r="G46" s="50"/>
      <c r="H46" s="50"/>
      <c r="I46" s="50"/>
      <c r="J46" s="50"/>
      <c r="K46" s="50"/>
      <c r="L46" s="50"/>
      <c r="M46" s="50"/>
      <c r="N46" s="50"/>
      <c r="O46" s="50"/>
      <c r="P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ANU46" s="50"/>
      <c r="ANV46" s="50"/>
      <c r="ANW46" s="50"/>
      <c r="ANX46" s="50"/>
      <c r="ANY46" s="50"/>
      <c r="ANZ46" s="50"/>
      <c r="AOA46" s="50"/>
      <c r="ARI46" s="50"/>
      <c r="ARJ46" s="50"/>
      <c r="ARK46" s="50"/>
      <c r="ARL46" s="50"/>
      <c r="ARM46" s="50"/>
      <c r="ARN46" s="50"/>
      <c r="ARO46" s="50"/>
      <c r="ARP46" s="50"/>
      <c r="ARQ46" s="50"/>
      <c r="ARR46" s="50"/>
      <c r="ARS46" s="50"/>
      <c r="ART46" s="50"/>
    </row>
    <row r="47" spans="1:2046 2049:3058 3103:3983 4107:5095 5337:5799" x14ac:dyDescent="0.25">
      <c r="A47" s="50">
        <v>6016435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BD47">
        <v>43</v>
      </c>
      <c r="EH47">
        <v>52</v>
      </c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>
        <v>3.6</v>
      </c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HR47">
        <v>12800</v>
      </c>
      <c r="ZU47">
        <v>9.3000000000000007</v>
      </c>
      <c r="ANU47" s="50"/>
      <c r="ANV47" s="50"/>
      <c r="ANW47" s="50"/>
      <c r="ANX47" s="50"/>
      <c r="ANY47" s="50"/>
      <c r="ANZ47" s="50"/>
      <c r="AOA47" s="50"/>
      <c r="ARI47" s="50"/>
      <c r="ARJ47" s="50"/>
      <c r="ARK47" s="50"/>
      <c r="ARL47" s="50"/>
      <c r="ARM47" s="50"/>
      <c r="ARN47" s="50"/>
      <c r="ARO47" s="50"/>
      <c r="ARP47" s="50"/>
      <c r="ARQ47" s="50"/>
      <c r="ARR47" s="50"/>
      <c r="ARS47" s="50"/>
      <c r="ART47" s="50"/>
      <c r="ASW47">
        <v>120000</v>
      </c>
      <c r="AYG47">
        <v>7.47</v>
      </c>
      <c r="AYH47">
        <v>7.46</v>
      </c>
      <c r="AYK47">
        <v>7.45</v>
      </c>
      <c r="AYQ47">
        <v>0.1</v>
      </c>
      <c r="AYR47">
        <v>-0.1</v>
      </c>
      <c r="AYS47">
        <v>-0.1</v>
      </c>
      <c r="AYW47">
        <v>22.4</v>
      </c>
      <c r="AYX47">
        <v>24.5</v>
      </c>
      <c r="AZA47">
        <v>24.5</v>
      </c>
      <c r="AZF47">
        <v>66.099999999999994</v>
      </c>
      <c r="AZG47">
        <v>48</v>
      </c>
      <c r="AZH47">
        <v>54.9</v>
      </c>
      <c r="AZK47">
        <v>31</v>
      </c>
      <c r="AZL47">
        <v>38.200000000000003</v>
      </c>
      <c r="AZO47">
        <v>34.1</v>
      </c>
      <c r="AZS47">
        <v>93.9</v>
      </c>
      <c r="AZT47">
        <v>89.8</v>
      </c>
      <c r="AZU47">
        <v>91.5</v>
      </c>
      <c r="BHV47">
        <v>3.2</v>
      </c>
      <c r="BLG47">
        <v>39.799999999999997</v>
      </c>
      <c r="BPE47">
        <v>56</v>
      </c>
      <c r="BPG47">
        <v>1</v>
      </c>
      <c r="BTT47">
        <v>1</v>
      </c>
      <c r="BWO47">
        <v>1</v>
      </c>
      <c r="BYD47">
        <v>1</v>
      </c>
      <c r="BYR47">
        <v>50</v>
      </c>
      <c r="BYS47">
        <v>2</v>
      </c>
      <c r="BYW47">
        <v>1</v>
      </c>
      <c r="BYY47">
        <v>1</v>
      </c>
      <c r="BYZ47">
        <v>0</v>
      </c>
      <c r="BZA47">
        <v>0</v>
      </c>
      <c r="BZB47">
        <v>0</v>
      </c>
      <c r="CAX47">
        <v>200</v>
      </c>
      <c r="CAY47">
        <v>1</v>
      </c>
      <c r="CBB47">
        <v>1</v>
      </c>
      <c r="CBC47">
        <v>1</v>
      </c>
      <c r="CBD47">
        <v>1</v>
      </c>
      <c r="CBE47">
        <v>1</v>
      </c>
      <c r="CBF47">
        <v>0</v>
      </c>
      <c r="DXS47">
        <v>1</v>
      </c>
      <c r="EST47">
        <v>2</v>
      </c>
      <c r="ESU47">
        <v>1</v>
      </c>
      <c r="ESV47">
        <v>1</v>
      </c>
      <c r="ESW47">
        <v>1</v>
      </c>
      <c r="ESX47">
        <v>0</v>
      </c>
      <c r="ESY47">
        <v>0</v>
      </c>
      <c r="ESZ47">
        <v>0</v>
      </c>
      <c r="GXG47">
        <v>1</v>
      </c>
      <c r="GXN47">
        <v>1</v>
      </c>
      <c r="GXX47">
        <v>1</v>
      </c>
      <c r="GXZ47">
        <v>1</v>
      </c>
      <c r="GYA47">
        <v>1</v>
      </c>
      <c r="GYE47">
        <v>1</v>
      </c>
      <c r="GYF47">
        <v>1</v>
      </c>
      <c r="GYG47">
        <v>1</v>
      </c>
      <c r="GYY47">
        <v>1</v>
      </c>
      <c r="GZZ47">
        <v>1</v>
      </c>
      <c r="HAA47">
        <v>1</v>
      </c>
      <c r="HAC47">
        <v>1</v>
      </c>
      <c r="HAD47">
        <v>1</v>
      </c>
      <c r="HAJ47">
        <v>1</v>
      </c>
      <c r="HAK47">
        <v>1</v>
      </c>
      <c r="HAL47">
        <v>1</v>
      </c>
      <c r="HAT47">
        <v>1</v>
      </c>
      <c r="HBA47">
        <v>1</v>
      </c>
      <c r="HBB47">
        <v>1</v>
      </c>
      <c r="HBE47">
        <v>1</v>
      </c>
      <c r="HCW47">
        <v>1</v>
      </c>
      <c r="HDN47">
        <v>1</v>
      </c>
      <c r="HDS47">
        <v>1</v>
      </c>
      <c r="HDT47">
        <v>1</v>
      </c>
      <c r="HEI47">
        <v>1</v>
      </c>
      <c r="HEK47">
        <v>1</v>
      </c>
      <c r="HEP47">
        <v>1</v>
      </c>
    </row>
    <row r="48" spans="1:2046 2049:3058 3103:3983 4107:5095 5337:5799" x14ac:dyDescent="0.25">
      <c r="A48" s="50">
        <v>8045149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HP48">
        <v>30000</v>
      </c>
      <c r="ANU48" s="50"/>
      <c r="ANV48" s="50"/>
      <c r="ANW48" s="50"/>
      <c r="ANX48" s="50"/>
      <c r="ANY48" s="50"/>
      <c r="ANZ48" s="50"/>
      <c r="AOA48" s="50"/>
      <c r="ARI48" s="50"/>
      <c r="ARJ48" s="50"/>
      <c r="ARK48" s="50"/>
      <c r="ARL48" s="50"/>
      <c r="ARM48" s="50"/>
      <c r="ARN48" s="50"/>
      <c r="ARO48" s="50"/>
      <c r="ARP48" s="50"/>
      <c r="ARQ48" s="50"/>
      <c r="ARR48" s="50"/>
      <c r="ARS48" s="50"/>
      <c r="ART48" s="50"/>
      <c r="ASG48">
        <v>70</v>
      </c>
      <c r="BLF48">
        <v>39</v>
      </c>
      <c r="BOC48">
        <v>1</v>
      </c>
      <c r="BPE48">
        <v>69</v>
      </c>
      <c r="BPG48">
        <v>1</v>
      </c>
      <c r="BPJ48">
        <v>1</v>
      </c>
      <c r="BQU48">
        <v>1</v>
      </c>
      <c r="BUH48">
        <v>1</v>
      </c>
      <c r="BYU48">
        <v>1</v>
      </c>
      <c r="BYY48">
        <v>1</v>
      </c>
      <c r="BYZ48">
        <v>1</v>
      </c>
      <c r="BZA48">
        <v>1</v>
      </c>
      <c r="CBH48">
        <v>1</v>
      </c>
      <c r="CBN48">
        <v>1</v>
      </c>
      <c r="CBO48">
        <v>1</v>
      </c>
      <c r="CBP48">
        <v>1</v>
      </c>
      <c r="CBQ48">
        <v>0</v>
      </c>
      <c r="GXP48">
        <v>1</v>
      </c>
      <c r="GYE48">
        <v>1</v>
      </c>
      <c r="HES48">
        <v>1</v>
      </c>
      <c r="HET48">
        <v>1</v>
      </c>
      <c r="HEW48">
        <v>1</v>
      </c>
      <c r="HEY48">
        <v>1</v>
      </c>
      <c r="HNK48">
        <v>1</v>
      </c>
      <c r="HOA48">
        <v>1</v>
      </c>
    </row>
    <row r="49" spans="1:999 1061:2045 2049:3059 3334:3739 4148:4737 5181:5800" x14ac:dyDescent="0.25">
      <c r="A49" s="50">
        <v>10023001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BB49">
        <v>24</v>
      </c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HP49">
        <v>8000</v>
      </c>
      <c r="VM49">
        <v>337</v>
      </c>
      <c r="WD49">
        <v>303</v>
      </c>
      <c r="WV49">
        <v>206</v>
      </c>
      <c r="XB49">
        <v>5</v>
      </c>
      <c r="XC49">
        <v>7.4</v>
      </c>
      <c r="XL49">
        <v>30</v>
      </c>
      <c r="ZS49">
        <v>14</v>
      </c>
      <c r="ANU49" s="50"/>
      <c r="ANV49" s="50"/>
      <c r="ANW49" s="50"/>
      <c r="ANX49" s="50"/>
      <c r="ANY49" s="50"/>
      <c r="ANZ49" s="50"/>
      <c r="AOA49" s="50"/>
      <c r="ARI49" s="50"/>
      <c r="ARJ49" s="50">
        <v>4750000</v>
      </c>
      <c r="ARK49" s="50"/>
      <c r="ARL49" s="50"/>
      <c r="ARM49" s="50"/>
      <c r="ARN49" s="50"/>
      <c r="ARO49" s="50"/>
      <c r="ARP49" s="50"/>
      <c r="ARQ49" s="50"/>
      <c r="ARR49" s="50"/>
      <c r="ARS49" s="50"/>
      <c r="ART49" s="50"/>
      <c r="ASU49">
        <v>225000</v>
      </c>
      <c r="AVV49">
        <v>65</v>
      </c>
      <c r="BAK49">
        <v>40</v>
      </c>
      <c r="BCC49">
        <v>82</v>
      </c>
      <c r="BDI49">
        <v>30</v>
      </c>
      <c r="BFG49">
        <v>11</v>
      </c>
      <c r="BPE49">
        <v>80</v>
      </c>
      <c r="BPF49">
        <v>1</v>
      </c>
      <c r="BPH49">
        <v>28.01</v>
      </c>
      <c r="BPJ49">
        <v>1</v>
      </c>
      <c r="BSZ49">
        <v>1</v>
      </c>
      <c r="BXZ49">
        <v>1</v>
      </c>
      <c r="BYS49">
        <v>2</v>
      </c>
      <c r="BYX49">
        <v>1</v>
      </c>
      <c r="DXF49">
        <v>1</v>
      </c>
      <c r="GYH49">
        <v>1</v>
      </c>
      <c r="HFP49">
        <v>1</v>
      </c>
      <c r="HGH49">
        <v>1</v>
      </c>
      <c r="HIG49">
        <v>1</v>
      </c>
      <c r="HJI49">
        <v>1</v>
      </c>
    </row>
    <row r="50" spans="1:999 1061:2045 2049:3059 3334:3739 4148:4737 5181:5800" x14ac:dyDescent="0.25">
      <c r="A50" s="50">
        <v>10027526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HQ50">
        <v>15320</v>
      </c>
      <c r="ANU50" s="50"/>
      <c r="ANV50" s="50"/>
      <c r="ANW50" s="50"/>
      <c r="ANX50" s="50"/>
      <c r="ANY50" s="50">
        <v>1583</v>
      </c>
      <c r="ANZ50" s="50"/>
      <c r="AOA50" s="50"/>
      <c r="ARI50" s="50"/>
      <c r="ARJ50" s="50"/>
      <c r="ARK50" s="50"/>
      <c r="ARL50" s="50"/>
      <c r="ARM50" s="50"/>
      <c r="ARN50" s="50"/>
      <c r="ARO50" s="50"/>
      <c r="ARP50" s="50"/>
      <c r="ARQ50" s="50"/>
      <c r="ARR50" s="50"/>
      <c r="ARS50" s="50"/>
      <c r="ART50" s="50"/>
      <c r="AVW50">
        <v>59.46</v>
      </c>
      <c r="BLG50">
        <v>38.5</v>
      </c>
      <c r="BPE50">
        <v>60</v>
      </c>
      <c r="BPF50">
        <v>1</v>
      </c>
      <c r="BPH50">
        <v>18.59</v>
      </c>
      <c r="BPJ50">
        <v>1</v>
      </c>
      <c r="BYS50">
        <v>3</v>
      </c>
      <c r="BYW50">
        <v>1</v>
      </c>
      <c r="BYY50">
        <v>1</v>
      </c>
      <c r="BYZ50">
        <v>4</v>
      </c>
      <c r="BZA50">
        <v>4</v>
      </c>
      <c r="BZB50">
        <v>0</v>
      </c>
      <c r="BZQ50">
        <v>500</v>
      </c>
      <c r="BZU50">
        <v>1</v>
      </c>
      <c r="BZW50">
        <v>4</v>
      </c>
      <c r="BZX50">
        <v>4</v>
      </c>
      <c r="BZY50">
        <v>2</v>
      </c>
      <c r="BZZ50">
        <v>0</v>
      </c>
      <c r="GXZ50">
        <v>1</v>
      </c>
      <c r="GYA50">
        <v>1</v>
      </c>
      <c r="GYD50">
        <v>1</v>
      </c>
      <c r="GYE50">
        <v>1</v>
      </c>
      <c r="GYH50">
        <v>1</v>
      </c>
      <c r="GYU50">
        <v>1</v>
      </c>
      <c r="GZJ50">
        <v>1</v>
      </c>
      <c r="HEC50">
        <v>1</v>
      </c>
      <c r="HED50">
        <v>1</v>
      </c>
      <c r="HFP50">
        <v>1</v>
      </c>
      <c r="HFR50">
        <v>1</v>
      </c>
      <c r="HHI50">
        <v>1</v>
      </c>
      <c r="HJH50">
        <v>1</v>
      </c>
      <c r="HJI50">
        <v>1</v>
      </c>
      <c r="HJJ50">
        <v>1</v>
      </c>
      <c r="HJK50">
        <v>1</v>
      </c>
    </row>
    <row r="51" spans="1:999 1061:2045 2049:3059 3334:3739 4148:4737 5181:5800" x14ac:dyDescent="0.25">
      <c r="A51" s="50">
        <v>14222171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XL51" s="27">
        <v>10</v>
      </c>
      <c r="ZS51">
        <v>13</v>
      </c>
      <c r="ALI51">
        <v>421</v>
      </c>
      <c r="ANU51" s="50"/>
      <c r="ANV51" s="50"/>
      <c r="ANW51" s="50"/>
      <c r="ANX51" s="50">
        <v>20.6</v>
      </c>
      <c r="ANY51" s="50"/>
      <c r="ANZ51" s="50"/>
      <c r="AOA51" s="50"/>
      <c r="ARI51" s="50"/>
      <c r="ARJ51" s="50"/>
      <c r="ARK51" s="50"/>
      <c r="ARL51" s="50"/>
      <c r="ARM51" s="50"/>
      <c r="ARN51" s="50"/>
      <c r="ARO51" s="50"/>
      <c r="ARP51" s="50"/>
      <c r="ARQ51" s="50"/>
      <c r="ARR51" s="50"/>
      <c r="ARS51" s="50"/>
      <c r="ART51" s="50"/>
      <c r="ASU51">
        <v>86000000</v>
      </c>
      <c r="BAK51">
        <v>36</v>
      </c>
      <c r="BOY51">
        <v>129</v>
      </c>
      <c r="BOZ51">
        <v>94</v>
      </c>
      <c r="BPE51">
        <v>72</v>
      </c>
      <c r="BPF51">
        <v>1</v>
      </c>
      <c r="BPJ51">
        <v>1</v>
      </c>
      <c r="BPK51">
        <v>5</v>
      </c>
      <c r="BQD51">
        <v>1</v>
      </c>
      <c r="BQY51">
        <v>1</v>
      </c>
      <c r="BTX51">
        <v>1</v>
      </c>
      <c r="BXF51">
        <v>1</v>
      </c>
      <c r="BYX51">
        <v>1</v>
      </c>
      <c r="BYY51">
        <v>2</v>
      </c>
      <c r="BYZ51">
        <v>0</v>
      </c>
      <c r="BZA51">
        <v>0</v>
      </c>
      <c r="BZB51">
        <v>1</v>
      </c>
      <c r="DMQ51">
        <v>5</v>
      </c>
      <c r="EBA51">
        <v>20</v>
      </c>
      <c r="EFX51">
        <v>3</v>
      </c>
      <c r="EGH51">
        <v>1000</v>
      </c>
      <c r="GRM51">
        <v>4</v>
      </c>
      <c r="GYH51">
        <v>1</v>
      </c>
      <c r="GYT51">
        <v>1</v>
      </c>
      <c r="HFB51">
        <v>1</v>
      </c>
      <c r="HGH51">
        <v>1</v>
      </c>
      <c r="HIM51">
        <v>1</v>
      </c>
      <c r="HJU51">
        <v>1</v>
      </c>
      <c r="HKD51">
        <v>1</v>
      </c>
    </row>
    <row r="52" spans="1:999 1061:2045 2049:3059 3334:3739 4148:4737 5181:5800" x14ac:dyDescent="0.25">
      <c r="A52" s="50">
        <v>1006143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HP52">
        <v>4500</v>
      </c>
      <c r="QS52">
        <v>20</v>
      </c>
      <c r="ZS52">
        <v>17.7</v>
      </c>
      <c r="ARI52" s="50"/>
      <c r="ARJ52" s="50"/>
      <c r="ARK52" s="50"/>
      <c r="ARL52" s="50"/>
      <c r="ARM52" s="50"/>
      <c r="ARN52" s="50"/>
      <c r="ARO52" s="50"/>
      <c r="ARP52" s="50"/>
      <c r="ARQ52" s="50"/>
      <c r="ARR52" s="50"/>
      <c r="ARS52" s="50"/>
      <c r="ART52" s="50"/>
      <c r="BAK52">
        <v>51.8</v>
      </c>
      <c r="BDI52">
        <v>32</v>
      </c>
      <c r="BHV52">
        <v>3.46</v>
      </c>
      <c r="BLV52">
        <v>185</v>
      </c>
      <c r="BPE52">
        <v>80</v>
      </c>
      <c r="BPG52">
        <v>1</v>
      </c>
      <c r="BPH52">
        <v>27.3</v>
      </c>
      <c r="BPJ52">
        <v>1</v>
      </c>
      <c r="BPK52">
        <v>1</v>
      </c>
      <c r="BQY52">
        <v>1</v>
      </c>
      <c r="BSZ52">
        <v>1</v>
      </c>
      <c r="BTW52">
        <v>1</v>
      </c>
      <c r="BWD52">
        <v>1</v>
      </c>
      <c r="BWE52">
        <v>1</v>
      </c>
      <c r="BYU52">
        <v>1</v>
      </c>
      <c r="BYY52">
        <v>1</v>
      </c>
      <c r="BYZ52">
        <v>0</v>
      </c>
      <c r="BZA52">
        <v>0</v>
      </c>
      <c r="BZB52">
        <v>0</v>
      </c>
      <c r="EFD52">
        <v>1</v>
      </c>
      <c r="EFH52">
        <v>0</v>
      </c>
      <c r="EFI52">
        <v>0</v>
      </c>
      <c r="EFJ52">
        <v>999</v>
      </c>
      <c r="GYI52">
        <v>1</v>
      </c>
      <c r="HAW52">
        <v>1</v>
      </c>
      <c r="HFF52">
        <v>1</v>
      </c>
    </row>
    <row r="53" spans="1:999 1061:2045 2049:3059 3334:3739 4148:4737 5181:5800" x14ac:dyDescent="0.25">
      <c r="A53" s="50">
        <v>6006917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  <c r="HP53">
        <v>12200</v>
      </c>
      <c r="JP53">
        <v>54</v>
      </c>
      <c r="NE53">
        <v>74</v>
      </c>
      <c r="QS53">
        <v>81</v>
      </c>
      <c r="ANX53">
        <v>240</v>
      </c>
      <c r="ARI53" s="50"/>
      <c r="ARJ53" s="50"/>
      <c r="ARK53" s="50"/>
      <c r="ARL53" s="50"/>
      <c r="ARM53" s="50"/>
      <c r="ARN53" s="50"/>
      <c r="ARO53" s="50"/>
      <c r="ARP53" s="50"/>
      <c r="ARQ53" s="50"/>
      <c r="ARR53" s="50"/>
      <c r="ARS53" s="50"/>
      <c r="ART53" s="50"/>
      <c r="BNY53">
        <v>1204.7</v>
      </c>
      <c r="BPE53">
        <v>52</v>
      </c>
      <c r="BPG53">
        <v>1</v>
      </c>
      <c r="BUM53">
        <v>1</v>
      </c>
      <c r="BYV53">
        <v>1</v>
      </c>
      <c r="CME53">
        <v>1</v>
      </c>
      <c r="GWT53">
        <v>1</v>
      </c>
      <c r="GYE53">
        <v>1</v>
      </c>
      <c r="HEW53">
        <v>1</v>
      </c>
      <c r="HFR53">
        <v>1</v>
      </c>
      <c r="HFS53">
        <v>1</v>
      </c>
      <c r="HFT53">
        <v>1</v>
      </c>
      <c r="HFU53">
        <v>1</v>
      </c>
      <c r="HIO53">
        <v>1</v>
      </c>
      <c r="HJH53">
        <v>1</v>
      </c>
      <c r="HJI53">
        <v>1</v>
      </c>
      <c r="HJJ53">
        <v>1</v>
      </c>
      <c r="HJK53">
        <v>1</v>
      </c>
      <c r="HJP53">
        <v>1</v>
      </c>
    </row>
    <row r="54" spans="1:999 1061:2045 2049:3059 3334:3739 4148:4737 5181:5800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  <c r="XL54" s="27"/>
      <c r="ARI54" s="50"/>
      <c r="ARJ54" s="50"/>
      <c r="ARK54" s="50"/>
      <c r="ARL54" s="50"/>
      <c r="ARM54" s="50"/>
      <c r="ARN54" s="50"/>
      <c r="ARO54" s="50"/>
      <c r="ARP54" s="50"/>
      <c r="ARQ54" s="50"/>
      <c r="ARR54" s="50"/>
      <c r="ARS54" s="50"/>
      <c r="ART54" s="50"/>
    </row>
    <row r="55" spans="1:999 1061:2045 2049:3059 3334:3739 4148:4737 5181:5800" x14ac:dyDescent="0.25">
      <c r="A55" s="53" t="s">
        <v>157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  <c r="ARI55" s="50"/>
      <c r="ARJ55" s="50"/>
      <c r="ARK55" s="50"/>
      <c r="ARL55" s="50"/>
      <c r="ARM55" s="50"/>
      <c r="ARN55" s="50"/>
      <c r="ARO55" s="50"/>
      <c r="ARP55" s="50"/>
      <c r="ARQ55" s="50"/>
      <c r="ARR55" s="50"/>
      <c r="ARS55" s="50"/>
      <c r="ART55" s="50"/>
    </row>
    <row r="56" spans="1:999 1061:2045 2049:3059 3334:3739 4148:4737 5181:5800" x14ac:dyDescent="0.25">
      <c r="A56" s="50">
        <v>8057159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HW56">
        <v>10520</v>
      </c>
      <c r="HY56">
        <v>8470</v>
      </c>
      <c r="IA56">
        <v>6550</v>
      </c>
      <c r="NL56">
        <v>40</v>
      </c>
      <c r="NN56">
        <v>50</v>
      </c>
      <c r="QZ56">
        <v>68</v>
      </c>
      <c r="RB56">
        <v>71</v>
      </c>
      <c r="AOE56">
        <v>93.3</v>
      </c>
      <c r="AOG56">
        <v>117</v>
      </c>
      <c r="AOI56">
        <v>32</v>
      </c>
      <c r="ARI56" s="50"/>
      <c r="ARJ56" s="50"/>
      <c r="ARK56" s="50"/>
      <c r="ARL56" s="50"/>
      <c r="ARM56" s="50"/>
      <c r="ARN56" s="50"/>
      <c r="ARO56" s="50"/>
      <c r="ARP56" s="50"/>
      <c r="ARQ56" s="50"/>
      <c r="ARR56" s="50"/>
      <c r="ARS56" s="50"/>
      <c r="ART56" s="50"/>
      <c r="ASU56" s="50"/>
      <c r="ASV56" s="50"/>
      <c r="ASW56" s="50"/>
      <c r="ASX56" s="50"/>
      <c r="ASY56" s="50"/>
      <c r="BLJ56">
        <v>40.200000000000003</v>
      </c>
      <c r="BPE56">
        <v>54</v>
      </c>
      <c r="BPG56">
        <v>1</v>
      </c>
      <c r="BPJ56">
        <v>1</v>
      </c>
      <c r="BPK56">
        <v>11</v>
      </c>
      <c r="BZJ56">
        <v>1</v>
      </c>
      <c r="BZK56">
        <v>9</v>
      </c>
      <c r="BZL56">
        <v>8</v>
      </c>
      <c r="BZM56">
        <v>0</v>
      </c>
      <c r="BZN56">
        <v>0</v>
      </c>
      <c r="FUN56">
        <v>8</v>
      </c>
      <c r="FXY56">
        <v>8</v>
      </c>
      <c r="GYE56">
        <v>1</v>
      </c>
      <c r="GYZ56">
        <v>1</v>
      </c>
      <c r="GZF56">
        <v>1</v>
      </c>
      <c r="HEU56">
        <v>1</v>
      </c>
      <c r="HFA56">
        <v>1</v>
      </c>
      <c r="HGH56">
        <v>1</v>
      </c>
    </row>
    <row r="57" spans="1:999 1061:2045 2049:3059 3334:3739 4148:4737 5181:5800" x14ac:dyDescent="0.25">
      <c r="A57" s="50">
        <v>9140312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HS57">
        <v>13220</v>
      </c>
      <c r="XO57">
        <v>12.2</v>
      </c>
      <c r="ZV57">
        <v>11.6</v>
      </c>
      <c r="AOA57">
        <v>11.6</v>
      </c>
      <c r="AOB57">
        <v>8</v>
      </c>
      <c r="AOC57">
        <v>4.7</v>
      </c>
      <c r="ARI57" s="50"/>
      <c r="ARJ57" s="50"/>
      <c r="ARK57" s="50"/>
      <c r="ARL57" s="50"/>
      <c r="ARM57" s="50"/>
      <c r="ARN57" s="50"/>
      <c r="ARO57" s="50"/>
      <c r="ARP57" s="50"/>
      <c r="ARQ57" s="50"/>
      <c r="ARR57" s="50"/>
      <c r="ARS57" s="50"/>
      <c r="ART57" s="50"/>
      <c r="ASU57" s="50"/>
      <c r="ASV57" s="50"/>
      <c r="ASW57" s="50">
        <v>5000</v>
      </c>
      <c r="ASX57" s="50">
        <v>0</v>
      </c>
      <c r="ASY57" s="50">
        <v>23000</v>
      </c>
      <c r="ASZ57">
        <v>60000</v>
      </c>
      <c r="ATA57">
        <v>64000</v>
      </c>
      <c r="AVY57">
        <v>75.8</v>
      </c>
      <c r="BLE57">
        <v>40.700000000000003</v>
      </c>
      <c r="BLI57">
        <v>38.5</v>
      </c>
      <c r="BLY57">
        <v>162</v>
      </c>
      <c r="BMA57">
        <v>85</v>
      </c>
      <c r="BOF57">
        <v>25</v>
      </c>
      <c r="BOG57">
        <v>1305</v>
      </c>
      <c r="BOI57" s="50">
        <v>350</v>
      </c>
      <c r="BOJ57">
        <v>350</v>
      </c>
      <c r="BOK57">
        <v>90</v>
      </c>
      <c r="BON57">
        <v>495</v>
      </c>
      <c r="BOO57">
        <v>300</v>
      </c>
      <c r="BOS57">
        <v>100</v>
      </c>
      <c r="BPA57">
        <v>7</v>
      </c>
      <c r="BPB57">
        <v>8</v>
      </c>
      <c r="BPC57">
        <v>8</v>
      </c>
      <c r="BPD57">
        <v>1</v>
      </c>
      <c r="BPE57">
        <v>5</v>
      </c>
      <c r="BPF57">
        <v>1</v>
      </c>
      <c r="BPJ57">
        <v>1</v>
      </c>
      <c r="BPK57">
        <v>5</v>
      </c>
      <c r="BZE57">
        <v>200</v>
      </c>
      <c r="BZF57">
        <v>4</v>
      </c>
      <c r="BZL57">
        <v>6</v>
      </c>
      <c r="CRH57">
        <v>4</v>
      </c>
      <c r="EEO57">
        <v>1</v>
      </c>
      <c r="GYB57">
        <v>1</v>
      </c>
      <c r="GYU57">
        <v>1</v>
      </c>
      <c r="HBF57">
        <v>1</v>
      </c>
      <c r="HBI57">
        <v>1</v>
      </c>
      <c r="HBR57">
        <v>1</v>
      </c>
      <c r="HBV57">
        <v>1</v>
      </c>
      <c r="HDI57">
        <v>1</v>
      </c>
      <c r="HEP57">
        <v>1</v>
      </c>
      <c r="HEX57">
        <v>1</v>
      </c>
      <c r="HFD57">
        <v>1</v>
      </c>
      <c r="HGH57">
        <v>1</v>
      </c>
      <c r="HIG57">
        <v>1</v>
      </c>
      <c r="HKI57">
        <v>1</v>
      </c>
    </row>
    <row r="58" spans="1:999 1061:2045 2049:3059 3334:3739 4148:4737 5181:5800" x14ac:dyDescent="0.25">
      <c r="A58" s="50">
        <v>12008230</v>
      </c>
      <c r="B58" s="55"/>
      <c r="C58" s="50"/>
      <c r="D58" s="55"/>
      <c r="E58" s="55"/>
      <c r="F58" s="55"/>
      <c r="G58" s="50"/>
      <c r="H58" s="50"/>
      <c r="I58" s="50"/>
      <c r="J58" s="50"/>
      <c r="K58" s="50"/>
      <c r="L58" s="50"/>
      <c r="M58" s="50"/>
      <c r="N58" s="50"/>
      <c r="O58" s="50"/>
      <c r="P58" s="50"/>
      <c r="ARI58" s="50"/>
      <c r="ARJ58" s="50"/>
      <c r="ARK58" s="50"/>
      <c r="ARL58" s="50"/>
      <c r="ARM58" s="50"/>
      <c r="ARN58" s="50"/>
      <c r="ARO58" s="50"/>
      <c r="ARP58" s="50"/>
      <c r="ARQ58" s="50"/>
      <c r="ARR58" s="50"/>
      <c r="ARS58" s="50"/>
      <c r="ART58" s="50"/>
      <c r="ASU58" s="50"/>
      <c r="ASV58" s="50"/>
      <c r="ASW58" s="50"/>
      <c r="ASX58" s="50"/>
      <c r="ASY58" s="50"/>
      <c r="BFS58">
        <v>0</v>
      </c>
      <c r="BGF58">
        <v>0</v>
      </c>
      <c r="BGG58">
        <v>0</v>
      </c>
      <c r="BPE58">
        <v>28</v>
      </c>
      <c r="BPF58">
        <v>1</v>
      </c>
      <c r="BPH58">
        <v>26.01</v>
      </c>
      <c r="BPJ58">
        <v>1</v>
      </c>
      <c r="BPK58">
        <v>12</v>
      </c>
      <c r="BZK58">
        <v>7</v>
      </c>
      <c r="CMP58">
        <v>3</v>
      </c>
      <c r="CMQ58">
        <v>9</v>
      </c>
      <c r="CMR58">
        <v>7</v>
      </c>
      <c r="CMS58">
        <v>0</v>
      </c>
      <c r="GYE58">
        <v>1</v>
      </c>
      <c r="GYH58">
        <v>1</v>
      </c>
      <c r="GYL58">
        <v>1</v>
      </c>
      <c r="HBJ58">
        <v>1</v>
      </c>
      <c r="HEL58">
        <v>1</v>
      </c>
      <c r="HFE58">
        <v>1</v>
      </c>
      <c r="HHJ58">
        <v>1</v>
      </c>
      <c r="HHK58">
        <v>1</v>
      </c>
      <c r="HHL58">
        <v>1</v>
      </c>
      <c r="HHW58">
        <v>1</v>
      </c>
      <c r="HHX58">
        <v>1</v>
      </c>
      <c r="HHY58">
        <v>1</v>
      </c>
      <c r="HHZ58">
        <v>1</v>
      </c>
    </row>
    <row r="59" spans="1:999 1061:2045 2049:3059 3334:3739 4148:4737 5181:5800" x14ac:dyDescent="0.25">
      <c r="A59" s="50">
        <v>12088444</v>
      </c>
      <c r="B59" s="55"/>
      <c r="C59" s="50"/>
      <c r="D59" s="55"/>
      <c r="E59" s="55"/>
      <c r="F59" s="55"/>
      <c r="G59" s="50"/>
      <c r="H59" s="50"/>
      <c r="I59" s="50"/>
      <c r="J59" s="50"/>
      <c r="K59" s="50"/>
      <c r="L59" s="50"/>
      <c r="M59" s="50"/>
      <c r="N59" s="50"/>
      <c r="O59" s="50"/>
      <c r="P59" s="50"/>
      <c r="HT59">
        <v>2330</v>
      </c>
      <c r="HZ59">
        <v>8430</v>
      </c>
      <c r="IR59">
        <v>3950</v>
      </c>
      <c r="IS59">
        <v>4840</v>
      </c>
      <c r="JT59">
        <v>121</v>
      </c>
      <c r="JZ59">
        <v>89</v>
      </c>
      <c r="LT59">
        <v>31</v>
      </c>
      <c r="NI59">
        <v>44</v>
      </c>
      <c r="NO59">
        <v>70</v>
      </c>
      <c r="PK59">
        <v>36</v>
      </c>
      <c r="TO59">
        <v>910</v>
      </c>
      <c r="ZW59">
        <v>13.1</v>
      </c>
      <c r="AAC59">
        <v>12.5</v>
      </c>
      <c r="AAV59">
        <v>12.3</v>
      </c>
      <c r="AAX59">
        <v>12.7</v>
      </c>
      <c r="ALK59">
        <v>594</v>
      </c>
      <c r="AOB59">
        <v>35.5</v>
      </c>
      <c r="AOH59">
        <v>1.8</v>
      </c>
      <c r="AOZ59">
        <v>1.3</v>
      </c>
      <c r="APB59">
        <v>0.6</v>
      </c>
      <c r="ARI59" s="50"/>
      <c r="ARJ59" s="50"/>
      <c r="ARK59" s="50"/>
      <c r="ARL59" s="50"/>
      <c r="ARM59" s="50"/>
      <c r="ARN59" s="50"/>
      <c r="ARO59" s="50"/>
      <c r="ARP59" s="50"/>
      <c r="ARQ59" s="50"/>
      <c r="ARR59" s="50"/>
      <c r="ARS59" s="50"/>
      <c r="ART59" s="50"/>
      <c r="ASU59" s="50"/>
      <c r="ASV59" s="50"/>
      <c r="ASW59" s="50"/>
      <c r="ASX59" s="50"/>
      <c r="ASY59" s="50">
        <v>78000</v>
      </c>
      <c r="ATE59">
        <v>1770</v>
      </c>
      <c r="ATY59">
        <v>2230</v>
      </c>
      <c r="ATZ59">
        <v>187000</v>
      </c>
      <c r="BKW59" s="50"/>
      <c r="BKX59" s="50"/>
      <c r="BPE59">
        <v>15</v>
      </c>
      <c r="BPG59">
        <v>1</v>
      </c>
      <c r="BPH59">
        <v>25.89</v>
      </c>
      <c r="BPJ59">
        <v>1</v>
      </c>
      <c r="BPK59">
        <v>12</v>
      </c>
      <c r="BQZ59">
        <v>1</v>
      </c>
      <c r="BVR59">
        <v>1</v>
      </c>
      <c r="BZE59">
        <v>800</v>
      </c>
      <c r="BZI59">
        <v>1</v>
      </c>
      <c r="BZK59">
        <v>638</v>
      </c>
      <c r="BZL59">
        <v>630</v>
      </c>
      <c r="BZM59">
        <v>0</v>
      </c>
      <c r="BZN59">
        <v>8</v>
      </c>
      <c r="EEO59">
        <v>1</v>
      </c>
      <c r="EMM59">
        <v>40</v>
      </c>
      <c r="EMN59">
        <v>1</v>
      </c>
      <c r="EMQ59">
        <v>1</v>
      </c>
      <c r="EMR59">
        <v>638</v>
      </c>
      <c r="EMS59">
        <v>630</v>
      </c>
      <c r="EMT59">
        <v>0</v>
      </c>
      <c r="EMU59">
        <v>8</v>
      </c>
      <c r="FCN59">
        <v>249</v>
      </c>
      <c r="FCS59">
        <v>999</v>
      </c>
      <c r="FCT59">
        <v>999</v>
      </c>
      <c r="FCU59">
        <v>0</v>
      </c>
      <c r="FCV59">
        <v>999</v>
      </c>
      <c r="GQG59">
        <v>15</v>
      </c>
      <c r="GQH59">
        <v>0.14000000000000001</v>
      </c>
      <c r="GQK59">
        <v>1</v>
      </c>
      <c r="GQL59">
        <v>999</v>
      </c>
      <c r="GQM59">
        <v>669</v>
      </c>
      <c r="GQN59">
        <v>0</v>
      </c>
      <c r="GQO59">
        <v>999</v>
      </c>
      <c r="GYT59">
        <v>1</v>
      </c>
      <c r="HEG59">
        <v>1</v>
      </c>
      <c r="HER59">
        <v>1</v>
      </c>
    </row>
    <row r="60" spans="1:999 1061:2045 2049:3059 3334:3739 4148:4737 5181:5800" x14ac:dyDescent="0.25">
      <c r="A60" s="50">
        <v>13118872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HU60">
        <v>10500</v>
      </c>
      <c r="AOC60">
        <v>118.79</v>
      </c>
      <c r="AVZ60">
        <v>87.62</v>
      </c>
      <c r="BPE60">
        <v>48</v>
      </c>
      <c r="BPG60">
        <v>1</v>
      </c>
      <c r="BPJ60">
        <v>1</v>
      </c>
      <c r="BQO60">
        <v>1</v>
      </c>
      <c r="BSG60">
        <v>1</v>
      </c>
      <c r="BZI60">
        <v>1</v>
      </c>
      <c r="BZK60">
        <v>3</v>
      </c>
      <c r="BZL60">
        <v>2</v>
      </c>
      <c r="BZM60">
        <v>0</v>
      </c>
      <c r="BZN60">
        <v>0</v>
      </c>
      <c r="DBS60" s="50">
        <v>25</v>
      </c>
      <c r="DBT60">
        <v>1</v>
      </c>
      <c r="DBW60">
        <v>1</v>
      </c>
      <c r="DBX60">
        <v>2</v>
      </c>
      <c r="DBY60">
        <v>14</v>
      </c>
      <c r="DBZ60">
        <v>13</v>
      </c>
      <c r="DCA60">
        <v>0</v>
      </c>
      <c r="EMC60">
        <v>20</v>
      </c>
      <c r="EMG60">
        <v>1</v>
      </c>
      <c r="EMH60">
        <v>3</v>
      </c>
      <c r="EMI60">
        <v>0</v>
      </c>
      <c r="EMJ60">
        <v>0</v>
      </c>
      <c r="EMK60">
        <v>2</v>
      </c>
      <c r="FJO60" s="50">
        <v>15</v>
      </c>
      <c r="FJP60">
        <v>1</v>
      </c>
      <c r="FJS60">
        <v>1</v>
      </c>
      <c r="FJT60">
        <v>5</v>
      </c>
      <c r="FJU60">
        <v>4</v>
      </c>
      <c r="FJV60">
        <v>0</v>
      </c>
      <c r="FJW60">
        <v>0</v>
      </c>
      <c r="FJY60">
        <v>40</v>
      </c>
      <c r="FJZ60">
        <v>1</v>
      </c>
      <c r="FKC60">
        <v>1</v>
      </c>
      <c r="FKD60">
        <v>2</v>
      </c>
      <c r="FKE60">
        <v>1</v>
      </c>
      <c r="FKF60">
        <v>0</v>
      </c>
      <c r="FKG60">
        <v>0</v>
      </c>
      <c r="FVT60">
        <v>25</v>
      </c>
      <c r="FVU60">
        <v>1</v>
      </c>
      <c r="FVX60">
        <v>1</v>
      </c>
      <c r="FVY60">
        <v>2</v>
      </c>
      <c r="FVZ60">
        <v>14</v>
      </c>
      <c r="FWA60">
        <v>13</v>
      </c>
      <c r="FWB60">
        <v>0</v>
      </c>
      <c r="FYW60">
        <v>75</v>
      </c>
      <c r="FYX60">
        <v>1</v>
      </c>
      <c r="FZA60">
        <v>1</v>
      </c>
      <c r="FZC60">
        <v>18</v>
      </c>
      <c r="FZD60">
        <v>0</v>
      </c>
      <c r="FZE60">
        <v>999</v>
      </c>
      <c r="GZP60">
        <v>1</v>
      </c>
      <c r="HAB60">
        <v>1</v>
      </c>
      <c r="HEQ60">
        <v>1</v>
      </c>
      <c r="HFF60">
        <v>1</v>
      </c>
    </row>
    <row r="61" spans="1:999 1061:2045 2049:3059 3334:3739 4148:4737 5181:5800" x14ac:dyDescent="0.25">
      <c r="A61" s="50">
        <v>12012030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VS61">
        <v>195</v>
      </c>
      <c r="VW61">
        <v>338</v>
      </c>
      <c r="WR61">
        <v>42</v>
      </c>
      <c r="WS61">
        <v>42</v>
      </c>
      <c r="WX61">
        <v>240</v>
      </c>
      <c r="WY61">
        <v>346</v>
      </c>
      <c r="AKZ61">
        <v>0.24</v>
      </c>
      <c r="AOL61">
        <v>5</v>
      </c>
      <c r="APV61">
        <v>33</v>
      </c>
      <c r="AQA61">
        <v>33</v>
      </c>
      <c r="AQT61">
        <v>5.25</v>
      </c>
      <c r="ARX61">
        <v>250</v>
      </c>
      <c r="ATQ61">
        <v>462000</v>
      </c>
      <c r="AXO61">
        <v>217</v>
      </c>
      <c r="AXS61">
        <v>206</v>
      </c>
      <c r="BMJ61">
        <v>85</v>
      </c>
      <c r="BNB61">
        <v>3800</v>
      </c>
      <c r="BNC61">
        <v>4200</v>
      </c>
      <c r="BOL61">
        <v>250</v>
      </c>
      <c r="BOM61">
        <v>250</v>
      </c>
      <c r="BOU61">
        <v>500</v>
      </c>
      <c r="BOV61">
        <v>500</v>
      </c>
      <c r="BOX61">
        <v>226.7</v>
      </c>
      <c r="BPE61">
        <v>4</v>
      </c>
      <c r="BPF61">
        <v>1</v>
      </c>
      <c r="BPJ61">
        <v>1</v>
      </c>
      <c r="BPP61">
        <v>1</v>
      </c>
      <c r="BZI61">
        <v>1</v>
      </c>
      <c r="BZK61">
        <v>14</v>
      </c>
      <c r="BZL61">
        <v>4</v>
      </c>
      <c r="BZM61">
        <v>0</v>
      </c>
      <c r="BZN61">
        <v>10</v>
      </c>
      <c r="HCF61">
        <v>1</v>
      </c>
      <c r="HDC61">
        <v>1</v>
      </c>
      <c r="HDE61">
        <v>1</v>
      </c>
      <c r="HDH61">
        <v>1</v>
      </c>
      <c r="HDK61">
        <v>1</v>
      </c>
      <c r="HDM61">
        <v>1</v>
      </c>
      <c r="HGA61">
        <v>1</v>
      </c>
      <c r="HIN61">
        <v>1</v>
      </c>
      <c r="HJI61">
        <v>1</v>
      </c>
    </row>
    <row r="62" spans="1:999 1061:2045 2049:3059 3334:3739 4148:4737 5181:5800" x14ac:dyDescent="0.2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spans="1:999 1061:2045 2049:3059 3334:3739 4148:4737 5181:5800" x14ac:dyDescent="0.25">
      <c r="A63" s="53" t="s">
        <v>131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HU63" t="s">
        <v>628</v>
      </c>
    </row>
    <row r="64" spans="1:999 1061:2045 2049:3059 3334:3739 4148:4737 5181:5800" x14ac:dyDescent="0.25">
      <c r="A64" s="50">
        <v>9074418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HS64">
        <v>25000</v>
      </c>
      <c r="AOA64">
        <v>250</v>
      </c>
      <c r="AVY64">
        <v>87</v>
      </c>
      <c r="BFK64">
        <v>0</v>
      </c>
      <c r="BFL64">
        <v>0</v>
      </c>
      <c r="BFM64">
        <v>0</v>
      </c>
      <c r="BFT64">
        <v>0</v>
      </c>
      <c r="BFV64">
        <v>0</v>
      </c>
      <c r="BGB64">
        <v>0</v>
      </c>
      <c r="BGC64">
        <v>0</v>
      </c>
      <c r="BGE64">
        <v>0</v>
      </c>
      <c r="BLI64">
        <v>39</v>
      </c>
      <c r="BOB64" t="s">
        <v>651</v>
      </c>
      <c r="BOC64">
        <v>1</v>
      </c>
      <c r="BOD64">
        <v>1</v>
      </c>
      <c r="BPE64">
        <v>48</v>
      </c>
      <c r="BPF64">
        <v>1</v>
      </c>
      <c r="BPJ64">
        <v>1</v>
      </c>
      <c r="BUR64">
        <v>1</v>
      </c>
      <c r="BZW64">
        <v>5</v>
      </c>
      <c r="BZX64">
        <v>5</v>
      </c>
      <c r="CMP64">
        <v>3</v>
      </c>
      <c r="CMQ64">
        <v>3</v>
      </c>
      <c r="CMR64">
        <v>0</v>
      </c>
      <c r="GYE64">
        <v>1</v>
      </c>
      <c r="HBV64">
        <v>1</v>
      </c>
      <c r="HEV64">
        <v>1</v>
      </c>
      <c r="HEW64">
        <v>1</v>
      </c>
      <c r="HFC64">
        <v>1</v>
      </c>
      <c r="HFF64">
        <v>1</v>
      </c>
      <c r="HHA64">
        <v>1</v>
      </c>
      <c r="HHB64">
        <v>1</v>
      </c>
      <c r="HJO64">
        <v>1</v>
      </c>
      <c r="HMQ64">
        <v>1</v>
      </c>
      <c r="HNQ64">
        <v>1</v>
      </c>
      <c r="HNR64">
        <v>1</v>
      </c>
      <c r="HNV64">
        <v>1</v>
      </c>
      <c r="HNW64">
        <v>1</v>
      </c>
      <c r="HNX64">
        <v>1</v>
      </c>
      <c r="HOB64">
        <v>1</v>
      </c>
    </row>
    <row r="65" spans="1:2046 2049:2722 3295:3608 4108:4901 5285:5790" x14ac:dyDescent="0.25">
      <c r="A65" s="50">
        <v>1263</v>
      </c>
      <c r="B65" s="54"/>
      <c r="C65" s="50"/>
      <c r="D65" s="54"/>
      <c r="E65" s="54"/>
      <c r="F65" s="54"/>
      <c r="G65" s="54"/>
      <c r="H65" s="54"/>
      <c r="I65" s="54"/>
      <c r="J65" s="54"/>
      <c r="K65" s="54"/>
      <c r="L65" s="50">
        <v>124</v>
      </c>
      <c r="M65" s="50"/>
      <c r="N65" s="50">
        <v>41</v>
      </c>
      <c r="O65" s="50"/>
      <c r="P65" s="50"/>
      <c r="BC65">
        <v>5</v>
      </c>
      <c r="BE65">
        <v>20</v>
      </c>
      <c r="BH65">
        <v>75</v>
      </c>
      <c r="BJ65">
        <v>74</v>
      </c>
      <c r="EG65">
        <v>180</v>
      </c>
      <c r="EI65">
        <v>61</v>
      </c>
      <c r="EL65">
        <v>33.6</v>
      </c>
      <c r="FE65">
        <v>14.4</v>
      </c>
      <c r="BPE65">
        <v>70</v>
      </c>
      <c r="BPG65">
        <v>1</v>
      </c>
      <c r="BPH65">
        <v>16.7</v>
      </c>
      <c r="BPJ65">
        <v>1</v>
      </c>
      <c r="BPK65">
        <v>11</v>
      </c>
      <c r="BXK65">
        <v>1</v>
      </c>
      <c r="BXM65">
        <v>1</v>
      </c>
      <c r="BZQ65">
        <v>500</v>
      </c>
      <c r="BZR65">
        <v>4</v>
      </c>
      <c r="BZU65">
        <v>1</v>
      </c>
      <c r="CVT65">
        <v>400</v>
      </c>
      <c r="CVU65">
        <v>2</v>
      </c>
      <c r="CVX65">
        <v>1</v>
      </c>
      <c r="CVY65">
        <v>4</v>
      </c>
      <c r="CVZ65">
        <v>4</v>
      </c>
      <c r="CWA65">
        <v>1</v>
      </c>
      <c r="CWB65">
        <v>0</v>
      </c>
      <c r="CWE65">
        <v>2</v>
      </c>
      <c r="CWH65">
        <v>1</v>
      </c>
      <c r="CWI65">
        <v>4</v>
      </c>
      <c r="CWJ65">
        <v>4</v>
      </c>
      <c r="CWK65">
        <v>1</v>
      </c>
      <c r="CWL65">
        <v>0</v>
      </c>
      <c r="DXF65">
        <v>1</v>
      </c>
      <c r="DXG65" s="1" t="s">
        <v>789</v>
      </c>
      <c r="FAZ65">
        <v>2</v>
      </c>
      <c r="FBC65">
        <v>1</v>
      </c>
      <c r="FBD65">
        <v>3</v>
      </c>
      <c r="FBE65">
        <v>1</v>
      </c>
      <c r="FBF65">
        <v>0</v>
      </c>
      <c r="FBG65">
        <v>1</v>
      </c>
      <c r="HAZ65">
        <v>1</v>
      </c>
      <c r="HGH65">
        <v>1</v>
      </c>
      <c r="HGK65">
        <v>1</v>
      </c>
      <c r="HGP65">
        <v>1</v>
      </c>
    </row>
    <row r="66" spans="1:2046 2049:2722 3295:3608 4108:4901 5285:5790" x14ac:dyDescent="0.25">
      <c r="A66" s="50">
        <v>98004910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JP66">
        <v>47</v>
      </c>
      <c r="NE66">
        <v>82</v>
      </c>
      <c r="QS66">
        <v>225</v>
      </c>
      <c r="TK66">
        <v>340</v>
      </c>
      <c r="AGT66">
        <v>486</v>
      </c>
      <c r="BPE66">
        <v>17</v>
      </c>
      <c r="BPG66">
        <v>1</v>
      </c>
      <c r="BPH66">
        <v>18.3</v>
      </c>
      <c r="BPJ66">
        <v>1</v>
      </c>
      <c r="BPQ66">
        <v>1</v>
      </c>
      <c r="BZQ66">
        <v>500</v>
      </c>
      <c r="BZR66">
        <v>2</v>
      </c>
      <c r="BZU66">
        <v>1</v>
      </c>
      <c r="BZW66">
        <v>2</v>
      </c>
      <c r="BZX66">
        <v>1</v>
      </c>
      <c r="BZY66">
        <v>0</v>
      </c>
      <c r="BZZ66">
        <v>0</v>
      </c>
      <c r="GZP66">
        <v>1</v>
      </c>
      <c r="HAC66">
        <v>1</v>
      </c>
      <c r="HEO66">
        <v>1</v>
      </c>
      <c r="HER66">
        <v>1</v>
      </c>
    </row>
    <row r="67" spans="1:2046 2049:2722 3295:3608 4108:4901 5285:5790" x14ac:dyDescent="0.25">
      <c r="A67" s="50">
        <v>7103068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BB67">
        <v>29</v>
      </c>
      <c r="CL67">
        <v>2.0499999999999998</v>
      </c>
      <c r="GI67">
        <v>100</v>
      </c>
      <c r="HP67">
        <v>23600</v>
      </c>
      <c r="ID67">
        <v>7700</v>
      </c>
      <c r="IJ67">
        <v>4300</v>
      </c>
      <c r="KE67">
        <v>30</v>
      </c>
      <c r="KH67">
        <v>31</v>
      </c>
      <c r="QS67">
        <v>163.80000000000001</v>
      </c>
      <c r="RH67">
        <v>75</v>
      </c>
      <c r="TK67">
        <v>748.8</v>
      </c>
      <c r="TQ67">
        <v>487</v>
      </c>
      <c r="XX67">
        <v>11</v>
      </c>
      <c r="AAY67">
        <v>18.3002</v>
      </c>
      <c r="AGT67">
        <v>514.20000000000005</v>
      </c>
      <c r="ANX67">
        <v>185</v>
      </c>
      <c r="ASG67">
        <v>93</v>
      </c>
      <c r="AXF67">
        <v>16</v>
      </c>
      <c r="BKS67">
        <v>1740</v>
      </c>
      <c r="BLF67">
        <v>38</v>
      </c>
      <c r="BMU67">
        <v>34</v>
      </c>
      <c r="BPE67">
        <v>39</v>
      </c>
      <c r="BPG67">
        <v>1</v>
      </c>
      <c r="BPJ67">
        <v>1</v>
      </c>
      <c r="BVR67">
        <v>1</v>
      </c>
      <c r="BXC67">
        <v>1</v>
      </c>
      <c r="BZE67">
        <v>1800</v>
      </c>
      <c r="BZF67">
        <v>1</v>
      </c>
      <c r="BZQ67">
        <v>1000</v>
      </c>
      <c r="BZR67">
        <v>4</v>
      </c>
      <c r="CWN67">
        <v>1</v>
      </c>
      <c r="CWY67">
        <v>1</v>
      </c>
      <c r="CXJ67">
        <v>1</v>
      </c>
      <c r="EEP67">
        <v>250</v>
      </c>
      <c r="EER67">
        <v>1</v>
      </c>
      <c r="EEU67">
        <v>3</v>
      </c>
      <c r="GYD67">
        <v>1</v>
      </c>
      <c r="GYE67">
        <v>1</v>
      </c>
      <c r="GYG67">
        <v>1</v>
      </c>
      <c r="GYV67">
        <v>1</v>
      </c>
      <c r="GZA67">
        <v>1</v>
      </c>
      <c r="HAZ67">
        <v>1</v>
      </c>
      <c r="HBE67">
        <v>1</v>
      </c>
      <c r="HBX67">
        <v>1</v>
      </c>
      <c r="HFK67">
        <v>1</v>
      </c>
      <c r="HFN67">
        <v>1</v>
      </c>
      <c r="HHQ67">
        <v>1</v>
      </c>
      <c r="HHS67">
        <v>1</v>
      </c>
      <c r="HMV67">
        <v>1</v>
      </c>
    </row>
    <row r="68" spans="1:2046 2049:2722 3295:3608 4108:4901 5285:5790" x14ac:dyDescent="0.25">
      <c r="A68" s="50">
        <v>11240728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JQ68">
        <v>115.2</v>
      </c>
      <c r="JR68">
        <v>114</v>
      </c>
      <c r="JT68">
        <v>151.19999999999999</v>
      </c>
      <c r="JW68">
        <v>40.200000000000003</v>
      </c>
      <c r="NF68">
        <v>156</v>
      </c>
      <c r="NG68">
        <v>151.80000000000001</v>
      </c>
      <c r="NI68">
        <v>161.4</v>
      </c>
      <c r="NL68">
        <v>91.8</v>
      </c>
      <c r="QT68">
        <v>336</v>
      </c>
      <c r="QU68">
        <v>325.2</v>
      </c>
      <c r="QW68">
        <v>424.2</v>
      </c>
      <c r="QZ68">
        <v>268.2</v>
      </c>
      <c r="ABB68">
        <v>3.2974999999999999</v>
      </c>
      <c r="ABC68">
        <v>1.3681000000000001</v>
      </c>
      <c r="ABE68">
        <v>0.92379999999999995</v>
      </c>
      <c r="AGU68">
        <v>122.4</v>
      </c>
      <c r="AGV68">
        <v>248.4</v>
      </c>
      <c r="AGX68">
        <v>183</v>
      </c>
      <c r="BFF68" s="50"/>
      <c r="BFG68" s="50"/>
      <c r="BFH68" s="50"/>
      <c r="BFI68" s="50"/>
      <c r="BFJ68" s="50"/>
      <c r="BPE68">
        <v>51</v>
      </c>
      <c r="BPF68">
        <v>1</v>
      </c>
      <c r="BPH68">
        <v>26.01</v>
      </c>
      <c r="BPJ68">
        <v>1</v>
      </c>
      <c r="BPL68">
        <v>1</v>
      </c>
      <c r="BZP68">
        <v>1</v>
      </c>
      <c r="BZQ68">
        <v>1500</v>
      </c>
      <c r="BZU68">
        <v>1</v>
      </c>
      <c r="BZW68">
        <v>3</v>
      </c>
      <c r="BZX68">
        <v>2</v>
      </c>
      <c r="BZY68">
        <v>0</v>
      </c>
      <c r="BZZ68">
        <v>0</v>
      </c>
      <c r="CTV68">
        <v>500</v>
      </c>
      <c r="CTZ68">
        <v>1</v>
      </c>
      <c r="CUA68">
        <v>1</v>
      </c>
      <c r="CUB68">
        <v>0</v>
      </c>
      <c r="CUC68">
        <v>0</v>
      </c>
      <c r="HCB68">
        <v>1</v>
      </c>
      <c r="HFF68">
        <v>1</v>
      </c>
      <c r="HNR68">
        <v>1</v>
      </c>
    </row>
    <row r="69" spans="1:2046 2049:2722 3295:3608 4108:4901 5285:5790" x14ac:dyDescent="0.25"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7"/>
      <c r="GY69" s="7"/>
      <c r="GZ69" s="7"/>
      <c r="HA69" s="7"/>
      <c r="HB69" s="7"/>
      <c r="HC69" s="7"/>
      <c r="HD69" s="7"/>
      <c r="HP69" s="7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JA69" s="6"/>
      <c r="JB69" s="6"/>
      <c r="JC69" s="6"/>
      <c r="JD69" s="6"/>
      <c r="JE69" s="6"/>
      <c r="JF69" s="6"/>
      <c r="JG69" s="6"/>
      <c r="JH69" s="6"/>
      <c r="JJ69" s="6"/>
      <c r="JK69" s="6"/>
      <c r="JP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S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8"/>
      <c r="TK69" s="8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7"/>
      <c r="AIY69" s="7"/>
      <c r="AIZ69" s="7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7"/>
      <c r="AKF69" s="7"/>
      <c r="AKG69" s="7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7"/>
      <c r="ALP69" s="7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  <c r="AMY69" s="6"/>
      <c r="AMZ69" s="6"/>
      <c r="ANA69" s="6"/>
      <c r="ANB69" s="6"/>
      <c r="ANC69" s="6"/>
      <c r="AND69" s="6"/>
      <c r="ANE69" s="6"/>
      <c r="ANF69" s="6"/>
      <c r="ANG69" s="6"/>
      <c r="ANH69" s="6"/>
      <c r="ANI69" s="6"/>
      <c r="ANJ69" s="6"/>
      <c r="ANK69" s="6"/>
      <c r="ANL69" s="6"/>
      <c r="ANM69" s="6"/>
      <c r="ANN69" s="6"/>
      <c r="ANO69" s="6"/>
      <c r="ANP69" s="6"/>
      <c r="ANQ69" s="6"/>
      <c r="ANR69" s="6"/>
      <c r="ANS69" s="6"/>
      <c r="ANT69" s="6"/>
      <c r="ANU69" s="6"/>
      <c r="ANV69" s="6"/>
      <c r="ANW69" s="6"/>
      <c r="ANX69" s="6"/>
      <c r="ANY69" s="6"/>
      <c r="ANZ69" s="6"/>
      <c r="AOA69" s="6"/>
      <c r="AOB69" s="6"/>
      <c r="AOC69" s="6"/>
      <c r="AOD69" s="6"/>
      <c r="AOE69" s="6"/>
      <c r="AOF69" s="6"/>
      <c r="AOG69" s="6"/>
      <c r="AOH69" s="6"/>
      <c r="AOI69" s="6"/>
      <c r="AOJ69" s="6"/>
      <c r="AOK69" s="6"/>
      <c r="AOL69" s="6"/>
      <c r="AOM69" s="6"/>
      <c r="AON69" s="6"/>
      <c r="AOO69" s="6"/>
      <c r="AOP69" s="6"/>
      <c r="AOQ69" s="6"/>
      <c r="AOR69" s="6"/>
      <c r="AOS69" s="6"/>
      <c r="AOT69" s="6"/>
      <c r="AOU69" s="6"/>
      <c r="AOV69" s="6"/>
      <c r="AOW69" s="6"/>
      <c r="AOX69" s="6"/>
      <c r="AOY69" s="6"/>
      <c r="AOZ69" s="6"/>
      <c r="APA69" s="6"/>
      <c r="APB69" s="6"/>
      <c r="APC69" s="6"/>
      <c r="APD69" s="6"/>
      <c r="APK69" s="6"/>
      <c r="APP69" s="6"/>
      <c r="APQ69" s="6"/>
      <c r="APR69" s="6"/>
      <c r="APS69" s="6"/>
      <c r="APT69" s="6"/>
      <c r="APU69" s="6"/>
      <c r="APV69" s="6"/>
      <c r="APW69" s="6"/>
      <c r="APX69" s="6"/>
      <c r="APY69" s="6"/>
      <c r="APZ69" s="6"/>
      <c r="AQA69" s="6"/>
      <c r="AQB69" s="6"/>
      <c r="AQC69" s="6"/>
      <c r="AQD69" s="6"/>
      <c r="AQE69" s="6"/>
      <c r="AQF69" s="6"/>
      <c r="AQG69" s="6"/>
      <c r="AQH69" s="6"/>
      <c r="AQI69" s="6"/>
      <c r="AQJ69" s="6"/>
      <c r="AQK69" s="6"/>
      <c r="AQL69" s="6"/>
      <c r="AQM69" s="6"/>
      <c r="AQN69" s="6"/>
      <c r="AQO69" s="6"/>
      <c r="AQP69" s="6"/>
      <c r="AQQ69" s="6"/>
      <c r="AQR69" s="6"/>
      <c r="AQS69" s="6"/>
      <c r="AQT69" s="6"/>
      <c r="AQU69" s="6"/>
      <c r="AQV69" s="6"/>
      <c r="AQW69" s="6"/>
      <c r="AQX69" s="6"/>
      <c r="AQY69" s="6"/>
      <c r="AQZ69" s="6"/>
      <c r="ARA69" s="6"/>
      <c r="ARB69" s="6"/>
      <c r="ARC69" s="6"/>
      <c r="ARD69" s="6"/>
      <c r="ARE69" s="6"/>
      <c r="ARF69" s="6"/>
      <c r="ARG69" s="6"/>
      <c r="ARH69" s="6"/>
      <c r="ARI69" s="6"/>
      <c r="ARJ69" s="6"/>
      <c r="ARK69" s="6"/>
      <c r="ARL69" s="6"/>
      <c r="ARM69" s="6"/>
      <c r="ARN69" s="6"/>
      <c r="ARO69" s="6"/>
      <c r="ARP69" s="6"/>
      <c r="ARQ69" s="6"/>
      <c r="ARR69" s="6"/>
      <c r="ARS69" s="6"/>
      <c r="ART69" s="6"/>
      <c r="ARU69" s="6"/>
      <c r="ARV69" s="6"/>
      <c r="ARW69" s="6"/>
      <c r="ARX69" s="6"/>
      <c r="ARY69" s="6"/>
      <c r="ARZ69" s="6"/>
      <c r="ASA69" s="6"/>
      <c r="ASB69" s="6"/>
      <c r="ASC69" s="6"/>
      <c r="ASD69" s="6"/>
      <c r="ASE69" s="6"/>
      <c r="ASF69" s="6"/>
      <c r="ASG69" s="6"/>
      <c r="ASH69" s="6"/>
      <c r="ASI69" s="6"/>
      <c r="ASJ69" s="6"/>
      <c r="ASK69" s="6"/>
      <c r="ASL69" s="6"/>
      <c r="ASM69" s="6"/>
      <c r="ASN69" s="8"/>
      <c r="ASO69" s="8"/>
      <c r="ASP69" s="8"/>
      <c r="ASQ69" s="8"/>
      <c r="ASR69" s="8"/>
      <c r="ASS69" s="8"/>
      <c r="AST69" s="8"/>
      <c r="ASU69" s="8"/>
      <c r="ASV69" s="6"/>
      <c r="ASW69" s="6"/>
      <c r="ASX69" s="6"/>
      <c r="ASY69" s="6"/>
      <c r="ASZ69" s="6"/>
      <c r="ATA69" s="6"/>
      <c r="ATB69" s="6"/>
      <c r="ATC69" s="6"/>
      <c r="ATD69" s="6"/>
      <c r="ATE69" s="6"/>
      <c r="ATF69" s="6"/>
      <c r="ATG69" s="6"/>
      <c r="ATH69" s="6"/>
      <c r="ATI69" s="6"/>
      <c r="ATJ69" s="6"/>
      <c r="ATK69" s="6"/>
      <c r="ATL69" s="6"/>
      <c r="ATM69" s="6"/>
      <c r="ATN69" s="6"/>
      <c r="ATO69" s="6"/>
      <c r="ATP69" s="6"/>
      <c r="ATQ69" s="6"/>
      <c r="ATR69" s="6"/>
      <c r="ATS69" s="6"/>
      <c r="ATT69" s="6"/>
      <c r="ATU69" s="6"/>
      <c r="ATV69" s="6"/>
      <c r="ATW69" s="6"/>
      <c r="ATX69" s="6"/>
      <c r="ATY69" s="6"/>
      <c r="ATZ69" s="6"/>
      <c r="AUA69" s="6"/>
      <c r="AUB69" s="6"/>
      <c r="AUC69" s="6"/>
      <c r="AUD69" s="6"/>
      <c r="AUE69" s="6"/>
      <c r="AUF69" s="6"/>
      <c r="AUG69" s="6"/>
      <c r="AUH69" s="6"/>
      <c r="AUI69" s="6"/>
      <c r="AUJ69" s="7"/>
      <c r="AUK69" s="7"/>
      <c r="AUL69" s="7"/>
      <c r="AUM69" s="7"/>
      <c r="AUN69" s="7"/>
      <c r="AUO69" s="6"/>
      <c r="AUP69" s="6"/>
      <c r="AUQ69" s="6"/>
      <c r="AUR69" s="6"/>
      <c r="AUS69" s="6"/>
      <c r="AUT69" s="6"/>
      <c r="AUU69" s="6"/>
      <c r="AUV69" s="6"/>
      <c r="AUW69" s="6"/>
      <c r="AUX69" s="6"/>
      <c r="AUY69" s="6"/>
      <c r="AUZ69" s="6"/>
      <c r="AVA69" s="6"/>
      <c r="AVB69" s="6"/>
      <c r="AVC69" s="6"/>
      <c r="AVD69" s="6"/>
      <c r="AVE69" s="6"/>
      <c r="AVF69" s="6"/>
      <c r="AVG69" s="6"/>
      <c r="AVH69" s="6"/>
      <c r="AVI69" s="6"/>
      <c r="AVJ69" s="6"/>
      <c r="AVK69" s="6"/>
      <c r="AVL69" s="6"/>
      <c r="AVM69" s="6"/>
      <c r="AVN69" s="6"/>
      <c r="AVO69" s="6"/>
      <c r="AVP69" s="6"/>
      <c r="AVQ69" s="6"/>
      <c r="AVR69" s="6"/>
      <c r="AVS69" s="6"/>
      <c r="AVT69" s="6"/>
      <c r="AVU69" s="6"/>
      <c r="AVV69" s="6"/>
      <c r="AVW69" s="6"/>
      <c r="AVX69" s="6"/>
      <c r="AVY69" s="6"/>
      <c r="AVZ69" s="6"/>
      <c r="AWA69" s="6"/>
      <c r="AWB69" s="6"/>
      <c r="AWC69" s="6"/>
      <c r="AWD69" s="6"/>
      <c r="AWE69" s="6"/>
      <c r="AWF69" s="6"/>
      <c r="AWG69" s="6"/>
      <c r="AWH69" s="6"/>
      <c r="AWI69" s="6"/>
      <c r="AWJ69" s="6"/>
      <c r="AWK69" s="6"/>
      <c r="AWL69" s="6"/>
      <c r="AWM69" s="6"/>
      <c r="AWN69" s="6"/>
      <c r="AWO69" s="6"/>
      <c r="AWP69" s="6"/>
      <c r="AWQ69" s="6"/>
      <c r="AWR69" s="6"/>
      <c r="AWS69" s="6"/>
      <c r="AWT69" s="6"/>
      <c r="AWU69" s="6"/>
      <c r="AWV69" s="6"/>
      <c r="AWW69" s="6"/>
      <c r="AWX69" s="6"/>
      <c r="AWY69" s="6"/>
      <c r="AWZ69" s="6"/>
      <c r="AXA69" s="6"/>
      <c r="AXB69" s="6"/>
      <c r="AXC69" s="6"/>
      <c r="AXD69" s="6"/>
      <c r="AXE69" s="6"/>
      <c r="AXF69" s="6"/>
      <c r="AXG69" s="6"/>
      <c r="AXH69" s="6"/>
      <c r="AXI69" s="6"/>
      <c r="AXJ69" s="6"/>
      <c r="AXK69" s="6"/>
      <c r="AXL69" s="6"/>
      <c r="AXM69" s="6"/>
      <c r="AXN69" s="6"/>
      <c r="AXO69" s="6"/>
      <c r="AXP69" s="6"/>
      <c r="AXQ69" s="6"/>
      <c r="AXR69" s="6"/>
      <c r="AXS69" s="6"/>
      <c r="AXT69" s="6"/>
      <c r="AXU69" s="6"/>
      <c r="AXV69" s="6"/>
      <c r="AXW69" s="6"/>
      <c r="AXX69" s="6"/>
      <c r="AXY69" s="6"/>
      <c r="AXZ69" s="6"/>
      <c r="AYA69" s="6"/>
      <c r="AYB69" s="6"/>
      <c r="AYC69" s="6"/>
      <c r="AYD69" s="6"/>
      <c r="AYE69" s="6"/>
      <c r="AYF69" s="6"/>
      <c r="AYG69" s="6"/>
      <c r="AYH69" s="6"/>
      <c r="AYI69" s="6"/>
      <c r="AYJ69" s="6"/>
      <c r="AYK69" s="6"/>
      <c r="AYL69" s="6"/>
      <c r="AYM69" s="6"/>
      <c r="AYN69" s="6"/>
      <c r="AYO69" s="6"/>
      <c r="AYP69" s="6"/>
      <c r="AYQ69" s="6"/>
      <c r="AYR69" s="6"/>
      <c r="AYS69" s="6"/>
      <c r="AYT69" s="6"/>
      <c r="AYU69" s="6"/>
      <c r="AYV69" s="6"/>
      <c r="AYW69" s="6"/>
      <c r="AYX69" s="6"/>
      <c r="AYY69" s="6"/>
      <c r="AYZ69" s="6"/>
      <c r="AZA69" s="6"/>
      <c r="AZB69" s="6"/>
      <c r="AZC69" s="6"/>
      <c r="AZD69" s="6"/>
      <c r="AZE69" s="6"/>
      <c r="AZF69" s="6"/>
      <c r="AZG69" s="6"/>
      <c r="AZH69" s="6"/>
      <c r="AZI69" s="6"/>
      <c r="AZJ69" s="6"/>
      <c r="AZK69" s="6"/>
      <c r="AZL69" s="6"/>
      <c r="AZM69" s="6"/>
      <c r="AZN69" s="6"/>
      <c r="AZO69" s="6"/>
      <c r="AZP69" s="6"/>
      <c r="AZQ69" s="6"/>
      <c r="AZR69" s="6"/>
      <c r="AZS69" s="6"/>
      <c r="AZT69" s="6"/>
      <c r="AZU69" s="6"/>
      <c r="AZV69" s="6"/>
      <c r="AZW69" s="6"/>
      <c r="AZX69" s="6"/>
      <c r="AZY69" s="6"/>
      <c r="AZZ69" s="6"/>
      <c r="BAA69" s="6"/>
      <c r="BAB69" s="6"/>
      <c r="BAC69" s="6"/>
      <c r="BAD69" s="6"/>
      <c r="BAE69" s="6"/>
      <c r="BAF69" s="6"/>
      <c r="BAG69" s="6"/>
      <c r="BAH69" s="6"/>
      <c r="BAI69" s="6"/>
      <c r="BAJ69" s="6"/>
      <c r="BAK69" s="6"/>
      <c r="BAL69" s="6"/>
      <c r="BAM69" s="6"/>
      <c r="BAN69" s="6"/>
      <c r="BAO69" s="6"/>
      <c r="BAP69" s="6"/>
      <c r="BAQ69" s="6"/>
      <c r="BAR69" s="6"/>
      <c r="BAS69" s="6"/>
      <c r="BAT69" s="6"/>
      <c r="BAU69" s="6"/>
      <c r="BAV69" s="6"/>
      <c r="BAW69" s="6"/>
      <c r="BAX69" s="6"/>
      <c r="BAY69" s="6"/>
      <c r="BAZ69" s="6"/>
      <c r="BBA69" s="6"/>
      <c r="BBB69" s="6"/>
      <c r="BBC69" s="6"/>
      <c r="BBD69" s="6"/>
      <c r="BBE69" s="6"/>
      <c r="BBF69" s="6"/>
      <c r="BBG69" s="6"/>
      <c r="BBH69" s="6"/>
      <c r="BBI69" s="6"/>
      <c r="BBJ69" s="6"/>
      <c r="BBK69" s="6"/>
      <c r="BBL69" s="6"/>
      <c r="BBM69" s="6"/>
      <c r="BBN69" s="6"/>
      <c r="BBO69" s="6"/>
      <c r="BBP69" s="6"/>
      <c r="BBQ69" s="6"/>
      <c r="BBR69" s="6"/>
      <c r="BBS69" s="6"/>
      <c r="BBT69" s="6"/>
      <c r="BBU69" s="6"/>
      <c r="BBV69" s="6"/>
      <c r="BBW69" s="6"/>
      <c r="BBX69" s="6"/>
      <c r="BBY69" s="6"/>
      <c r="BBZ69" s="6"/>
      <c r="BCA69" s="6"/>
      <c r="BCB69" s="6"/>
      <c r="BCC69" s="6"/>
      <c r="BCD69" s="6"/>
      <c r="BCE69" s="6"/>
      <c r="BCF69" s="6"/>
      <c r="BCG69" s="6"/>
      <c r="BCH69" s="6"/>
      <c r="BCI69" s="6"/>
      <c r="BCJ69" s="6"/>
      <c r="BCK69" s="6"/>
      <c r="BCL69" s="6"/>
      <c r="BCM69" s="6"/>
      <c r="BCN69" s="6"/>
      <c r="BCO69" s="6"/>
      <c r="BCP69" s="6"/>
      <c r="BCQ69" s="6"/>
      <c r="BCR69" s="6"/>
      <c r="BCS69" s="6"/>
      <c r="BCT69" s="6"/>
      <c r="BCU69" s="6"/>
      <c r="BCV69" s="6"/>
      <c r="BCW69" s="6"/>
      <c r="BCX69" s="6"/>
      <c r="BCY69" s="6"/>
      <c r="BCZ69" s="6"/>
      <c r="BDA69" s="6"/>
      <c r="BDB69" s="6"/>
      <c r="BDC69" s="6"/>
      <c r="BDD69" s="6"/>
      <c r="BDE69" s="6"/>
      <c r="BDF69" s="6"/>
      <c r="BDG69" s="6"/>
      <c r="BDH69" s="6"/>
      <c r="BDI69" s="6"/>
      <c r="BDJ69" s="6"/>
      <c r="BDK69" s="6"/>
      <c r="BDL69" s="6"/>
      <c r="BDM69" s="6"/>
      <c r="BDN69" s="6"/>
      <c r="BDO69" s="6"/>
      <c r="BDP69" s="6"/>
      <c r="BDQ69" s="6"/>
      <c r="BDR69" s="6"/>
      <c r="BDS69" s="6"/>
      <c r="BDT69" s="6"/>
      <c r="BDU69" s="6"/>
      <c r="BDV69" s="6"/>
      <c r="BDW69" s="6"/>
      <c r="BDX69" s="6"/>
      <c r="BDY69" s="6"/>
      <c r="BDZ69" s="6"/>
      <c r="BEA69" s="6"/>
      <c r="BEB69" s="6"/>
      <c r="BEC69" s="6"/>
      <c r="BED69" s="6"/>
      <c r="BEE69" s="6"/>
      <c r="BEF69" s="6"/>
      <c r="BEG69" s="6"/>
      <c r="BEH69" s="6"/>
      <c r="BEI69" s="6"/>
      <c r="BEJ69" s="6"/>
      <c r="BEK69" s="6"/>
      <c r="BEL69" s="6"/>
      <c r="BEM69" s="6"/>
      <c r="BEN69" s="6"/>
      <c r="BEO69" s="6"/>
      <c r="BEP69" s="6"/>
      <c r="BEQ69" s="6"/>
      <c r="BER69" s="6"/>
      <c r="BES69" s="6"/>
      <c r="BET69" s="6"/>
      <c r="BEU69" s="6"/>
      <c r="BEV69" s="6"/>
      <c r="BEW69" s="6"/>
      <c r="BEX69" s="6"/>
      <c r="BEY69" s="6"/>
      <c r="BEZ69" s="6"/>
      <c r="BFA69" s="6"/>
      <c r="BFB69" s="6"/>
      <c r="BFC69" s="6"/>
      <c r="BFD69" s="6"/>
      <c r="BFE69" s="6"/>
      <c r="BFF69" s="51"/>
      <c r="BFG69" s="51"/>
      <c r="BFH69" s="51"/>
      <c r="BFI69" s="51"/>
      <c r="BFJ69" s="51"/>
      <c r="BFK69" s="6"/>
    </row>
    <row r="70" spans="1:2046 2049:2722 3295:3608 4108:4901 5285:5790" x14ac:dyDescent="0.25">
      <c r="A70" s="26" t="s">
        <v>181</v>
      </c>
      <c r="B70" s="10"/>
      <c r="D70" s="10"/>
      <c r="E70" s="10"/>
      <c r="F70" s="10"/>
      <c r="WI70" s="50"/>
      <c r="WJ70" s="50"/>
      <c r="WK70" s="50"/>
      <c r="WL70" s="50"/>
      <c r="WM70" s="50"/>
      <c r="BFF70" s="50"/>
      <c r="BFG70" s="50"/>
      <c r="BFH70" s="50"/>
      <c r="BFI70" s="50"/>
      <c r="BFJ70" s="50"/>
    </row>
    <row r="71" spans="1:2046 2049:2722 3295:3608 4108:4901 5285:5790" x14ac:dyDescent="0.25">
      <c r="A71" s="10" t="s">
        <v>154</v>
      </c>
      <c r="BFF71" s="50"/>
      <c r="BFG71" s="50"/>
      <c r="BFH71" s="50"/>
      <c r="BFI71" s="50"/>
      <c r="BFJ71" s="50"/>
    </row>
    <row r="72" spans="1:2046 2049:2722 3295:3608 4108:4901 5285:5790" x14ac:dyDescent="0.25">
      <c r="A72" s="50">
        <v>5015869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HT72">
        <v>2700</v>
      </c>
      <c r="JQ72">
        <v>595</v>
      </c>
      <c r="JT72">
        <v>563</v>
      </c>
      <c r="NF72">
        <v>898</v>
      </c>
      <c r="NI72">
        <v>774</v>
      </c>
      <c r="QT72">
        <v>113</v>
      </c>
      <c r="QY72">
        <v>443</v>
      </c>
      <c r="TL72">
        <v>337</v>
      </c>
      <c r="TO72">
        <v>802</v>
      </c>
      <c r="BFF72" s="50"/>
      <c r="BFG72" s="50"/>
      <c r="BFH72" s="50"/>
      <c r="BFI72" s="50"/>
      <c r="BFJ72" s="50"/>
      <c r="BPE72">
        <v>71</v>
      </c>
      <c r="BPG72">
        <v>1</v>
      </c>
      <c r="BYR72">
        <v>187.5</v>
      </c>
      <c r="BYS72">
        <v>1</v>
      </c>
      <c r="BYV72">
        <v>1</v>
      </c>
      <c r="BYY72">
        <v>6</v>
      </c>
      <c r="BYZ72">
        <v>5</v>
      </c>
      <c r="BZA72">
        <v>0</v>
      </c>
      <c r="BZB72">
        <v>0</v>
      </c>
      <c r="DXK72">
        <v>1</v>
      </c>
      <c r="DXL72">
        <v>570</v>
      </c>
      <c r="DXM72">
        <v>570</v>
      </c>
      <c r="HDR72">
        <v>1</v>
      </c>
    </row>
    <row r="73" spans="1:2046 2049:2722 3295:3608 4108:4901 5285:5790" x14ac:dyDescent="0.25">
      <c r="A73" s="50">
        <v>5016969</v>
      </c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BC73">
        <v>12</v>
      </c>
      <c r="ZT73">
        <v>8.1999999999999993</v>
      </c>
      <c r="APA73" s="50"/>
      <c r="APB73" s="50"/>
      <c r="APC73" s="50"/>
      <c r="APD73" s="50"/>
      <c r="APE73" s="50"/>
      <c r="APF73" s="50"/>
      <c r="APG73" s="50"/>
      <c r="APH73" s="50"/>
      <c r="API73" s="50"/>
      <c r="APJ73" s="50"/>
      <c r="APK73" s="50"/>
      <c r="APL73" s="50"/>
      <c r="APM73" s="50"/>
      <c r="APN73" s="50"/>
      <c r="APO73" s="50"/>
      <c r="APP73" s="50"/>
      <c r="APQ73" s="50"/>
      <c r="APR73" s="50"/>
      <c r="APS73" s="50"/>
      <c r="APT73" s="50"/>
      <c r="APU73" s="50"/>
      <c r="APV73" s="50"/>
      <c r="APW73" s="50"/>
      <c r="APX73" s="50"/>
      <c r="APY73" s="50"/>
      <c r="APZ73" s="50"/>
      <c r="AQA73" s="50"/>
      <c r="AQB73" s="50"/>
      <c r="BFF73" s="50"/>
      <c r="BFG73" s="50"/>
      <c r="BFH73" s="50"/>
      <c r="BFI73" s="50"/>
      <c r="BFJ73" s="50"/>
      <c r="BPE73">
        <v>82</v>
      </c>
      <c r="BPG73">
        <v>1</v>
      </c>
      <c r="BPH73">
        <v>29.5</v>
      </c>
      <c r="BPJ73">
        <v>1</v>
      </c>
      <c r="BQJ73">
        <v>1</v>
      </c>
      <c r="BSZ73">
        <v>1</v>
      </c>
      <c r="BWB73">
        <v>1</v>
      </c>
      <c r="BXM73">
        <v>1</v>
      </c>
      <c r="BYR73" s="28">
        <v>50</v>
      </c>
      <c r="BYV73">
        <v>1</v>
      </c>
      <c r="BYY73">
        <v>69</v>
      </c>
      <c r="BYZ73">
        <v>79</v>
      </c>
      <c r="BZB73">
        <v>0</v>
      </c>
      <c r="FZU73">
        <v>1</v>
      </c>
      <c r="FZV73">
        <v>79</v>
      </c>
      <c r="FZW73">
        <v>79</v>
      </c>
      <c r="FZX73">
        <v>0</v>
      </c>
      <c r="FZY73">
        <v>0</v>
      </c>
      <c r="GWJ73">
        <v>1</v>
      </c>
      <c r="GWP73">
        <v>1</v>
      </c>
    </row>
    <row r="74" spans="1:2046 2049:2722 3295:3608 4108:4901 5285:5790" x14ac:dyDescent="0.25">
      <c r="A74" s="50">
        <v>6023231</v>
      </c>
      <c r="B74" s="50"/>
      <c r="C74" s="50"/>
      <c r="D74" s="50"/>
      <c r="E74" s="50"/>
      <c r="F74" s="50"/>
      <c r="G74" s="50"/>
      <c r="H74" s="50"/>
      <c r="I74" s="50"/>
      <c r="J74" s="50"/>
      <c r="K74" s="50">
        <v>83400</v>
      </c>
      <c r="L74" s="50"/>
      <c r="M74" s="50"/>
      <c r="N74" s="50"/>
      <c r="O74" s="50"/>
      <c r="P74" s="50"/>
      <c r="Q74" s="50"/>
      <c r="HP74">
        <v>1200</v>
      </c>
      <c r="ANX74">
        <v>560</v>
      </c>
      <c r="APA74" s="50"/>
      <c r="APB74" s="50"/>
      <c r="APC74" s="50"/>
      <c r="APD74" s="50"/>
      <c r="APE74" s="50"/>
      <c r="APF74" s="50"/>
      <c r="APG74" s="50"/>
      <c r="APH74" s="50"/>
      <c r="API74" s="50"/>
      <c r="APJ74" s="50"/>
      <c r="APK74" s="50"/>
      <c r="APL74" s="50"/>
      <c r="APM74" s="50"/>
      <c r="APN74" s="50"/>
      <c r="APO74" s="50"/>
      <c r="APP74" s="50"/>
      <c r="APQ74" s="50"/>
      <c r="APR74" s="50"/>
      <c r="APS74" s="50"/>
      <c r="APT74" s="50"/>
      <c r="APU74" s="50"/>
      <c r="APV74" s="50"/>
      <c r="APW74" s="50"/>
      <c r="APX74" s="50"/>
      <c r="APY74" s="50"/>
      <c r="APZ74" s="50"/>
      <c r="AQA74" s="50"/>
      <c r="AQB74" s="50"/>
      <c r="BFF74" s="50"/>
      <c r="BFG74" s="50"/>
      <c r="BFH74" s="50"/>
      <c r="BFI74" s="50"/>
      <c r="BFJ74" s="50"/>
      <c r="BLF74">
        <v>41</v>
      </c>
      <c r="BPE74">
        <v>31</v>
      </c>
      <c r="BPG74">
        <v>1</v>
      </c>
      <c r="BPI74">
        <v>1</v>
      </c>
      <c r="BPK74">
        <v>73</v>
      </c>
      <c r="BYQ74">
        <v>1</v>
      </c>
      <c r="GWX74">
        <v>1</v>
      </c>
      <c r="GXA74">
        <v>1</v>
      </c>
      <c r="GXD74">
        <v>1</v>
      </c>
      <c r="GXO74">
        <v>1</v>
      </c>
      <c r="GXR74">
        <v>1</v>
      </c>
      <c r="GXS74">
        <v>1</v>
      </c>
      <c r="GYE74">
        <v>1</v>
      </c>
      <c r="GZG74">
        <v>1</v>
      </c>
      <c r="GZS74">
        <v>1</v>
      </c>
      <c r="GZT74">
        <v>1</v>
      </c>
      <c r="HAG74">
        <v>1</v>
      </c>
      <c r="HAW74">
        <v>1</v>
      </c>
      <c r="HAZ74">
        <v>1</v>
      </c>
      <c r="HBM74">
        <v>1</v>
      </c>
      <c r="HBP74">
        <v>1</v>
      </c>
      <c r="HBX74">
        <v>1</v>
      </c>
      <c r="HCF74">
        <v>1</v>
      </c>
      <c r="HDG74">
        <v>1</v>
      </c>
      <c r="HDO74">
        <v>1</v>
      </c>
      <c r="HDP74">
        <v>1</v>
      </c>
    </row>
    <row r="75" spans="1:2046 2049:2722 3295:3608 4108:4901 5285:5790" x14ac:dyDescent="0.25">
      <c r="A75" s="50">
        <v>6010712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ZS75">
        <v>7.3</v>
      </c>
      <c r="AJB75" s="50"/>
      <c r="AJC75" s="50"/>
      <c r="AJD75" s="50"/>
      <c r="AJE75" s="50"/>
      <c r="AJF75" s="50"/>
      <c r="AJG75" s="50"/>
      <c r="AJH75" s="50"/>
      <c r="AJI75" s="50"/>
      <c r="AJJ75" s="50"/>
      <c r="AJK75" s="50"/>
      <c r="AJL75" s="50"/>
      <c r="AJM75" s="50"/>
      <c r="AJN75" s="50"/>
      <c r="AJO75" s="50"/>
      <c r="AJP75" s="50"/>
      <c r="AJQ75" s="50"/>
      <c r="AJR75" s="50"/>
      <c r="AJS75" s="50"/>
      <c r="AJT75" s="50"/>
      <c r="AJU75" s="50"/>
      <c r="AJV75" s="50"/>
      <c r="AJW75" s="50"/>
      <c r="AJX75" s="50"/>
      <c r="AJY75" s="50"/>
      <c r="AJZ75" s="50"/>
      <c r="AKA75" s="50"/>
      <c r="AKB75" s="50"/>
      <c r="AKC75" s="50"/>
      <c r="AKD75" s="50"/>
      <c r="AKE75" s="50"/>
      <c r="AKF75" s="50"/>
      <c r="AKG75" s="50"/>
      <c r="AKH75" s="50"/>
      <c r="APA75" s="50"/>
      <c r="APB75" s="50"/>
      <c r="APC75" s="50"/>
      <c r="APD75" s="50"/>
      <c r="APE75" s="50"/>
      <c r="APF75" s="50"/>
      <c r="APG75" s="50"/>
      <c r="APH75" s="50"/>
      <c r="API75" s="50"/>
      <c r="APJ75" s="50"/>
      <c r="APK75" s="50"/>
      <c r="APL75" s="50"/>
      <c r="APM75" s="50"/>
      <c r="APN75" s="50"/>
      <c r="APO75" s="50"/>
      <c r="APP75" s="50"/>
      <c r="APQ75" s="50"/>
      <c r="APR75" s="50"/>
      <c r="APS75" s="50"/>
      <c r="APT75" s="50"/>
      <c r="APU75" s="50"/>
      <c r="APV75" s="50"/>
      <c r="APW75" s="50"/>
      <c r="APX75" s="50"/>
      <c r="APY75" s="50"/>
      <c r="APZ75" s="50"/>
      <c r="AQA75" s="50"/>
      <c r="AQB75" s="50"/>
      <c r="ARC75" s="50"/>
      <c r="ARD75" s="50"/>
      <c r="ARE75" s="50"/>
      <c r="ARF75" s="50"/>
      <c r="ARG75" s="50"/>
      <c r="ARH75" s="50"/>
      <c r="ARI75" s="50"/>
      <c r="ARJ75" s="50"/>
      <c r="ARK75" s="50"/>
      <c r="ARL75" s="50"/>
      <c r="ARM75" s="50"/>
      <c r="ARN75" s="50"/>
      <c r="ARO75" s="50"/>
      <c r="ARP75" s="50"/>
      <c r="ARQ75" s="50"/>
      <c r="ARR75" s="50"/>
      <c r="ARS75" s="50"/>
      <c r="ART75" s="50"/>
      <c r="ARU75" s="50"/>
      <c r="ARV75" s="50"/>
      <c r="ARW75" s="50"/>
      <c r="ARX75" s="50"/>
      <c r="ARY75" s="50"/>
      <c r="ARZ75" s="50"/>
      <c r="ASA75" s="50"/>
      <c r="ASB75" s="50"/>
      <c r="ASC75" s="50"/>
      <c r="ASD75" s="50"/>
      <c r="ASE75" s="50"/>
      <c r="ASF75" s="50"/>
      <c r="BFF75" s="50"/>
      <c r="BFG75" s="50"/>
      <c r="BFH75" s="50"/>
      <c r="BFI75" s="50"/>
      <c r="BFJ75" s="50"/>
      <c r="BPE75">
        <v>63</v>
      </c>
      <c r="BPG75">
        <v>1</v>
      </c>
      <c r="BPJ75">
        <v>1</v>
      </c>
      <c r="BYQ75">
        <v>1</v>
      </c>
      <c r="CBI75" s="50"/>
      <c r="CBJ75" s="50"/>
      <c r="CBK75" s="50"/>
      <c r="HBD75">
        <v>1</v>
      </c>
      <c r="HCB75">
        <v>1</v>
      </c>
    </row>
    <row r="76" spans="1:2046 2049:2722 3295:3608 4108:4901 5285:5790" x14ac:dyDescent="0.25">
      <c r="A76" s="50">
        <v>6011198</v>
      </c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HP76">
        <v>12200</v>
      </c>
      <c r="ZS76">
        <v>4.5999999999999996</v>
      </c>
      <c r="AAY76">
        <v>11.2</v>
      </c>
      <c r="AJB76" s="50"/>
      <c r="AJC76" s="50"/>
      <c r="AJD76" s="50"/>
      <c r="AJE76" s="50"/>
      <c r="AJF76" s="50"/>
      <c r="AJG76" s="50"/>
      <c r="AJH76" s="50"/>
      <c r="AJI76" s="50"/>
      <c r="AJJ76" s="50"/>
      <c r="AJK76" s="50"/>
      <c r="AJL76" s="50"/>
      <c r="AJM76" s="50"/>
      <c r="AJN76" s="50"/>
      <c r="AJO76" s="50"/>
      <c r="AJP76" s="50"/>
      <c r="AJQ76" s="50"/>
      <c r="AJR76" s="50"/>
      <c r="AJS76" s="50"/>
      <c r="AJT76" s="50"/>
      <c r="AJU76" s="50"/>
      <c r="AJV76" s="50"/>
      <c r="AJW76" s="50"/>
      <c r="AJX76" s="50"/>
      <c r="AJY76" s="50"/>
      <c r="AJZ76" s="50"/>
      <c r="AKA76" s="50"/>
      <c r="AKB76" s="50"/>
      <c r="AKC76" s="50"/>
      <c r="AKD76" s="50"/>
      <c r="AKE76" s="50"/>
      <c r="AKF76" s="50"/>
      <c r="AKG76" s="50"/>
      <c r="AKH76" s="50"/>
      <c r="APA76" s="50"/>
      <c r="APB76" s="50"/>
      <c r="APC76" s="50"/>
      <c r="APD76" s="50"/>
      <c r="APE76" s="50"/>
      <c r="APF76" s="50"/>
      <c r="APG76" s="50"/>
      <c r="APH76" s="50"/>
      <c r="API76" s="50"/>
      <c r="APJ76" s="50"/>
      <c r="APK76" s="50"/>
      <c r="APL76" s="50"/>
      <c r="APM76" s="50"/>
      <c r="APN76" s="50"/>
      <c r="APO76" s="50"/>
      <c r="APP76" s="50"/>
      <c r="APQ76" s="50"/>
      <c r="APR76" s="50"/>
      <c r="APS76" s="50"/>
      <c r="APT76" s="50"/>
      <c r="APU76" s="50"/>
      <c r="APV76" s="50"/>
      <c r="APW76" s="50"/>
      <c r="APX76" s="50"/>
      <c r="APY76" s="50"/>
      <c r="APZ76" s="50"/>
      <c r="AQA76" s="50"/>
      <c r="AQB76" s="50"/>
      <c r="ARC76" s="50"/>
      <c r="ARD76" s="50"/>
      <c r="ARE76" s="50"/>
      <c r="ARF76" s="50"/>
      <c r="ARG76" s="50"/>
      <c r="ARH76" s="50"/>
      <c r="ARI76" s="50"/>
      <c r="ARJ76" s="50"/>
      <c r="ARK76" s="50"/>
      <c r="ARL76" s="50"/>
      <c r="ARM76" s="50"/>
      <c r="ARN76" s="50"/>
      <c r="ARO76" s="50"/>
      <c r="ARP76" s="50"/>
      <c r="ARQ76" s="50"/>
      <c r="ARR76" s="50"/>
      <c r="ARS76" s="50"/>
      <c r="ART76" s="50"/>
      <c r="ARU76" s="50"/>
      <c r="ARV76" s="50"/>
      <c r="ARW76" s="50"/>
      <c r="ARX76" s="50"/>
      <c r="ARY76" s="50"/>
      <c r="ARZ76" s="50"/>
      <c r="ASA76" s="50"/>
      <c r="ASB76" s="50"/>
      <c r="ASC76" s="50"/>
      <c r="ASD76" s="50"/>
      <c r="ASE76" s="50"/>
      <c r="ASF76" s="50"/>
      <c r="BFF76" s="50"/>
      <c r="BFG76" s="50">
        <v>25</v>
      </c>
      <c r="BFH76" s="50"/>
      <c r="BFI76" s="50"/>
      <c r="BFJ76" s="50"/>
      <c r="BPE76">
        <v>72</v>
      </c>
      <c r="BPG76">
        <v>1</v>
      </c>
      <c r="BPI76">
        <v>1</v>
      </c>
      <c r="BPX76">
        <v>1</v>
      </c>
      <c r="BTA76">
        <v>1</v>
      </c>
      <c r="BYR76">
        <v>100</v>
      </c>
      <c r="BYS76">
        <v>1</v>
      </c>
      <c r="CBI76" s="50"/>
      <c r="CBJ76" s="50"/>
      <c r="CBK76" s="50"/>
      <c r="CDH76">
        <v>1</v>
      </c>
      <c r="GWR76">
        <v>1</v>
      </c>
      <c r="GYG76">
        <v>1</v>
      </c>
      <c r="GZD76">
        <v>1</v>
      </c>
      <c r="GZH76">
        <v>1</v>
      </c>
      <c r="HAB76">
        <v>1</v>
      </c>
      <c r="HAZ76">
        <v>1</v>
      </c>
      <c r="HBD76">
        <v>1</v>
      </c>
      <c r="HBP76">
        <v>1</v>
      </c>
      <c r="HCB76">
        <v>1</v>
      </c>
      <c r="HCX76">
        <v>1</v>
      </c>
      <c r="HDA76">
        <v>1</v>
      </c>
      <c r="HDE76">
        <v>1</v>
      </c>
    </row>
    <row r="77" spans="1:2046 2049:2722 3295:3608 4108:4901 5285:5790" x14ac:dyDescent="0.25">
      <c r="A77" s="50">
        <v>6012681</v>
      </c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HR77">
        <v>9500</v>
      </c>
      <c r="TM77">
        <v>715</v>
      </c>
      <c r="ZR77">
        <v>11.2</v>
      </c>
      <c r="ZT77">
        <v>8.1</v>
      </c>
      <c r="ZU77">
        <v>6.6</v>
      </c>
      <c r="ZV77">
        <v>8.5</v>
      </c>
      <c r="AAG77">
        <v>11.7</v>
      </c>
      <c r="ABC77">
        <v>2.7</v>
      </c>
      <c r="AJB77" s="50"/>
      <c r="AJC77" s="50"/>
      <c r="AJD77" s="50"/>
      <c r="AJE77" s="50"/>
      <c r="AJF77" s="50"/>
      <c r="AJG77" s="50"/>
      <c r="AJH77" s="50"/>
      <c r="AJI77" s="50"/>
      <c r="AJJ77" s="50"/>
      <c r="AJK77" s="50"/>
      <c r="AJL77" s="50"/>
      <c r="AJM77" s="50"/>
      <c r="AJN77" s="50"/>
      <c r="AJO77" s="50"/>
      <c r="AJP77" s="50"/>
      <c r="AJQ77" s="50"/>
      <c r="AJR77" s="50"/>
      <c r="AJS77" s="50"/>
      <c r="AJT77" s="50"/>
      <c r="AJU77" s="50"/>
      <c r="AJV77" s="50"/>
      <c r="AJW77" s="50"/>
      <c r="AJX77" s="50"/>
      <c r="AJY77" s="50"/>
      <c r="AJZ77" s="50"/>
      <c r="AKA77" s="50"/>
      <c r="AKB77" s="50"/>
      <c r="AKC77" s="50"/>
      <c r="AKD77" s="50"/>
      <c r="AKE77" s="50"/>
      <c r="AKF77" s="50"/>
      <c r="AKG77" s="50"/>
      <c r="AKH77" s="50"/>
      <c r="APA77" s="50"/>
      <c r="APB77" s="50"/>
      <c r="APC77" s="50"/>
      <c r="APD77" s="50"/>
      <c r="APE77" s="50"/>
      <c r="APF77" s="50"/>
      <c r="APG77" s="50"/>
      <c r="APH77" s="50"/>
      <c r="API77" s="50"/>
      <c r="APJ77" s="50"/>
      <c r="APK77" s="50"/>
      <c r="APL77" s="50"/>
      <c r="APM77" s="50"/>
      <c r="APN77" s="50"/>
      <c r="APO77" s="50"/>
      <c r="APP77" s="50"/>
      <c r="APQ77" s="50"/>
      <c r="APR77" s="50"/>
      <c r="APS77" s="50"/>
      <c r="APT77" s="50"/>
      <c r="APU77" s="50"/>
      <c r="APV77" s="50"/>
      <c r="APW77" s="50"/>
      <c r="APX77" s="50"/>
      <c r="APY77" s="50"/>
      <c r="APZ77" s="50"/>
      <c r="AQA77" s="50"/>
      <c r="AQB77" s="50"/>
      <c r="ARC77" s="50"/>
      <c r="ARD77" s="50"/>
      <c r="ARE77" s="50"/>
      <c r="ARF77" s="50"/>
      <c r="ARG77" s="50"/>
      <c r="ARH77" s="50"/>
      <c r="ARI77" s="50"/>
      <c r="ARJ77" s="50"/>
      <c r="ARK77" s="50"/>
      <c r="ARL77" s="50">
        <v>2700</v>
      </c>
      <c r="ARM77" s="50"/>
      <c r="ARN77" s="50"/>
      <c r="ARO77" s="50"/>
      <c r="ARP77" s="50"/>
      <c r="ARQ77" s="50"/>
      <c r="ARR77" s="50"/>
      <c r="ARS77" s="50"/>
      <c r="ART77" s="50"/>
      <c r="ARU77" s="50"/>
      <c r="ARV77" s="50"/>
      <c r="ARW77" s="50"/>
      <c r="ARX77" s="50"/>
      <c r="ARY77" s="50"/>
      <c r="ARZ77" s="50"/>
      <c r="ASA77" s="50"/>
      <c r="ASB77" s="50"/>
      <c r="ASC77" s="50"/>
      <c r="ASD77" s="50"/>
      <c r="ASE77" s="50"/>
      <c r="ASF77" s="50"/>
      <c r="BFF77" s="50"/>
      <c r="BFG77" s="50"/>
      <c r="BFH77" s="50"/>
      <c r="BFI77" s="61"/>
      <c r="BFJ77" s="50"/>
      <c r="BYR77">
        <v>50</v>
      </c>
      <c r="BYS77">
        <v>2</v>
      </c>
      <c r="BYV77">
        <v>1</v>
      </c>
      <c r="BYY77">
        <v>8</v>
      </c>
      <c r="BYZ77">
        <v>1</v>
      </c>
      <c r="BZA77">
        <v>0</v>
      </c>
      <c r="BZB77">
        <v>1</v>
      </c>
      <c r="BZF77">
        <v>1</v>
      </c>
      <c r="BZI77">
        <v>1</v>
      </c>
      <c r="BZK77">
        <v>9</v>
      </c>
      <c r="BZL77">
        <v>16</v>
      </c>
      <c r="BZM77">
        <v>8</v>
      </c>
      <c r="BZN77">
        <v>0</v>
      </c>
      <c r="CAH77">
        <v>2</v>
      </c>
      <c r="CAI77">
        <v>7</v>
      </c>
      <c r="CAJ77">
        <v>6</v>
      </c>
      <c r="CAK77">
        <v>0</v>
      </c>
      <c r="CBI77" s="50">
        <v>500</v>
      </c>
      <c r="CBJ77" s="50">
        <v>1</v>
      </c>
      <c r="CBK77" s="50">
        <v>1</v>
      </c>
      <c r="CBN77">
        <v>1</v>
      </c>
      <c r="CBO77">
        <v>1</v>
      </c>
      <c r="CBP77">
        <v>1</v>
      </c>
      <c r="CBQ77">
        <v>0</v>
      </c>
      <c r="CMC77">
        <v>1</v>
      </c>
      <c r="CMF77">
        <v>3</v>
      </c>
      <c r="CMG77">
        <v>1</v>
      </c>
      <c r="CMH77">
        <v>0</v>
      </c>
      <c r="CMI77">
        <v>1</v>
      </c>
      <c r="DYX77">
        <v>0.35</v>
      </c>
      <c r="DYY77">
        <v>1</v>
      </c>
      <c r="DZA77">
        <v>1</v>
      </c>
      <c r="DZD77">
        <v>1</v>
      </c>
      <c r="DZE77">
        <v>1</v>
      </c>
      <c r="DZF77">
        <v>1</v>
      </c>
      <c r="DZG77">
        <v>0</v>
      </c>
      <c r="EHM77">
        <v>2</v>
      </c>
      <c r="EHP77">
        <v>1</v>
      </c>
      <c r="EHQ77">
        <v>3</v>
      </c>
      <c r="EHR77">
        <v>21</v>
      </c>
      <c r="EHS77">
        <v>19</v>
      </c>
      <c r="EHT77">
        <v>0</v>
      </c>
      <c r="GCZ77">
        <v>999</v>
      </c>
      <c r="GWH77">
        <v>1</v>
      </c>
      <c r="GWJ77">
        <v>1</v>
      </c>
    </row>
    <row r="78" spans="1:2046 2049:2722 3295:3608 4108:4901 5285:5790" x14ac:dyDescent="0.25">
      <c r="A78" s="50">
        <v>6014511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HT78">
        <v>1200</v>
      </c>
      <c r="UR78" s="50"/>
      <c r="US78" s="50"/>
      <c r="UT78" s="50"/>
      <c r="UU78" s="50"/>
      <c r="UV78" s="50"/>
      <c r="UW78" s="50"/>
      <c r="UX78" s="50"/>
      <c r="UY78" s="50"/>
      <c r="UZ78" s="50"/>
      <c r="VA78" s="50"/>
      <c r="VB78" s="50"/>
      <c r="VC78" s="50"/>
      <c r="AJB78" s="50"/>
      <c r="AJC78" s="50"/>
      <c r="AJD78" s="50"/>
      <c r="AJE78" s="50"/>
      <c r="AJF78" s="50"/>
      <c r="AJG78" s="50"/>
      <c r="AJH78" s="50"/>
      <c r="AJI78" s="50"/>
      <c r="AJJ78" s="50"/>
      <c r="AJK78" s="50"/>
      <c r="AJL78" s="50"/>
      <c r="AJM78" s="50"/>
      <c r="AJN78" s="50"/>
      <c r="AJO78" s="50"/>
      <c r="AJP78" s="50"/>
      <c r="AJQ78" s="50"/>
      <c r="AJR78" s="50"/>
      <c r="AJS78" s="50"/>
      <c r="AJT78" s="50"/>
      <c r="AJU78" s="50"/>
      <c r="AJV78" s="50"/>
      <c r="AJW78" s="50"/>
      <c r="AJX78" s="50"/>
      <c r="AJY78" s="50"/>
      <c r="AJZ78" s="50"/>
      <c r="AKA78" s="50"/>
      <c r="AKB78" s="50"/>
      <c r="AKC78" s="50"/>
      <c r="AKD78" s="50"/>
      <c r="AKE78" s="50"/>
      <c r="AKF78" s="50"/>
      <c r="AKG78" s="50"/>
      <c r="AKH78" s="50"/>
      <c r="APA78" s="50"/>
      <c r="APB78" s="50"/>
      <c r="APC78" s="50"/>
      <c r="APD78" s="50"/>
      <c r="APE78" s="50"/>
      <c r="APF78" s="50"/>
      <c r="APG78" s="50"/>
      <c r="APH78" s="50"/>
      <c r="API78" s="50"/>
      <c r="APJ78" s="50"/>
      <c r="APK78" s="50"/>
      <c r="APL78" s="50"/>
      <c r="APM78" s="50"/>
      <c r="APN78" s="50"/>
      <c r="APO78" s="50"/>
      <c r="APP78" s="50"/>
      <c r="APQ78" s="50"/>
      <c r="APR78" s="50"/>
      <c r="APS78" s="50"/>
      <c r="APT78" s="50"/>
      <c r="APU78" s="50"/>
      <c r="APV78" s="50"/>
      <c r="APW78" s="50"/>
      <c r="APX78" s="50"/>
      <c r="APY78" s="50"/>
      <c r="APZ78" s="50"/>
      <c r="AQA78" s="50"/>
      <c r="AQB78" s="50"/>
      <c r="ARC78" s="50"/>
      <c r="ARD78" s="50"/>
      <c r="ARE78" s="50"/>
      <c r="ARF78" s="50"/>
      <c r="ARG78" s="50"/>
      <c r="ARH78" s="50"/>
      <c r="ARI78" s="50"/>
      <c r="ARJ78" s="50"/>
      <c r="ARK78" s="50"/>
      <c r="ARL78" s="50"/>
      <c r="ARM78" s="50"/>
      <c r="ARN78" s="50">
        <v>3130000</v>
      </c>
      <c r="ARO78" s="50"/>
      <c r="ARP78" s="50"/>
      <c r="ARQ78" s="50"/>
      <c r="ARR78" s="50"/>
      <c r="ARS78" s="50"/>
      <c r="ART78" s="50"/>
      <c r="ARU78" s="50"/>
      <c r="ARV78" s="50"/>
      <c r="ARW78" s="50"/>
      <c r="ARX78" s="50"/>
      <c r="ARY78" s="50"/>
      <c r="ARZ78" s="50"/>
      <c r="ASA78" s="50"/>
      <c r="ASB78" s="50"/>
      <c r="ASC78" s="50"/>
      <c r="ASD78" s="50"/>
      <c r="ASE78" s="50"/>
      <c r="ASF78" s="50"/>
      <c r="ASY78">
        <v>9000</v>
      </c>
      <c r="BFF78" s="50"/>
      <c r="BFG78" s="50"/>
      <c r="BFH78" s="50"/>
      <c r="BFI78" s="50"/>
      <c r="BFJ78" s="50"/>
      <c r="BYV78">
        <v>1</v>
      </c>
      <c r="BYY78">
        <v>22</v>
      </c>
      <c r="BYZ78">
        <v>62</v>
      </c>
      <c r="BZA78">
        <v>41</v>
      </c>
      <c r="BZB78">
        <v>0</v>
      </c>
      <c r="BZR78">
        <v>3</v>
      </c>
      <c r="BZU78">
        <v>1</v>
      </c>
      <c r="BZW78">
        <v>11</v>
      </c>
      <c r="BZX78">
        <v>72</v>
      </c>
      <c r="BZY78">
        <v>62</v>
      </c>
      <c r="BZZ78">
        <v>0</v>
      </c>
      <c r="CAD78">
        <v>3</v>
      </c>
      <c r="CAG78">
        <v>1</v>
      </c>
      <c r="CAH78">
        <v>1</v>
      </c>
      <c r="CAI78">
        <v>82</v>
      </c>
      <c r="CAJ78">
        <v>72</v>
      </c>
      <c r="CAK78">
        <v>0</v>
      </c>
      <c r="CBI78" s="50"/>
      <c r="CBJ78" s="50"/>
      <c r="CBK78" s="50"/>
      <c r="CRZ78">
        <v>1</v>
      </c>
      <c r="CSA78">
        <v>9</v>
      </c>
      <c r="CSB78">
        <v>72</v>
      </c>
      <c r="CSC78">
        <v>64</v>
      </c>
      <c r="CSD78">
        <v>0</v>
      </c>
      <c r="CVD78">
        <v>1</v>
      </c>
      <c r="CVE78">
        <v>26</v>
      </c>
      <c r="CVF78">
        <v>84</v>
      </c>
      <c r="CVG78">
        <v>59</v>
      </c>
      <c r="CVH78">
        <v>0</v>
      </c>
      <c r="DVS78">
        <v>1</v>
      </c>
      <c r="DVV78">
        <v>1</v>
      </c>
      <c r="DVW78">
        <v>61</v>
      </c>
      <c r="DVX78">
        <v>60</v>
      </c>
      <c r="DVY78">
        <v>0</v>
      </c>
      <c r="DVZ78">
        <v>0</v>
      </c>
      <c r="EET78">
        <v>1</v>
      </c>
      <c r="EEU78">
        <v>53</v>
      </c>
      <c r="EEV78">
        <v>41</v>
      </c>
      <c r="EEW78">
        <v>0</v>
      </c>
      <c r="EEX78">
        <v>11</v>
      </c>
      <c r="GFK78">
        <v>63</v>
      </c>
      <c r="GFL78">
        <v>169</v>
      </c>
      <c r="GFM78">
        <v>100</v>
      </c>
      <c r="GUG78">
        <v>1</v>
      </c>
      <c r="GUJ78">
        <v>1</v>
      </c>
      <c r="GUL78">
        <v>999</v>
      </c>
      <c r="GUM78">
        <v>0</v>
      </c>
      <c r="GUN78">
        <v>11</v>
      </c>
      <c r="GWH78">
        <v>1</v>
      </c>
    </row>
    <row r="79" spans="1:2046 2049:2722 3295:3608 4108:4901 5285:5790" x14ac:dyDescent="0.25">
      <c r="A79" s="50">
        <v>6045127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UR79" s="50"/>
      <c r="US79" s="50"/>
      <c r="UT79" s="50"/>
      <c r="UU79" s="50"/>
      <c r="UV79" s="50"/>
      <c r="UW79" s="50"/>
      <c r="UX79" s="50"/>
      <c r="UY79" s="50"/>
      <c r="UZ79" s="50"/>
      <c r="VA79" s="50"/>
      <c r="VB79" s="50"/>
      <c r="VC79" s="50"/>
      <c r="AJB79" s="50"/>
      <c r="AJC79" s="50"/>
      <c r="AJD79" s="50"/>
      <c r="AJE79" s="50"/>
      <c r="AJF79" s="50"/>
      <c r="AJG79" s="50"/>
      <c r="AJH79" s="50"/>
      <c r="AJI79" s="50"/>
      <c r="AJJ79" s="50"/>
      <c r="AJK79" s="50"/>
      <c r="AJL79" s="50"/>
      <c r="AJM79" s="50"/>
      <c r="AJN79" s="50"/>
      <c r="AJO79" s="50"/>
      <c r="AJP79" s="50"/>
      <c r="AJQ79" s="50"/>
      <c r="AJR79" s="50"/>
      <c r="AJS79" s="50"/>
      <c r="AJT79" s="50"/>
      <c r="AJU79" s="50"/>
      <c r="AJV79" s="50"/>
      <c r="AJW79" s="50"/>
      <c r="AJX79" s="50"/>
      <c r="AJY79" s="50"/>
      <c r="AJZ79" s="50"/>
      <c r="AKA79" s="50"/>
      <c r="AKB79" s="50"/>
      <c r="AKC79" s="50"/>
      <c r="AKD79" s="50"/>
      <c r="AKE79" s="50">
        <v>7.3189000000000002</v>
      </c>
      <c r="AKF79" s="50"/>
      <c r="AKG79" s="50"/>
      <c r="AKH79" s="50"/>
      <c r="ANX79">
        <v>365.4</v>
      </c>
      <c r="APA79" s="50"/>
      <c r="APB79" s="50"/>
      <c r="APC79" s="50"/>
      <c r="APD79" s="50"/>
      <c r="APE79" s="50"/>
      <c r="APF79" s="50"/>
      <c r="APG79" s="50"/>
      <c r="APH79" s="50"/>
      <c r="API79" s="50"/>
      <c r="APJ79" s="50"/>
      <c r="APK79" s="59">
        <v>157.35720000000001</v>
      </c>
      <c r="APL79" s="50"/>
      <c r="APM79" s="50"/>
      <c r="APN79" s="50"/>
      <c r="APO79" s="50"/>
      <c r="APP79" s="50"/>
      <c r="APQ79" s="50"/>
      <c r="APR79" s="50"/>
      <c r="APS79" s="50"/>
      <c r="APT79" s="50"/>
      <c r="APU79" s="50"/>
      <c r="APV79" s="50"/>
      <c r="APW79" s="50"/>
      <c r="APX79" s="50"/>
      <c r="APY79" s="50"/>
      <c r="APZ79" s="50"/>
      <c r="AQA79" s="50"/>
      <c r="AQB79" s="50"/>
      <c r="ARC79" s="50"/>
      <c r="ARD79" s="50"/>
      <c r="ARE79" s="50"/>
      <c r="ARF79" s="50"/>
      <c r="ARG79" s="50"/>
      <c r="ARH79" s="50"/>
      <c r="ARI79" s="50"/>
      <c r="ARJ79" s="50"/>
      <c r="ARK79" s="50"/>
      <c r="ARL79" s="50"/>
      <c r="ARM79" s="50"/>
      <c r="ARN79" s="50"/>
      <c r="ARO79" s="50"/>
      <c r="ARP79" s="50"/>
      <c r="ARQ79" s="50"/>
      <c r="ARR79" s="50"/>
      <c r="ARS79" s="50"/>
      <c r="ART79" s="50"/>
      <c r="ARU79" s="50"/>
      <c r="ARV79" s="50"/>
      <c r="ARW79" s="50"/>
      <c r="ARX79" s="50"/>
      <c r="ARY79" s="50"/>
      <c r="ARZ79" s="50"/>
      <c r="ASA79" s="50"/>
      <c r="ASB79" s="50"/>
      <c r="ASC79" s="50"/>
      <c r="ASD79" s="50"/>
      <c r="ASE79" s="50"/>
      <c r="ASF79" s="50"/>
      <c r="BFF79" s="50"/>
      <c r="BFG79" s="50"/>
      <c r="BFH79" s="50"/>
      <c r="BFI79" s="50"/>
      <c r="BFJ79" s="50"/>
      <c r="BLF79">
        <v>38.9</v>
      </c>
      <c r="BYV79">
        <v>1</v>
      </c>
      <c r="BZU79">
        <v>1</v>
      </c>
      <c r="CAG79">
        <v>1</v>
      </c>
      <c r="CBI79" s="50"/>
      <c r="CBJ79" s="50"/>
      <c r="CBK79" s="50"/>
      <c r="HDH79">
        <v>1</v>
      </c>
    </row>
    <row r="80" spans="1:2046 2049:2722 3295:3608 4108:4901 5285:5790" x14ac:dyDescent="0.25">
      <c r="A80" s="50">
        <v>7000458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NK80">
        <v>166</v>
      </c>
      <c r="QY80">
        <v>166</v>
      </c>
      <c r="TQ80">
        <v>112</v>
      </c>
      <c r="UR80" s="50"/>
      <c r="US80" s="50"/>
      <c r="UT80" s="50"/>
      <c r="UU80" s="50"/>
      <c r="UV80" s="50"/>
      <c r="UW80" s="50"/>
      <c r="UX80" s="50"/>
      <c r="UY80" s="50"/>
      <c r="UZ80" s="50"/>
      <c r="VA80" s="50"/>
      <c r="VB80" s="50"/>
      <c r="VC80" s="50"/>
      <c r="ABG80">
        <v>0.3</v>
      </c>
      <c r="AGZ80">
        <v>80</v>
      </c>
      <c r="AJB80" s="50"/>
      <c r="AJC80" s="50"/>
      <c r="AJD80" s="50"/>
      <c r="AJE80" s="50"/>
      <c r="AJF80" s="50"/>
      <c r="AJG80" s="50"/>
      <c r="AJH80" s="50"/>
      <c r="AJI80" s="50"/>
      <c r="AJJ80" s="50"/>
      <c r="AJK80" s="50"/>
      <c r="AJL80" s="50"/>
      <c r="AJM80" s="50"/>
      <c r="AJN80" s="50"/>
      <c r="AJO80" s="50"/>
      <c r="AJP80" s="50"/>
      <c r="AJQ80" s="50"/>
      <c r="AJR80" s="50"/>
      <c r="AJS80" s="50"/>
      <c r="AJT80" s="50"/>
      <c r="AJU80" s="50"/>
      <c r="AJV80" s="50"/>
      <c r="AJW80" s="50"/>
      <c r="AJX80" s="50"/>
      <c r="AJY80" s="50"/>
      <c r="AJZ80" s="50"/>
      <c r="AKA80" s="50"/>
      <c r="AKB80" s="50"/>
      <c r="AKC80" s="50"/>
      <c r="AKD80" s="50"/>
      <c r="AKE80" s="50"/>
      <c r="AKF80" s="50"/>
      <c r="AKG80" s="50"/>
      <c r="AKH80" s="50"/>
      <c r="AKK80">
        <v>1.03</v>
      </c>
      <c r="AMS80" s="50">
        <v>3490</v>
      </c>
      <c r="AOD80">
        <v>3</v>
      </c>
      <c r="APA80" s="50"/>
      <c r="APB80" s="50"/>
      <c r="APC80" s="50"/>
      <c r="APD80" s="50"/>
      <c r="APE80" s="50"/>
      <c r="APF80" s="50"/>
      <c r="APG80" s="50"/>
      <c r="APH80" s="50"/>
      <c r="API80" s="50"/>
      <c r="APJ80" s="50"/>
      <c r="APK80" s="50"/>
      <c r="APL80" s="50"/>
      <c r="APM80" s="50"/>
      <c r="APN80" s="50"/>
      <c r="APO80" s="50"/>
      <c r="APP80" s="50"/>
      <c r="APQ80" s="50"/>
      <c r="APR80" s="50"/>
      <c r="APS80" s="50"/>
      <c r="APT80" s="50"/>
      <c r="APU80" s="50"/>
      <c r="APV80" s="50"/>
      <c r="APW80" s="50"/>
      <c r="APX80" s="50"/>
      <c r="APY80" s="50"/>
      <c r="APZ80" s="50"/>
      <c r="AQA80" s="50"/>
      <c r="AQB80" s="50"/>
      <c r="ARC80" s="50"/>
      <c r="ARD80" s="50"/>
      <c r="ARE80" s="50"/>
      <c r="ARF80" s="50"/>
      <c r="ARG80" s="50"/>
      <c r="ARH80" s="50"/>
      <c r="ARI80" s="50"/>
      <c r="ARJ80" s="50"/>
      <c r="ARK80" s="50"/>
      <c r="ARL80" s="50"/>
      <c r="ARM80" s="50"/>
      <c r="ARN80" s="50"/>
      <c r="ARO80" s="50"/>
      <c r="ARP80" s="50"/>
      <c r="ARQ80" s="50"/>
      <c r="ARR80" s="50"/>
      <c r="ARS80" s="50"/>
      <c r="ART80" s="50"/>
      <c r="ARU80" s="50"/>
      <c r="ARV80" s="50"/>
      <c r="ARW80" s="50"/>
      <c r="ARX80" s="50"/>
      <c r="ARY80" s="50"/>
      <c r="ARZ80" s="50"/>
      <c r="ASA80" s="50"/>
      <c r="ASB80" s="50"/>
      <c r="ASC80" s="50"/>
      <c r="ASD80" s="50"/>
      <c r="ASE80" s="50"/>
      <c r="ASF80" s="50"/>
      <c r="BFF80" s="50"/>
      <c r="BFG80" s="50"/>
      <c r="BFH80" s="50"/>
      <c r="BFI80" s="50"/>
      <c r="BFJ80" s="50"/>
      <c r="BYR80">
        <v>150</v>
      </c>
      <c r="BYS80">
        <v>1</v>
      </c>
      <c r="BYV80">
        <v>1</v>
      </c>
      <c r="BYY80">
        <v>35</v>
      </c>
      <c r="BYZ80">
        <v>46</v>
      </c>
      <c r="BZA80">
        <v>0</v>
      </c>
      <c r="BZB80">
        <v>4</v>
      </c>
      <c r="CBI80" s="50"/>
      <c r="CBJ80" s="50">
        <v>1</v>
      </c>
      <c r="CBK80" s="50"/>
      <c r="CBM80">
        <v>1</v>
      </c>
      <c r="CBN80">
        <v>35</v>
      </c>
      <c r="CBO80">
        <v>46</v>
      </c>
      <c r="CBP80">
        <v>0</v>
      </c>
      <c r="CBQ80">
        <v>4</v>
      </c>
      <c r="CBS80">
        <v>100</v>
      </c>
      <c r="CBW80">
        <v>1</v>
      </c>
      <c r="CBX80">
        <v>35</v>
      </c>
      <c r="CBY80">
        <v>46</v>
      </c>
      <c r="CBZ80">
        <v>0</v>
      </c>
      <c r="CCA80">
        <v>4</v>
      </c>
      <c r="CHS80">
        <v>20</v>
      </c>
      <c r="CHT80">
        <v>1</v>
      </c>
      <c r="CHW80">
        <v>1</v>
      </c>
      <c r="CHX80">
        <v>35</v>
      </c>
      <c r="CHY80">
        <v>46</v>
      </c>
      <c r="CHZ80">
        <v>0</v>
      </c>
      <c r="CIA80">
        <v>4</v>
      </c>
      <c r="CMU80">
        <v>1200</v>
      </c>
      <c r="CMV80">
        <v>1</v>
      </c>
      <c r="CMW80">
        <v>1</v>
      </c>
      <c r="CMZ80">
        <v>35</v>
      </c>
      <c r="CNA80">
        <v>46</v>
      </c>
      <c r="CNB80">
        <v>0</v>
      </c>
      <c r="CNC80">
        <v>4</v>
      </c>
      <c r="CPD80">
        <v>150</v>
      </c>
      <c r="CPE80">
        <v>1</v>
      </c>
      <c r="CPH80">
        <v>1</v>
      </c>
      <c r="CPI80">
        <v>35</v>
      </c>
      <c r="CPJ80">
        <v>46</v>
      </c>
      <c r="CPK80">
        <v>0</v>
      </c>
      <c r="CPL80">
        <v>4</v>
      </c>
      <c r="CZJ80">
        <v>3</v>
      </c>
      <c r="CZK80">
        <v>1</v>
      </c>
      <c r="CZN80">
        <v>1</v>
      </c>
      <c r="CZO80">
        <v>35</v>
      </c>
      <c r="CZP80">
        <v>46</v>
      </c>
      <c r="CZQ80">
        <v>0</v>
      </c>
      <c r="CZR80">
        <v>4</v>
      </c>
      <c r="DXQ80" s="50"/>
      <c r="DXU80">
        <v>1</v>
      </c>
      <c r="DXW80">
        <v>35</v>
      </c>
      <c r="DXX80">
        <v>46</v>
      </c>
      <c r="DXY80">
        <v>0</v>
      </c>
      <c r="DXZ80">
        <v>4</v>
      </c>
    </row>
    <row r="81" spans="1:980 1093:2042 2089:2987 3171:4064 4668:4943 5160:5337" x14ac:dyDescent="0.25">
      <c r="A81" s="50">
        <v>7015502</v>
      </c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JV81">
        <v>55</v>
      </c>
      <c r="NF81">
        <v>114</v>
      </c>
      <c r="QT81">
        <v>263</v>
      </c>
      <c r="UR81" s="50"/>
      <c r="US81" s="50"/>
      <c r="UT81" s="50"/>
      <c r="UU81" s="50"/>
      <c r="UV81" s="50"/>
      <c r="UW81" s="50"/>
      <c r="UX81" s="50"/>
      <c r="UY81" s="50"/>
      <c r="UZ81" s="50"/>
      <c r="VA81" s="50"/>
      <c r="VB81" s="50"/>
      <c r="VC81" s="50"/>
      <c r="AGU81">
        <v>167</v>
      </c>
      <c r="AJB81" s="50"/>
      <c r="AJC81" s="50"/>
      <c r="AJD81" s="50"/>
      <c r="AJE81" s="50"/>
      <c r="AJF81" s="50"/>
      <c r="AJG81" s="50"/>
      <c r="AJH81" s="50"/>
      <c r="AJI81" s="50"/>
      <c r="AJJ81" s="50"/>
      <c r="AJK81" s="50"/>
      <c r="AJL81" s="50"/>
      <c r="AJM81" s="50"/>
      <c r="AJN81" s="50"/>
      <c r="AJO81" s="50"/>
      <c r="AJP81" s="50"/>
      <c r="AJQ81" s="50"/>
      <c r="AJR81" s="50"/>
      <c r="AJS81" s="50"/>
      <c r="AJT81" s="50"/>
      <c r="AJU81" s="50"/>
      <c r="AJV81" s="50"/>
      <c r="AJW81" s="50"/>
      <c r="AJX81" s="50"/>
      <c r="AJY81" s="50"/>
      <c r="AJZ81" s="50"/>
      <c r="AKA81" s="50"/>
      <c r="AKB81" s="50"/>
      <c r="AKC81" s="50"/>
      <c r="AKD81" s="50"/>
      <c r="AKE81" s="50"/>
      <c r="AKF81" s="50"/>
      <c r="AKG81" s="50"/>
      <c r="AKH81" s="50"/>
      <c r="APA81" s="50"/>
      <c r="APB81" s="50"/>
      <c r="APC81" s="50"/>
      <c r="APD81" s="50"/>
      <c r="APE81" s="50"/>
      <c r="APF81" s="50"/>
      <c r="APG81" s="50"/>
      <c r="APH81" s="50"/>
      <c r="API81" s="50"/>
      <c r="APJ81" s="50"/>
      <c r="APK81" s="50"/>
      <c r="APL81" s="50"/>
      <c r="APM81" s="50"/>
      <c r="APN81" s="50"/>
      <c r="APO81" s="50"/>
      <c r="APP81" s="50"/>
      <c r="APQ81" s="50"/>
      <c r="APR81" s="50"/>
      <c r="APS81" s="50"/>
      <c r="APT81" s="50"/>
      <c r="APU81" s="50"/>
      <c r="APV81" s="50"/>
      <c r="APW81" s="50"/>
      <c r="APX81" s="50"/>
      <c r="APY81" s="50"/>
      <c r="APZ81" s="50"/>
      <c r="AQA81" s="50"/>
      <c r="AQB81" s="50"/>
      <c r="ARC81" s="50"/>
      <c r="ARD81" s="50"/>
      <c r="ARE81" s="50"/>
      <c r="ARF81" s="50"/>
      <c r="ARG81" s="50"/>
      <c r="ARH81" s="50"/>
      <c r="ARI81" s="50"/>
      <c r="ARJ81" s="50"/>
      <c r="ARK81" s="50"/>
      <c r="ARL81" s="50"/>
      <c r="ARM81" s="50"/>
      <c r="ARN81" s="50"/>
      <c r="ARO81" s="50"/>
      <c r="ARP81" s="50"/>
      <c r="ARQ81" s="50"/>
      <c r="ARR81" s="50"/>
      <c r="ARS81" s="50"/>
      <c r="ART81" s="50"/>
      <c r="ARU81" s="50"/>
      <c r="ARV81" s="50"/>
      <c r="ARW81" s="50"/>
      <c r="ARX81" s="50"/>
      <c r="ARY81" s="50"/>
      <c r="ARZ81" s="50"/>
      <c r="ASA81" s="50"/>
      <c r="ASB81" s="50"/>
      <c r="ASC81" s="50"/>
      <c r="ASD81" s="50"/>
      <c r="ASE81" s="50"/>
      <c r="ASF81" s="50"/>
      <c r="BFF81" s="50"/>
      <c r="BFG81" s="50"/>
      <c r="BFH81" s="50"/>
      <c r="BFI81" s="50"/>
      <c r="BFJ81" s="50"/>
      <c r="BYV81">
        <v>1</v>
      </c>
      <c r="BYY81">
        <v>5</v>
      </c>
      <c r="BYZ81">
        <v>11</v>
      </c>
      <c r="BZA81">
        <v>6</v>
      </c>
      <c r="BZB81">
        <v>0</v>
      </c>
      <c r="CBI81" s="50"/>
      <c r="CBJ81" s="50"/>
      <c r="CBK81" s="50"/>
    </row>
    <row r="82" spans="1:980 1093:2042 2089:2987 3171:4064 4668:4943 5160:5337" x14ac:dyDescent="0.25">
      <c r="A82" s="50">
        <v>7025847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UR82" s="50"/>
      <c r="US82" s="50"/>
      <c r="UT82" s="50"/>
      <c r="UU82" s="50"/>
      <c r="UV82" s="50"/>
      <c r="UW82" s="50"/>
      <c r="UX82" s="50"/>
      <c r="UY82" s="50"/>
      <c r="UZ82" s="50"/>
      <c r="VA82" s="50"/>
      <c r="VB82" s="50"/>
      <c r="VC82" s="50"/>
      <c r="AJB82" s="50"/>
      <c r="AJC82" s="50"/>
      <c r="AJD82" s="50"/>
      <c r="AJE82" s="50"/>
      <c r="AJF82" s="50"/>
      <c r="AJG82" s="50"/>
      <c r="AJH82" s="50"/>
      <c r="AJI82" s="50"/>
      <c r="AJJ82" s="50"/>
      <c r="AJK82" s="50"/>
      <c r="AJL82" s="50"/>
      <c r="AJM82" s="50"/>
      <c r="AJN82" s="50"/>
      <c r="AJO82" s="50"/>
      <c r="AJP82" s="50"/>
      <c r="AJQ82" s="50"/>
      <c r="AJR82" s="50"/>
      <c r="AJS82" s="50"/>
      <c r="AJT82" s="50"/>
      <c r="AJU82" s="50"/>
      <c r="AJV82" s="50"/>
      <c r="AJW82" s="50"/>
      <c r="AJX82" s="50"/>
      <c r="AJY82" s="50"/>
      <c r="AJZ82" s="50"/>
      <c r="AKA82" s="50"/>
      <c r="AKB82" s="50"/>
      <c r="AKC82" s="50"/>
      <c r="AKD82" s="50"/>
      <c r="AKE82" s="50">
        <v>1.7</v>
      </c>
      <c r="AKF82" s="50"/>
      <c r="AKG82" s="50"/>
      <c r="AKH82" s="50"/>
      <c r="APA82" s="50"/>
      <c r="APB82" s="50"/>
      <c r="APC82" s="50"/>
      <c r="APD82" s="50"/>
      <c r="APE82" s="50"/>
      <c r="APF82" s="50"/>
      <c r="APG82" s="50"/>
      <c r="APH82" s="50"/>
      <c r="API82" s="50"/>
      <c r="APJ82" s="50"/>
      <c r="APK82" s="50"/>
      <c r="APL82" s="50"/>
      <c r="APM82" s="50"/>
      <c r="APN82" s="50"/>
      <c r="APO82" s="50"/>
      <c r="APP82" s="50"/>
      <c r="APQ82" s="50"/>
      <c r="APR82" s="50"/>
      <c r="APS82" s="50"/>
      <c r="APT82" s="50"/>
      <c r="APU82" s="50"/>
      <c r="APV82" s="50"/>
      <c r="APW82" s="50"/>
      <c r="APX82" s="50"/>
      <c r="APY82" s="50"/>
      <c r="APZ82" s="50"/>
      <c r="AQA82" s="50"/>
      <c r="AQB82" s="50"/>
      <c r="ARC82" s="50"/>
      <c r="ARD82" s="50"/>
      <c r="ARE82" s="50"/>
      <c r="ARF82" s="50"/>
      <c r="ARG82" s="50"/>
      <c r="ARH82" s="50"/>
      <c r="ARI82" s="50"/>
      <c r="ARJ82" s="50"/>
      <c r="ARK82" s="50"/>
      <c r="ARL82" s="50"/>
      <c r="ARM82" s="50"/>
      <c r="ARN82" s="50"/>
      <c r="ARO82" s="50"/>
      <c r="ARP82" s="50"/>
      <c r="ARQ82" s="50"/>
      <c r="ARR82" s="50"/>
      <c r="ARS82" s="50"/>
      <c r="ART82" s="50"/>
      <c r="ARU82" s="50"/>
      <c r="ARV82" s="50"/>
      <c r="ARW82" s="50"/>
      <c r="ARX82" s="50"/>
      <c r="ARY82" s="50"/>
      <c r="ARZ82" s="50"/>
      <c r="ASA82" s="50"/>
      <c r="ASB82" s="50"/>
      <c r="ASC82" s="50"/>
      <c r="ASD82" s="50"/>
      <c r="ASE82" s="50"/>
      <c r="ASF82" s="50"/>
      <c r="AXD82">
        <v>14.257</v>
      </c>
      <c r="BFF82" s="50"/>
      <c r="BFG82" s="50"/>
      <c r="BFH82" s="50"/>
      <c r="BFI82" s="50"/>
      <c r="BFJ82" s="50"/>
      <c r="BMV82">
        <v>191.12</v>
      </c>
      <c r="BYR82">
        <v>75</v>
      </c>
      <c r="BYS82">
        <v>1</v>
      </c>
      <c r="BYV82">
        <v>1</v>
      </c>
      <c r="BYY82">
        <v>2</v>
      </c>
      <c r="BYZ82">
        <v>5</v>
      </c>
      <c r="BZA82">
        <v>4</v>
      </c>
      <c r="BZB82">
        <v>0</v>
      </c>
      <c r="CBI82" s="50"/>
      <c r="CBJ82" s="50"/>
      <c r="CBK82" s="50"/>
    </row>
    <row r="83" spans="1:980 1093:2042 2089:2987 3171:4064 4668:4943 5160:5337" x14ac:dyDescent="0.25">
      <c r="A83" s="50">
        <v>7082707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KC83">
        <v>115.2</v>
      </c>
      <c r="KI83">
        <v>101.4</v>
      </c>
      <c r="NR83">
        <v>111</v>
      </c>
      <c r="RL83">
        <v>492.6</v>
      </c>
      <c r="UR83" s="50"/>
      <c r="US83" s="50"/>
      <c r="UT83" s="50"/>
      <c r="UU83" s="50">
        <v>6540</v>
      </c>
      <c r="UV83" s="50"/>
      <c r="UW83" s="50"/>
      <c r="UX83" s="50">
        <v>30120</v>
      </c>
      <c r="UY83" s="50"/>
      <c r="UZ83" s="50"/>
      <c r="VA83" s="50"/>
      <c r="VB83" s="50"/>
      <c r="VC83" s="50"/>
      <c r="AJB83" s="50"/>
      <c r="AJC83" s="50"/>
      <c r="AJD83" s="50"/>
      <c r="AJE83" s="50"/>
      <c r="AJF83" s="50"/>
      <c r="AJG83" s="50"/>
      <c r="AJH83" s="50"/>
      <c r="AJI83" s="50"/>
      <c r="AJJ83" s="50"/>
      <c r="AJK83" s="50"/>
      <c r="AJL83" s="50"/>
      <c r="AJM83" s="50"/>
      <c r="AJN83" s="50"/>
      <c r="AJO83" s="50"/>
      <c r="AJP83" s="50"/>
      <c r="AJQ83" s="50"/>
      <c r="AJR83" s="50"/>
      <c r="AJS83" s="50"/>
      <c r="AJT83" s="50"/>
      <c r="AJU83" s="50"/>
      <c r="AJV83" s="50"/>
      <c r="AJW83" s="50"/>
      <c r="AJX83" s="50"/>
      <c r="AJY83" s="50"/>
      <c r="AJZ83" s="50"/>
      <c r="AKA83" s="50"/>
      <c r="AKB83" s="50"/>
      <c r="AKC83" s="50"/>
      <c r="AKD83" s="50"/>
      <c r="AKE83" s="50"/>
      <c r="AKF83" s="50"/>
      <c r="AKG83" s="50"/>
      <c r="AKH83" s="50"/>
      <c r="AKR83">
        <v>0.76919999999999999</v>
      </c>
      <c r="APA83" s="50"/>
      <c r="APB83" s="50"/>
      <c r="APC83" s="50"/>
      <c r="APD83" s="50"/>
      <c r="APE83" s="50"/>
      <c r="APF83" s="50"/>
      <c r="APG83" s="50"/>
      <c r="APH83" s="50"/>
      <c r="API83" s="50"/>
      <c r="APJ83" s="50"/>
      <c r="APK83" s="50"/>
      <c r="APL83" s="50"/>
      <c r="APM83" s="50"/>
      <c r="APN83" s="50"/>
      <c r="APO83" s="50"/>
      <c r="APP83" s="50"/>
      <c r="APQ83" s="50"/>
      <c r="APR83" s="50"/>
      <c r="APS83" s="50"/>
      <c r="APT83" s="50"/>
      <c r="APU83" s="50"/>
      <c r="APV83" s="50"/>
      <c r="APW83" s="50"/>
      <c r="APX83" s="50"/>
      <c r="APY83" s="50"/>
      <c r="APZ83" s="50"/>
      <c r="AQA83" s="50"/>
      <c r="AQB83" s="50"/>
      <c r="ARC83" s="50"/>
      <c r="ARD83" s="50"/>
      <c r="ARE83" s="50"/>
      <c r="ARF83" s="50"/>
      <c r="ARG83" s="50"/>
      <c r="ARH83" s="50"/>
      <c r="ARI83" s="50"/>
      <c r="ARJ83" s="50"/>
      <c r="ARK83" s="50"/>
      <c r="ARL83" s="50"/>
      <c r="ARM83" s="50"/>
      <c r="ARN83" s="50"/>
      <c r="ARO83" s="50"/>
      <c r="ARP83" s="50"/>
      <c r="ARQ83" s="50"/>
      <c r="ARR83" s="50"/>
      <c r="ARS83" s="50"/>
      <c r="ART83" s="50"/>
      <c r="ARU83" s="50"/>
      <c r="ARV83" s="50"/>
      <c r="ARW83" s="50"/>
      <c r="ARX83" s="50"/>
      <c r="ARY83" s="50"/>
      <c r="ARZ83" s="50"/>
      <c r="ASA83" s="50"/>
      <c r="ASB83" s="50"/>
      <c r="ASC83" s="50"/>
      <c r="ASD83" s="50"/>
      <c r="ASE83" s="50"/>
      <c r="ASF83" s="50"/>
      <c r="BFF83" s="50"/>
      <c r="BFG83" s="50"/>
      <c r="BFH83" s="50"/>
      <c r="BFI83" s="50"/>
      <c r="BFJ83" s="50"/>
      <c r="BKL83">
        <v>74.832300000000004</v>
      </c>
      <c r="BKY83">
        <v>317</v>
      </c>
      <c r="BYR83">
        <v>50</v>
      </c>
      <c r="BYV83">
        <v>1</v>
      </c>
      <c r="BYY83">
        <v>720</v>
      </c>
      <c r="BYZ83">
        <v>709</v>
      </c>
      <c r="BZA83">
        <v>11</v>
      </c>
      <c r="CBI83" s="50"/>
      <c r="CBJ83" s="50"/>
      <c r="CBK83" s="50"/>
      <c r="CNY83">
        <v>400</v>
      </c>
      <c r="CNZ83">
        <v>1</v>
      </c>
      <c r="COC83">
        <v>1</v>
      </c>
      <c r="COD83">
        <v>25</v>
      </c>
      <c r="COE83">
        <v>119</v>
      </c>
      <c r="COF83">
        <v>95</v>
      </c>
      <c r="COG83">
        <v>0</v>
      </c>
      <c r="CUZ83">
        <v>500</v>
      </c>
      <c r="CVA83">
        <v>1</v>
      </c>
      <c r="CVD83">
        <v>1</v>
      </c>
      <c r="CVE83">
        <v>13</v>
      </c>
      <c r="CVF83">
        <v>85</v>
      </c>
      <c r="CVG83">
        <v>73</v>
      </c>
      <c r="CVH83">
        <v>0</v>
      </c>
      <c r="DHP83">
        <v>4</v>
      </c>
      <c r="DHQ83">
        <v>1</v>
      </c>
      <c r="DHT83">
        <v>1</v>
      </c>
      <c r="DHU83">
        <v>999</v>
      </c>
      <c r="DHV83">
        <v>999</v>
      </c>
      <c r="DHW83">
        <v>0</v>
      </c>
      <c r="DHX83">
        <v>11</v>
      </c>
      <c r="DJD83">
        <v>20</v>
      </c>
      <c r="DJE83">
        <v>1</v>
      </c>
      <c r="DJH83">
        <v>1</v>
      </c>
      <c r="DJI83">
        <v>999</v>
      </c>
      <c r="DJJ83">
        <v>999</v>
      </c>
      <c r="DJK83">
        <v>0</v>
      </c>
      <c r="DJL83" s="35">
        <v>999</v>
      </c>
      <c r="GPL83">
        <v>70</v>
      </c>
      <c r="GPM83">
        <v>1</v>
      </c>
      <c r="GPP83">
        <v>1</v>
      </c>
      <c r="GPQ83">
        <v>999</v>
      </c>
      <c r="GPR83">
        <v>999</v>
      </c>
      <c r="GPS83">
        <v>0</v>
      </c>
      <c r="GPT83">
        <v>10</v>
      </c>
    </row>
    <row r="84" spans="1:980 1093:2042 2089:2987 3171:4064 4668:4943 5160:5337" x14ac:dyDescent="0.25">
      <c r="A84" s="50">
        <v>7083159</v>
      </c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KH84">
        <v>1316.4</v>
      </c>
      <c r="NW84">
        <v>1329.6</v>
      </c>
      <c r="RK84">
        <v>380.4</v>
      </c>
      <c r="UR84" s="50"/>
      <c r="US84" s="50"/>
      <c r="UT84" s="50"/>
      <c r="UU84" s="50"/>
      <c r="UV84" s="50"/>
      <c r="UW84" s="50"/>
      <c r="UX84" s="50"/>
      <c r="UY84" s="50"/>
      <c r="UZ84" s="50"/>
      <c r="VA84" s="50"/>
      <c r="VB84" s="50"/>
      <c r="VC84" s="50"/>
      <c r="AJB84" s="50"/>
      <c r="AJC84" s="50"/>
      <c r="AJD84" s="50"/>
      <c r="AJE84" s="50"/>
      <c r="AJF84" s="50"/>
      <c r="AJG84" s="50"/>
      <c r="AJH84" s="50"/>
      <c r="AJI84" s="50"/>
      <c r="AJJ84" s="50"/>
      <c r="AJK84" s="50"/>
      <c r="AJL84" s="50"/>
      <c r="AJM84" s="50"/>
      <c r="AJN84" s="50"/>
      <c r="AJO84" s="50"/>
      <c r="AJP84" s="50"/>
      <c r="AJQ84" s="50"/>
      <c r="AJR84" s="50"/>
      <c r="AJS84" s="50"/>
      <c r="AJT84" s="50"/>
      <c r="AJU84" s="50"/>
      <c r="AJV84" s="50"/>
      <c r="AJW84" s="50"/>
      <c r="AJX84" s="50"/>
      <c r="AJY84" s="50"/>
      <c r="AJZ84" s="50"/>
      <c r="AKA84" s="50"/>
      <c r="AKB84" s="50"/>
      <c r="AKC84" s="50"/>
      <c r="AKD84" s="50"/>
      <c r="AKE84" s="50"/>
      <c r="AKF84" s="50"/>
      <c r="AKG84" s="50"/>
      <c r="AKH84" s="50"/>
      <c r="APA84" s="50"/>
      <c r="APB84" s="50"/>
      <c r="APC84" s="50"/>
      <c r="APD84" s="50"/>
      <c r="APE84" s="50"/>
      <c r="APF84" s="50"/>
      <c r="APG84" s="50"/>
      <c r="APH84" s="50"/>
      <c r="API84" s="50"/>
      <c r="APJ84" s="50"/>
      <c r="APK84" s="50"/>
      <c r="APL84" s="50"/>
      <c r="APM84" s="50"/>
      <c r="APN84" s="50"/>
      <c r="APO84" s="50"/>
      <c r="APP84" s="50"/>
      <c r="APQ84" s="50"/>
      <c r="APR84" s="50"/>
      <c r="APS84" s="50"/>
      <c r="APT84" s="50"/>
      <c r="APU84" s="50"/>
      <c r="APV84" s="50"/>
      <c r="APW84" s="50"/>
      <c r="APX84" s="50"/>
      <c r="APY84" s="50"/>
      <c r="APZ84" s="50"/>
      <c r="AQA84" s="50"/>
      <c r="AQB84" s="50"/>
      <c r="ARC84" s="50"/>
      <c r="ARD84" s="50"/>
      <c r="ARE84" s="50"/>
      <c r="ARF84" s="50"/>
      <c r="ARG84" s="50"/>
      <c r="ARH84" s="50"/>
      <c r="ARI84" s="50"/>
      <c r="ARJ84" s="50"/>
      <c r="ARK84" s="50"/>
      <c r="ARL84" s="50"/>
      <c r="ARM84" s="50"/>
      <c r="ARN84" s="50"/>
      <c r="ARO84" s="50"/>
      <c r="ARP84" s="50"/>
      <c r="ARQ84" s="50"/>
      <c r="ARR84" s="50"/>
      <c r="ARS84" s="50"/>
      <c r="ART84" s="50"/>
      <c r="ARU84" s="50"/>
      <c r="ARV84" s="50"/>
      <c r="ARW84" s="50"/>
      <c r="ARX84" s="50"/>
      <c r="ARY84" s="50"/>
      <c r="ARZ84" s="50"/>
      <c r="ASA84" s="50"/>
      <c r="ASB84" s="50"/>
      <c r="ASC84" s="50"/>
      <c r="ASD84" s="50"/>
      <c r="ASE84" s="50"/>
      <c r="ASF84" s="50"/>
      <c r="BFF84" s="50"/>
      <c r="BFG84" s="50"/>
      <c r="BFH84" s="50"/>
      <c r="BFI84" s="50"/>
      <c r="BFJ84" s="50"/>
      <c r="BYR84">
        <v>50</v>
      </c>
      <c r="BYS84">
        <v>1</v>
      </c>
      <c r="BYV84">
        <v>1</v>
      </c>
      <c r="BYY84">
        <v>82</v>
      </c>
      <c r="BYZ84">
        <v>87</v>
      </c>
      <c r="BZA84">
        <v>6</v>
      </c>
      <c r="CBI84" s="50">
        <v>1500</v>
      </c>
      <c r="CBJ84" s="50">
        <v>1</v>
      </c>
      <c r="CBK84" s="50"/>
      <c r="CBM84">
        <v>1</v>
      </c>
      <c r="CBN84">
        <v>108</v>
      </c>
      <c r="CBO84">
        <v>92</v>
      </c>
      <c r="CBP84">
        <v>0</v>
      </c>
      <c r="CBQ84">
        <v>16</v>
      </c>
      <c r="CED84">
        <v>150</v>
      </c>
      <c r="CEE84">
        <v>1</v>
      </c>
      <c r="CEH84">
        <v>1</v>
      </c>
      <c r="CEI84">
        <v>83</v>
      </c>
      <c r="CEJ84">
        <v>592</v>
      </c>
      <c r="CEK84">
        <v>6</v>
      </c>
      <c r="CEL84">
        <v>0</v>
      </c>
      <c r="CHI84">
        <v>50</v>
      </c>
      <c r="CHJ84">
        <v>1</v>
      </c>
      <c r="CHN84">
        <v>87</v>
      </c>
      <c r="CHO84">
        <v>91</v>
      </c>
      <c r="CHP84">
        <v>6</v>
      </c>
      <c r="CHQ84">
        <v>0</v>
      </c>
      <c r="CTV84">
        <v>500</v>
      </c>
      <c r="CTW84">
        <v>1</v>
      </c>
      <c r="CTZ84">
        <v>1</v>
      </c>
      <c r="CUA84">
        <v>5</v>
      </c>
      <c r="CUB84">
        <v>14</v>
      </c>
      <c r="CUC84">
        <v>10</v>
      </c>
      <c r="CUD84">
        <v>0</v>
      </c>
    </row>
    <row r="85" spans="1:980 1093:2042 2089:2987 3171:4064 4668:4943 5160:5337" x14ac:dyDescent="0.25">
      <c r="A85" s="50">
        <v>7084659</v>
      </c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JQ85">
        <v>3837.6</v>
      </c>
      <c r="NF85">
        <v>1489.2</v>
      </c>
      <c r="UR85" s="50"/>
      <c r="US85" s="50"/>
      <c r="UT85" s="50"/>
      <c r="UU85" s="50"/>
      <c r="UV85" s="50"/>
      <c r="UW85" s="50"/>
      <c r="UX85" s="50"/>
      <c r="UY85" s="50"/>
      <c r="UZ85" s="50"/>
      <c r="VA85" s="50"/>
      <c r="VB85" s="50"/>
      <c r="VC85" s="50"/>
      <c r="AJB85" s="50"/>
      <c r="AJC85" s="50"/>
      <c r="AJD85" s="50"/>
      <c r="AJE85" s="50"/>
      <c r="AJF85" s="50"/>
      <c r="AJG85" s="50"/>
      <c r="AJH85" s="50"/>
      <c r="AJI85" s="50"/>
      <c r="AJJ85" s="50"/>
      <c r="AJK85" s="50"/>
      <c r="AJL85" s="50"/>
      <c r="AJM85" s="50"/>
      <c r="AJN85" s="50"/>
      <c r="AJO85" s="50"/>
      <c r="AJP85" s="50"/>
      <c r="AJQ85" s="50"/>
      <c r="AJR85" s="50"/>
      <c r="AJS85" s="50"/>
      <c r="AJT85" s="50"/>
      <c r="AJU85" s="50"/>
      <c r="AJV85" s="50"/>
      <c r="AJW85" s="50"/>
      <c r="AJX85" s="50"/>
      <c r="AJY85" s="50"/>
      <c r="AJZ85" s="50"/>
      <c r="AKA85" s="50"/>
      <c r="AKB85" s="50"/>
      <c r="AKC85" s="50"/>
      <c r="AKD85" s="50"/>
      <c r="AKE85" s="50"/>
      <c r="AKF85" s="50">
        <v>3.8121</v>
      </c>
      <c r="AKG85" s="50"/>
      <c r="AKH85" s="50"/>
      <c r="APA85" s="50"/>
      <c r="APB85" s="50"/>
      <c r="APC85" s="50"/>
      <c r="APD85" s="50"/>
      <c r="APE85" s="50"/>
      <c r="APF85" s="50"/>
      <c r="APG85" s="50"/>
      <c r="APH85" s="50"/>
      <c r="API85" s="50"/>
      <c r="APJ85" s="50"/>
      <c r="APK85" s="50"/>
      <c r="APL85" s="50"/>
      <c r="APM85" s="50"/>
      <c r="APN85" s="50"/>
      <c r="APO85" s="50"/>
      <c r="APP85" s="50"/>
      <c r="APQ85" s="50"/>
      <c r="APR85" s="50"/>
      <c r="APS85" s="50"/>
      <c r="APT85" s="50"/>
      <c r="APU85" s="50"/>
      <c r="APV85" s="50"/>
      <c r="APW85" s="50"/>
      <c r="APX85" s="50"/>
      <c r="APY85" s="50"/>
      <c r="APZ85" s="50"/>
      <c r="AQA85" s="50"/>
      <c r="AQB85" s="50"/>
      <c r="ARC85" s="50"/>
      <c r="ARD85" s="50"/>
      <c r="ARE85" s="50"/>
      <c r="ARF85" s="50"/>
      <c r="ARG85" s="50"/>
      <c r="ARH85" s="50"/>
      <c r="ARI85" s="50"/>
      <c r="ARJ85" s="50"/>
      <c r="ARK85" s="50"/>
      <c r="ARL85" s="50"/>
      <c r="ARM85" s="50"/>
      <c r="ARN85" s="50"/>
      <c r="ARO85" s="50"/>
      <c r="ARP85" s="50"/>
      <c r="ARQ85" s="50"/>
      <c r="ARR85" s="50"/>
      <c r="ARS85" s="50"/>
      <c r="ART85" s="50"/>
      <c r="ARU85" s="50"/>
      <c r="ARV85" s="50"/>
      <c r="ARW85" s="50"/>
      <c r="ARX85" s="50"/>
      <c r="ARY85" s="50"/>
      <c r="ARZ85" s="50"/>
      <c r="ASA85" s="50"/>
      <c r="ASB85" s="50"/>
      <c r="ASC85" s="50"/>
      <c r="ASD85" s="50"/>
      <c r="ASE85" s="50"/>
      <c r="ASF85" s="50"/>
      <c r="BFF85" s="50"/>
      <c r="BFG85" s="50"/>
      <c r="BFH85" s="50"/>
      <c r="BFI85" s="50"/>
      <c r="BFJ85" s="50"/>
      <c r="BYR85">
        <v>150</v>
      </c>
      <c r="BYS85">
        <v>1</v>
      </c>
      <c r="BYV85">
        <v>1</v>
      </c>
      <c r="BYY85">
        <v>10</v>
      </c>
      <c r="BYZ85">
        <v>9</v>
      </c>
      <c r="BZA85">
        <v>0</v>
      </c>
      <c r="BZB85">
        <v>0</v>
      </c>
      <c r="CBI85" s="50"/>
      <c r="CBJ85" s="50"/>
      <c r="CBK85" s="50"/>
      <c r="CTV85">
        <v>500</v>
      </c>
      <c r="CTW85">
        <v>1</v>
      </c>
      <c r="CTZ85">
        <v>1</v>
      </c>
      <c r="CUA85">
        <v>10</v>
      </c>
      <c r="CUB85">
        <v>9</v>
      </c>
      <c r="CUC85">
        <v>0</v>
      </c>
      <c r="CUD85">
        <v>0</v>
      </c>
      <c r="EMC85">
        <v>40</v>
      </c>
      <c r="EMD85">
        <v>0.5</v>
      </c>
      <c r="EMG85">
        <v>1</v>
      </c>
      <c r="EMH85">
        <v>999</v>
      </c>
      <c r="EMI85">
        <v>8</v>
      </c>
      <c r="EMJ85">
        <v>0</v>
      </c>
      <c r="EMK85" s="15">
        <v>999</v>
      </c>
      <c r="FWN85">
        <v>10</v>
      </c>
      <c r="FWO85">
        <v>1</v>
      </c>
      <c r="FWR85">
        <v>1</v>
      </c>
      <c r="FWS85">
        <v>999</v>
      </c>
      <c r="FWT85" s="15">
        <v>999</v>
      </c>
      <c r="FWU85">
        <v>0</v>
      </c>
      <c r="FWV85">
        <v>0</v>
      </c>
      <c r="FYW85">
        <v>25</v>
      </c>
      <c r="FYX85">
        <v>1</v>
      </c>
      <c r="FZA85">
        <v>1</v>
      </c>
      <c r="FZB85">
        <v>999</v>
      </c>
      <c r="FZC85">
        <v>9</v>
      </c>
      <c r="FZD85">
        <v>0</v>
      </c>
      <c r="FZE85" s="15">
        <v>999</v>
      </c>
    </row>
    <row r="86" spans="1:980 1093:2042 2089:2987 3171:4064 4668:4943 5160:5337" x14ac:dyDescent="0.25">
      <c r="A86" s="50">
        <v>7076814</v>
      </c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HR86">
        <v>6600</v>
      </c>
      <c r="TL86">
        <v>1046</v>
      </c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ZB86">
        <v>10.3</v>
      </c>
      <c r="ZT86">
        <v>7.7</v>
      </c>
      <c r="ZU86">
        <v>7.3</v>
      </c>
      <c r="AAL86">
        <v>8.8000000000000007</v>
      </c>
      <c r="ABC86">
        <v>4.3148999999999997</v>
      </c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PA86" s="50"/>
      <c r="APB86" s="50"/>
      <c r="APC86" s="50"/>
      <c r="APD86" s="50"/>
      <c r="APE86" s="50"/>
      <c r="APF86" s="50"/>
      <c r="APG86" s="50"/>
      <c r="APH86" s="50"/>
      <c r="API86" s="50"/>
      <c r="APJ86" s="50"/>
      <c r="APK86" s="50"/>
      <c r="APL86" s="50"/>
      <c r="APM86" s="50"/>
      <c r="APN86" s="50"/>
      <c r="APO86" s="50"/>
      <c r="APP86" s="50"/>
      <c r="APQ86" s="50"/>
      <c r="APR86" s="50"/>
      <c r="APS86" s="50"/>
      <c r="APT86" s="50"/>
      <c r="APU86" s="50"/>
      <c r="APV86" s="50"/>
      <c r="APW86" s="50"/>
      <c r="APX86" s="50"/>
      <c r="APY86" s="50"/>
      <c r="APZ86" s="50"/>
      <c r="AQA86" s="50"/>
      <c r="AQB86" s="50"/>
      <c r="ARC86" s="50"/>
      <c r="ARD86" s="50"/>
      <c r="ARE86" s="50"/>
      <c r="ARF86" s="50"/>
      <c r="ARG86" s="50"/>
      <c r="ARH86" s="50"/>
      <c r="ARI86" s="50"/>
      <c r="ARJ86" s="50"/>
      <c r="ARK86" s="50"/>
      <c r="ARL86" s="50">
        <v>18600000000</v>
      </c>
      <c r="ARM86" s="50"/>
      <c r="ARN86" s="50"/>
      <c r="ARO86" s="50"/>
      <c r="ARP86" s="50"/>
      <c r="ARQ86" s="50"/>
      <c r="ARR86" s="50"/>
      <c r="ARS86" s="50"/>
      <c r="ART86" s="50"/>
      <c r="ARU86" s="50"/>
      <c r="ARV86" s="50"/>
      <c r="ARW86" s="50"/>
      <c r="ARX86" s="50"/>
      <c r="ARY86" s="50"/>
      <c r="ARZ86" s="50"/>
      <c r="ASA86" s="50"/>
      <c r="ASB86" s="50"/>
      <c r="ASC86" s="50"/>
      <c r="ASD86" s="50"/>
      <c r="ASE86" s="50"/>
      <c r="ASF86" s="50"/>
      <c r="AUD86" s="50">
        <v>0</v>
      </c>
      <c r="BFF86" s="50"/>
      <c r="BFG86" s="50"/>
      <c r="BFH86" s="50"/>
      <c r="BFI86" s="50"/>
      <c r="BFJ86" s="50"/>
      <c r="BYX86">
        <v>1</v>
      </c>
      <c r="BYY86">
        <v>999</v>
      </c>
      <c r="BYZ86">
        <v>999</v>
      </c>
      <c r="BZA86">
        <v>0</v>
      </c>
      <c r="BZB86">
        <v>16</v>
      </c>
      <c r="BZK86">
        <v>183</v>
      </c>
      <c r="BZL86">
        <v>275</v>
      </c>
      <c r="BZM86">
        <v>92</v>
      </c>
      <c r="BZN86">
        <v>0</v>
      </c>
      <c r="CBI86" s="50"/>
      <c r="CBJ86" s="50"/>
      <c r="CBK86" s="50"/>
      <c r="CPN86">
        <v>500</v>
      </c>
      <c r="CPO86">
        <v>1</v>
      </c>
      <c r="CPR86">
        <v>1</v>
      </c>
      <c r="CPS86">
        <v>10</v>
      </c>
      <c r="CPT86">
        <v>39</v>
      </c>
      <c r="CPU86">
        <v>28</v>
      </c>
      <c r="CPV86">
        <v>0</v>
      </c>
      <c r="DHT86">
        <v>1</v>
      </c>
      <c r="DHU86">
        <v>999</v>
      </c>
      <c r="DHV86">
        <v>999</v>
      </c>
      <c r="DHW86">
        <v>0</v>
      </c>
      <c r="DHX86">
        <v>50</v>
      </c>
      <c r="DQY86">
        <v>500</v>
      </c>
      <c r="DQZ86">
        <v>1</v>
      </c>
      <c r="DRC86">
        <v>1</v>
      </c>
      <c r="DRD86">
        <v>999</v>
      </c>
      <c r="DRE86">
        <v>999</v>
      </c>
      <c r="DRF86">
        <v>30</v>
      </c>
      <c r="DRG86">
        <v>0</v>
      </c>
      <c r="DXK86">
        <v>1</v>
      </c>
      <c r="DXL86">
        <v>360</v>
      </c>
      <c r="DXM86">
        <v>999</v>
      </c>
      <c r="DXN86">
        <v>13</v>
      </c>
      <c r="DXO86">
        <v>0</v>
      </c>
      <c r="EEO86">
        <v>1</v>
      </c>
      <c r="EOP86">
        <v>16</v>
      </c>
      <c r="EOQ86">
        <v>13</v>
      </c>
      <c r="EOR86">
        <v>0</v>
      </c>
      <c r="EOS86">
        <v>2</v>
      </c>
      <c r="EQU86">
        <v>1</v>
      </c>
      <c r="GHA86">
        <v>305</v>
      </c>
      <c r="GHB86">
        <v>305</v>
      </c>
      <c r="GHC86">
        <v>0</v>
      </c>
      <c r="GQQ86">
        <v>1</v>
      </c>
      <c r="GVF86">
        <v>1</v>
      </c>
      <c r="GVG86">
        <v>451</v>
      </c>
      <c r="GVH86">
        <v>420</v>
      </c>
      <c r="GVI86">
        <v>0</v>
      </c>
      <c r="GVJ86">
        <v>60</v>
      </c>
    </row>
    <row r="87" spans="1:980 1093:2042 2089:2987 3171:4064 4668:4943 5160:5337" x14ac:dyDescent="0.25">
      <c r="A87" s="50">
        <v>7076815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HQ87">
        <v>14000</v>
      </c>
      <c r="TL87">
        <v>292.8</v>
      </c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ZC87">
        <v>19.3368</v>
      </c>
      <c r="ZG87">
        <v>11.9244</v>
      </c>
      <c r="ZT87">
        <v>8.8627000000000002</v>
      </c>
      <c r="AAB87">
        <v>10.4741</v>
      </c>
      <c r="AAI87">
        <v>12.246600000000001</v>
      </c>
      <c r="ABB87">
        <v>1.4851000000000001</v>
      </c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PA87" s="50"/>
      <c r="APB87" s="50"/>
      <c r="APC87" s="50"/>
      <c r="APD87" s="50"/>
      <c r="APE87" s="50"/>
      <c r="APF87" s="50"/>
      <c r="APG87" s="50"/>
      <c r="APH87" s="50"/>
      <c r="API87" s="50"/>
      <c r="APJ87" s="50"/>
      <c r="APK87" s="50"/>
      <c r="APL87" s="50"/>
      <c r="APM87" s="50"/>
      <c r="APN87" s="50"/>
      <c r="APO87" s="50"/>
      <c r="APP87" s="50"/>
      <c r="APQ87" s="50"/>
      <c r="APR87" s="50"/>
      <c r="APS87" s="50"/>
      <c r="APT87" s="50"/>
      <c r="APU87" s="50"/>
      <c r="APV87" s="50"/>
      <c r="APW87" s="50"/>
      <c r="APX87" s="50"/>
      <c r="APY87" s="50"/>
      <c r="APZ87" s="50"/>
      <c r="AQA87" s="50"/>
      <c r="AQB87" s="50"/>
      <c r="ARC87" s="50"/>
      <c r="ARD87" s="50"/>
      <c r="ARE87" s="50"/>
      <c r="ARF87" s="50"/>
      <c r="ARG87" s="50"/>
      <c r="ARH87" s="50"/>
      <c r="ARI87" s="50"/>
      <c r="ARJ87" s="50"/>
      <c r="ARK87" s="50">
        <v>2830000</v>
      </c>
      <c r="ARL87" s="50"/>
      <c r="ARM87" s="50"/>
      <c r="ARN87" s="50"/>
      <c r="ARO87" s="50"/>
      <c r="ARP87" s="50"/>
      <c r="ARQ87" s="50"/>
      <c r="ARR87" s="50"/>
      <c r="ARS87" s="50"/>
      <c r="ART87" s="50"/>
      <c r="ARU87" s="50"/>
      <c r="ARV87" s="50"/>
      <c r="ARW87" s="50"/>
      <c r="ARX87" s="50"/>
      <c r="ARY87" s="50"/>
      <c r="ARZ87" s="50"/>
      <c r="ASA87" s="50"/>
      <c r="ASB87" s="50"/>
      <c r="ASC87" s="50"/>
      <c r="ASD87" s="50"/>
      <c r="ASE87" s="50"/>
      <c r="ASF87" s="50"/>
      <c r="ASV87">
        <v>215000</v>
      </c>
      <c r="AUF87">
        <v>7.5</v>
      </c>
      <c r="BFF87" s="50"/>
      <c r="BFG87" s="50"/>
      <c r="BFH87" s="50"/>
      <c r="BFI87" s="50"/>
      <c r="BFJ87" s="50"/>
      <c r="BYR87">
        <v>75</v>
      </c>
      <c r="BYS87">
        <v>1</v>
      </c>
      <c r="BYV87">
        <v>1</v>
      </c>
      <c r="BYY87">
        <v>610</v>
      </c>
      <c r="BYZ87">
        <v>610</v>
      </c>
      <c r="BZA87">
        <v>0</v>
      </c>
      <c r="BZB87">
        <v>0</v>
      </c>
      <c r="CBI87" s="50"/>
      <c r="CBJ87" s="50"/>
      <c r="CBK87" s="50"/>
      <c r="DHZ87">
        <v>80</v>
      </c>
      <c r="DIA87">
        <v>1</v>
      </c>
      <c r="DID87">
        <v>1</v>
      </c>
      <c r="DIE87">
        <v>999</v>
      </c>
      <c r="DIF87">
        <v>999</v>
      </c>
      <c r="DIG87">
        <v>0</v>
      </c>
      <c r="DIH87">
        <v>0</v>
      </c>
      <c r="DVV87">
        <v>1</v>
      </c>
      <c r="DVW87">
        <v>999</v>
      </c>
      <c r="DVX87">
        <v>999</v>
      </c>
      <c r="DVY87">
        <v>0</v>
      </c>
      <c r="DVZ87">
        <v>0</v>
      </c>
      <c r="DXK87">
        <v>1</v>
      </c>
      <c r="DXL87">
        <v>750</v>
      </c>
      <c r="DXM87">
        <v>750</v>
      </c>
      <c r="DXN87">
        <v>0</v>
      </c>
      <c r="DXO87">
        <v>0</v>
      </c>
      <c r="ERJ87">
        <v>1</v>
      </c>
      <c r="ERK87">
        <v>999</v>
      </c>
      <c r="ERL87" s="15">
        <v>999</v>
      </c>
      <c r="ERM87">
        <v>0</v>
      </c>
      <c r="ERN87">
        <v>0</v>
      </c>
      <c r="FYW87">
        <v>25</v>
      </c>
      <c r="FYX87">
        <v>1</v>
      </c>
      <c r="FZA87">
        <v>1</v>
      </c>
      <c r="FZB87">
        <v>999</v>
      </c>
      <c r="FZC87">
        <v>999</v>
      </c>
      <c r="FZD87">
        <v>0</v>
      </c>
      <c r="FZE87">
        <v>0</v>
      </c>
      <c r="GCT87">
        <v>1</v>
      </c>
      <c r="GCU87">
        <v>1</v>
      </c>
      <c r="GCX87">
        <v>1</v>
      </c>
      <c r="GCZ87">
        <v>999</v>
      </c>
      <c r="GDA87" s="15">
        <v>999</v>
      </c>
      <c r="GDB87">
        <v>0</v>
      </c>
      <c r="GDC87">
        <v>0</v>
      </c>
      <c r="GVF87">
        <v>1</v>
      </c>
      <c r="GVG87">
        <v>999</v>
      </c>
      <c r="GVH87" s="15">
        <v>999</v>
      </c>
      <c r="GVI87">
        <v>0</v>
      </c>
      <c r="GVJ87">
        <v>0</v>
      </c>
    </row>
    <row r="88" spans="1:980 1093:2042 2089:2987 3171:4064 4668:4943 5160:5337" x14ac:dyDescent="0.25">
      <c r="A88" s="50">
        <v>7089231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HP88">
        <v>3340</v>
      </c>
      <c r="JP88">
        <v>400</v>
      </c>
      <c r="NE88">
        <v>332</v>
      </c>
      <c r="QK88" s="50"/>
      <c r="QL88" s="50"/>
      <c r="QM88" s="50"/>
      <c r="QN88" s="50"/>
      <c r="QO88" s="50"/>
      <c r="QP88" s="50"/>
      <c r="QQ88" s="50"/>
      <c r="QR88" s="50"/>
      <c r="QS88" s="50">
        <v>131</v>
      </c>
      <c r="QT88" s="50"/>
      <c r="QU88" s="50"/>
      <c r="QV88" s="50"/>
      <c r="QW88" s="50"/>
      <c r="QX88" s="50"/>
      <c r="QY88" s="50"/>
      <c r="QZ88" s="50"/>
      <c r="RA88" s="50"/>
      <c r="RB88" s="50"/>
      <c r="RC88" s="50"/>
      <c r="RD88" s="50"/>
      <c r="RE88" s="50"/>
      <c r="RF88" s="50"/>
      <c r="RG88" s="50"/>
      <c r="RH88" s="50"/>
      <c r="RI88" s="50"/>
      <c r="RJ88" s="50"/>
      <c r="RK88" s="50"/>
      <c r="RL88" s="50"/>
      <c r="RM88" s="50"/>
      <c r="RN88" s="50"/>
      <c r="RO88" s="50"/>
      <c r="RP88" s="50"/>
      <c r="RQ88" s="50"/>
      <c r="RR88" s="50"/>
      <c r="RS88" s="50"/>
      <c r="RT88" s="50"/>
      <c r="RU88" s="50"/>
      <c r="RV88" s="50"/>
      <c r="RW88" s="50"/>
      <c r="RX88" s="50"/>
      <c r="RY88" s="50"/>
      <c r="RZ88" s="50"/>
      <c r="SA88" s="50"/>
      <c r="SB88" s="50"/>
      <c r="TK88">
        <v>507</v>
      </c>
      <c r="UR88" s="50"/>
      <c r="US88" s="50"/>
      <c r="UT88" s="50"/>
      <c r="UU88" s="50"/>
      <c r="UV88" s="50"/>
      <c r="UW88" s="50"/>
      <c r="UX88" s="50"/>
      <c r="UY88" s="50"/>
      <c r="UZ88" s="50"/>
      <c r="VA88" s="50"/>
      <c r="VB88" s="50"/>
      <c r="VC88" s="50"/>
      <c r="ZS88">
        <v>9.3000000000000007</v>
      </c>
      <c r="AJB88" s="50"/>
      <c r="AJC88" s="50"/>
      <c r="AJD88" s="50"/>
      <c r="AJE88" s="50"/>
      <c r="AJF88" s="50"/>
      <c r="AJG88" s="50"/>
      <c r="AJH88" s="50"/>
      <c r="AJI88" s="50"/>
      <c r="AJJ88" s="50"/>
      <c r="AJK88" s="50"/>
      <c r="AJL88" s="50"/>
      <c r="AJM88" s="50"/>
      <c r="AJN88" s="50"/>
      <c r="AJO88" s="50"/>
      <c r="AJP88" s="50"/>
      <c r="AJQ88" s="50"/>
      <c r="AJR88" s="50"/>
      <c r="AJS88" s="50"/>
      <c r="AJT88" s="50"/>
      <c r="AJU88" s="50"/>
      <c r="AJV88" s="50"/>
      <c r="AJW88" s="50"/>
      <c r="AJX88" s="50"/>
      <c r="AJY88" s="50"/>
      <c r="AJZ88" s="50"/>
      <c r="AKA88" s="50"/>
      <c r="AKB88" s="50"/>
      <c r="AKC88" s="50"/>
      <c r="AKD88" s="50"/>
      <c r="AKE88" s="50"/>
      <c r="AKF88" s="50"/>
      <c r="AKG88" s="50"/>
      <c r="AKH88" s="50"/>
      <c r="APA88" s="50"/>
      <c r="APB88" s="50"/>
      <c r="APC88" s="50"/>
      <c r="APD88" s="50"/>
      <c r="APE88" s="50"/>
      <c r="APF88" s="50"/>
      <c r="APG88" s="50"/>
      <c r="APH88" s="50"/>
      <c r="API88" s="50"/>
      <c r="APJ88" s="50"/>
      <c r="APK88" s="50"/>
      <c r="APL88" s="50"/>
      <c r="APM88" s="50"/>
      <c r="APN88" s="50"/>
      <c r="APO88" s="50"/>
      <c r="APP88" s="50"/>
      <c r="APQ88" s="50"/>
      <c r="APR88" s="50"/>
      <c r="APS88" s="50"/>
      <c r="APT88" s="50"/>
      <c r="APU88" s="50"/>
      <c r="APV88" s="50"/>
      <c r="APW88" s="50"/>
      <c r="APX88" s="50"/>
      <c r="APY88" s="50"/>
      <c r="APZ88" s="50"/>
      <c r="AQA88" s="50"/>
      <c r="AQB88" s="50"/>
      <c r="ARC88" s="50"/>
      <c r="ARD88" s="50"/>
      <c r="ARE88" s="50"/>
      <c r="ARF88" s="50"/>
      <c r="ARG88" s="50"/>
      <c r="ARH88" s="50"/>
      <c r="ARI88" s="50"/>
      <c r="ARJ88" s="50">
        <v>3710</v>
      </c>
      <c r="ARK88" s="50"/>
      <c r="ARL88" s="50"/>
      <c r="ARM88" s="50"/>
      <c r="ARN88" s="50"/>
      <c r="ARO88" s="50"/>
      <c r="ARP88" s="50"/>
      <c r="ARQ88" s="50"/>
      <c r="ARR88" s="50"/>
      <c r="ARS88" s="50"/>
      <c r="ART88" s="50"/>
      <c r="ARU88" s="50"/>
      <c r="ARV88" s="50"/>
      <c r="ARW88" s="50"/>
      <c r="ARX88" s="50"/>
      <c r="ARY88" s="50"/>
      <c r="ARZ88" s="50"/>
      <c r="ASA88" s="50"/>
      <c r="ASB88" s="50"/>
      <c r="ASC88" s="50"/>
      <c r="ASD88" s="50"/>
      <c r="ASE88" s="50"/>
      <c r="ASF88" s="50"/>
      <c r="BAK88">
        <v>30.5</v>
      </c>
      <c r="BFF88" s="50"/>
      <c r="BFG88" s="50"/>
      <c r="BFH88" s="50"/>
      <c r="BFI88" s="50"/>
      <c r="BFJ88" s="50"/>
      <c r="BYQ88">
        <v>1</v>
      </c>
      <c r="CBI88" s="50"/>
      <c r="CBJ88" s="50"/>
      <c r="CBK88" s="50"/>
    </row>
    <row r="89" spans="1:980 1093:2042 2089:2987 3171:4064 4668:4943 5160:5337" x14ac:dyDescent="0.25">
      <c r="A89" s="50">
        <v>7116004</v>
      </c>
      <c r="B89" s="50"/>
      <c r="C89" s="50"/>
      <c r="D89" s="50"/>
      <c r="E89" s="50"/>
      <c r="F89" s="50"/>
      <c r="G89" s="50"/>
      <c r="H89" s="50"/>
      <c r="I89" s="50"/>
      <c r="J89" s="50"/>
      <c r="K89" s="50">
        <v>40</v>
      </c>
      <c r="L89" s="50"/>
      <c r="M89" s="50"/>
      <c r="N89" s="50"/>
      <c r="O89" s="50"/>
      <c r="P89" s="50"/>
      <c r="Q89" s="50"/>
      <c r="JP89">
        <v>67.5</v>
      </c>
      <c r="JQ89">
        <v>97</v>
      </c>
      <c r="NF89">
        <v>111</v>
      </c>
      <c r="QK89" s="50"/>
      <c r="QL89" s="50"/>
      <c r="QM89" s="50"/>
      <c r="QN89" s="50"/>
      <c r="QO89" s="50"/>
      <c r="QP89" s="50"/>
      <c r="QQ89" s="50"/>
      <c r="QR89" s="50"/>
      <c r="QS89" s="50">
        <v>11</v>
      </c>
      <c r="QT89" s="50"/>
      <c r="QU89" s="50"/>
      <c r="QV89" s="50"/>
      <c r="QW89" s="50"/>
      <c r="QX89" s="50"/>
      <c r="QY89" s="50"/>
      <c r="QZ89" s="50"/>
      <c r="RA89" s="50"/>
      <c r="RB89" s="50"/>
      <c r="RC89" s="50"/>
      <c r="RD89" s="50"/>
      <c r="RE89" s="50"/>
      <c r="RF89" s="50"/>
      <c r="RG89" s="50"/>
      <c r="RH89" s="50"/>
      <c r="RI89" s="50"/>
      <c r="RJ89" s="50"/>
      <c r="RK89" s="50"/>
      <c r="RL89" s="50"/>
      <c r="RM89" s="50"/>
      <c r="RN89" s="50"/>
      <c r="RO89" s="50"/>
      <c r="RP89" s="50"/>
      <c r="RQ89" s="50"/>
      <c r="RR89" s="50"/>
      <c r="RS89" s="50"/>
      <c r="RT89" s="50"/>
      <c r="RU89" s="50"/>
      <c r="RV89" s="50"/>
      <c r="RW89" s="50"/>
      <c r="RX89" s="50"/>
      <c r="RY89" s="50"/>
      <c r="RZ89" s="50"/>
      <c r="SA89" s="50"/>
      <c r="SB89" s="50"/>
      <c r="TK89">
        <v>255</v>
      </c>
      <c r="TL89">
        <v>252</v>
      </c>
      <c r="UR89" s="50"/>
      <c r="US89" s="50"/>
      <c r="UT89" s="50"/>
      <c r="UU89" s="50"/>
      <c r="UV89" s="50"/>
      <c r="UW89" s="50"/>
      <c r="UX89" s="50"/>
      <c r="UY89" s="50"/>
      <c r="UZ89" s="50"/>
      <c r="VA89" s="50"/>
      <c r="VB89" s="50"/>
      <c r="VC89" s="50"/>
      <c r="WE89">
        <v>284</v>
      </c>
      <c r="AJB89" s="50"/>
      <c r="AJC89" s="50"/>
      <c r="AJD89" s="50"/>
      <c r="AJE89" s="50"/>
      <c r="AJF89" s="50"/>
      <c r="AJG89" s="50"/>
      <c r="AJH89" s="50"/>
      <c r="AJI89" s="50"/>
      <c r="AJJ89" s="50"/>
      <c r="AJK89" s="50"/>
      <c r="AJL89" s="50"/>
      <c r="AJM89" s="50"/>
      <c r="AJN89" s="50"/>
      <c r="AJO89" s="50"/>
      <c r="AJP89" s="50"/>
      <c r="AJQ89" s="50"/>
      <c r="AJR89" s="50"/>
      <c r="AJS89" s="50"/>
      <c r="AJT89" s="50"/>
      <c r="AJU89" s="50"/>
      <c r="AJV89" s="50"/>
      <c r="AJW89" s="50"/>
      <c r="AJX89" s="50"/>
      <c r="AJY89" s="50"/>
      <c r="AJZ89" s="50"/>
      <c r="AKA89" s="50"/>
      <c r="AKB89" s="50"/>
      <c r="AKC89" s="50"/>
      <c r="AKD89" s="50"/>
      <c r="AKE89" s="50"/>
      <c r="AKF89" s="50"/>
      <c r="AKG89" s="50"/>
      <c r="AKH89" s="50"/>
      <c r="APA89" s="50"/>
      <c r="APB89" s="50"/>
      <c r="APC89" s="50"/>
      <c r="APD89" s="50"/>
      <c r="APE89" s="50"/>
      <c r="APF89" s="50"/>
      <c r="APG89" s="50"/>
      <c r="APH89" s="50"/>
      <c r="API89" s="50"/>
      <c r="APJ89" s="50"/>
      <c r="APK89" s="50"/>
      <c r="APL89" s="50"/>
      <c r="APM89" s="50"/>
      <c r="APN89" s="50"/>
      <c r="APO89" s="50"/>
      <c r="APP89" s="50"/>
      <c r="APQ89" s="50"/>
      <c r="APR89" s="50"/>
      <c r="APS89" s="50"/>
      <c r="APT89" s="50"/>
      <c r="APU89" s="50"/>
      <c r="APV89" s="50"/>
      <c r="APW89" s="50"/>
      <c r="APX89" s="50"/>
      <c r="APY89" s="50"/>
      <c r="APZ89" s="50"/>
      <c r="AQA89" s="50"/>
      <c r="AQB89" s="50"/>
      <c r="ARC89" s="50"/>
      <c r="ARD89" s="50"/>
      <c r="ARE89" s="50"/>
      <c r="ARF89" s="50"/>
      <c r="ARG89" s="50"/>
      <c r="ARH89" s="50"/>
      <c r="ARI89" s="50"/>
      <c r="ARJ89" s="50"/>
      <c r="ARK89" s="50"/>
      <c r="ARL89" s="50"/>
      <c r="ARM89" s="50"/>
      <c r="ARN89" s="50"/>
      <c r="ARO89" s="50"/>
      <c r="ARP89" s="50"/>
      <c r="ARQ89" s="50"/>
      <c r="ARR89" s="50"/>
      <c r="ARS89" s="50"/>
      <c r="ART89" s="50"/>
      <c r="ARU89" s="50"/>
      <c r="ARV89" s="50"/>
      <c r="ARW89" s="50"/>
      <c r="ARX89" s="50"/>
      <c r="ARY89" s="50"/>
      <c r="ARZ89" s="50"/>
      <c r="ASA89" s="50"/>
      <c r="ASB89" s="50"/>
      <c r="ASC89" s="50"/>
      <c r="ASD89" s="50"/>
      <c r="ASE89" s="50"/>
      <c r="ASF89" s="50"/>
      <c r="BFF89" s="50"/>
      <c r="BFG89" s="50"/>
      <c r="BFH89" s="50"/>
      <c r="BFI89" s="50"/>
      <c r="BFJ89" s="50"/>
      <c r="BYV89">
        <v>1</v>
      </c>
      <c r="BYY89">
        <v>3</v>
      </c>
      <c r="BYZ89">
        <v>6</v>
      </c>
      <c r="BZA89">
        <v>4</v>
      </c>
      <c r="BZB89">
        <v>0</v>
      </c>
      <c r="CBI89" s="50"/>
      <c r="CBJ89" s="50"/>
      <c r="CBK89" s="50"/>
    </row>
    <row r="90" spans="1:980 1093:2042 2089:2987 3171:4064 4668:4943 5160:5337" x14ac:dyDescent="0.25">
      <c r="A90" s="50">
        <v>8003819</v>
      </c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NE90">
        <v>80</v>
      </c>
      <c r="QK90" s="50"/>
      <c r="QL90" s="50"/>
      <c r="QM90" s="50"/>
      <c r="QN90" s="50"/>
      <c r="QO90" s="50"/>
      <c r="QP90" s="50"/>
      <c r="QQ90" s="50"/>
      <c r="QR90" s="50"/>
      <c r="QS90" s="50">
        <v>300</v>
      </c>
      <c r="QT90" s="50"/>
      <c r="QU90" s="50"/>
      <c r="QV90" s="50"/>
      <c r="QW90" s="50"/>
      <c r="QX90" s="50"/>
      <c r="QY90" s="50"/>
      <c r="QZ90" s="50"/>
      <c r="RA90" s="50"/>
      <c r="RB90" s="50"/>
      <c r="RC90" s="50"/>
      <c r="RD90" s="50"/>
      <c r="RE90" s="50"/>
      <c r="RF90" s="50"/>
      <c r="RG90" s="50"/>
      <c r="RH90" s="50"/>
      <c r="RI90" s="50"/>
      <c r="RJ90" s="50"/>
      <c r="RK90" s="50"/>
      <c r="RL90" s="50"/>
      <c r="RM90" s="50"/>
      <c r="RN90" s="50"/>
      <c r="RO90" s="50"/>
      <c r="RP90" s="50"/>
      <c r="RQ90" s="50"/>
      <c r="RR90" s="50"/>
      <c r="RS90" s="50"/>
      <c r="RT90" s="50"/>
      <c r="RU90" s="50"/>
      <c r="RV90" s="50"/>
      <c r="RW90" s="50"/>
      <c r="RX90" s="50"/>
      <c r="RY90" s="50"/>
      <c r="RZ90" s="50"/>
      <c r="SA90" s="50"/>
      <c r="SB90" s="50"/>
      <c r="UR90" s="50"/>
      <c r="US90" s="50"/>
      <c r="UT90" s="50"/>
      <c r="UU90" s="50"/>
      <c r="UV90" s="50"/>
      <c r="UW90" s="50"/>
      <c r="UX90" s="50"/>
      <c r="UY90" s="50"/>
      <c r="UZ90" s="50"/>
      <c r="VA90" s="50"/>
      <c r="VB90" s="50"/>
      <c r="VC90" s="50"/>
      <c r="AJB90" s="50"/>
      <c r="AJC90" s="50"/>
      <c r="AJD90" s="50"/>
      <c r="AJE90" s="50"/>
      <c r="AJF90" s="50"/>
      <c r="AJG90" s="50"/>
      <c r="AJH90" s="50"/>
      <c r="AJI90" s="50"/>
      <c r="AJJ90" s="50"/>
      <c r="AJK90" s="50"/>
      <c r="AJL90" s="50"/>
      <c r="AJM90" s="50"/>
      <c r="AJN90" s="50"/>
      <c r="AJO90" s="50"/>
      <c r="AJP90" s="50"/>
      <c r="AJQ90" s="50"/>
      <c r="AJR90" s="50"/>
      <c r="AJS90" s="50"/>
      <c r="AJT90" s="50"/>
      <c r="AJU90" s="50"/>
      <c r="AJV90" s="50"/>
      <c r="AJW90" s="50"/>
      <c r="AJX90" s="50"/>
      <c r="AJY90" s="50"/>
      <c r="AJZ90" s="50"/>
      <c r="AKA90" s="50"/>
      <c r="AKB90" s="50"/>
      <c r="AKC90" s="50"/>
      <c r="AKD90" s="50"/>
      <c r="AKE90" s="50"/>
      <c r="AKF90" s="50"/>
      <c r="AKG90" s="50"/>
      <c r="AKH90" s="50"/>
      <c r="APA90" s="50"/>
      <c r="APB90" s="50"/>
      <c r="APC90" s="50"/>
      <c r="APD90" s="50"/>
      <c r="APE90" s="50"/>
      <c r="APF90" s="50"/>
      <c r="APG90" s="50"/>
      <c r="APH90" s="50"/>
      <c r="API90" s="50"/>
      <c r="APJ90" s="50"/>
      <c r="APK90" s="50"/>
      <c r="APL90" s="50"/>
      <c r="APM90" s="50"/>
      <c r="APN90" s="50"/>
      <c r="APO90" s="50"/>
      <c r="APP90" s="50"/>
      <c r="APQ90" s="50"/>
      <c r="APR90" s="50"/>
      <c r="APS90" s="50"/>
      <c r="APT90" s="50"/>
      <c r="APU90" s="50"/>
      <c r="APV90" s="50"/>
      <c r="APW90" s="50"/>
      <c r="APX90" s="50"/>
      <c r="APY90" s="50"/>
      <c r="APZ90" s="50"/>
      <c r="AQA90" s="50"/>
      <c r="AQB90" s="50"/>
      <c r="ARC90" s="50"/>
      <c r="ARD90" s="50"/>
      <c r="ARE90" s="50"/>
      <c r="ARF90" s="50"/>
      <c r="ARG90" s="50"/>
      <c r="ARH90" s="50"/>
      <c r="ARI90" s="50"/>
      <c r="ARJ90" s="50"/>
      <c r="ARK90" s="50"/>
      <c r="ARL90" s="50"/>
      <c r="ARM90" s="50"/>
      <c r="ARN90" s="50"/>
      <c r="ARO90" s="50"/>
      <c r="ARP90" s="50"/>
      <c r="ARQ90" s="50"/>
      <c r="ARR90" s="50"/>
      <c r="ARS90" s="50"/>
      <c r="ART90" s="50"/>
      <c r="ARU90" s="50"/>
      <c r="ARV90" s="50"/>
      <c r="ARW90" s="50"/>
      <c r="ARX90" s="50"/>
      <c r="ARY90" s="50"/>
      <c r="ARZ90" s="50"/>
      <c r="ASA90" s="50"/>
      <c r="ASB90" s="50"/>
      <c r="ASC90" s="50"/>
      <c r="ASD90" s="50"/>
      <c r="ASE90" s="50"/>
      <c r="ASF90" s="50"/>
      <c r="BFF90" s="50"/>
      <c r="BFG90" s="50"/>
      <c r="BFH90" s="50"/>
      <c r="BFI90" s="50"/>
      <c r="BFJ90" s="50"/>
      <c r="BYQ90">
        <v>1</v>
      </c>
      <c r="CBI90" s="50"/>
      <c r="CBJ90" s="50"/>
      <c r="CBK90" s="50"/>
    </row>
    <row r="91" spans="1:980 1093:2042 2089:2987 3171:4064 4668:4943 5160:5337" x14ac:dyDescent="0.25">
      <c r="A91" s="50">
        <v>8091779</v>
      </c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QK91" s="50"/>
      <c r="QL91" s="50"/>
      <c r="QM91" s="50"/>
      <c r="QN91" s="50"/>
      <c r="QO91" s="50"/>
      <c r="QP91" s="50"/>
      <c r="QQ91" s="50"/>
      <c r="QR91" s="50"/>
      <c r="QS91" s="50"/>
      <c r="QT91" s="50"/>
      <c r="QU91" s="50"/>
      <c r="QV91" s="50"/>
      <c r="QW91" s="50"/>
      <c r="QX91" s="50"/>
      <c r="QY91" s="50"/>
      <c r="QZ91" s="50"/>
      <c r="RA91" s="50"/>
      <c r="RB91" s="50"/>
      <c r="RC91" s="50"/>
      <c r="RD91" s="50"/>
      <c r="RE91" s="50"/>
      <c r="RF91" s="50"/>
      <c r="RG91" s="50"/>
      <c r="RH91" s="50"/>
      <c r="RI91" s="50"/>
      <c r="RJ91" s="50"/>
      <c r="RK91" s="50"/>
      <c r="RL91" s="50"/>
      <c r="RM91" s="50"/>
      <c r="RN91" s="50"/>
      <c r="RO91" s="50"/>
      <c r="RP91" s="50"/>
      <c r="RQ91" s="50"/>
      <c r="RR91" s="50"/>
      <c r="RS91" s="50"/>
      <c r="RT91" s="50"/>
      <c r="RU91" s="50"/>
      <c r="RV91" s="50"/>
      <c r="RW91" s="50"/>
      <c r="RX91" s="50"/>
      <c r="RY91" s="50"/>
      <c r="RZ91" s="50"/>
      <c r="SA91" s="50"/>
      <c r="SB91" s="50"/>
      <c r="TK91">
        <v>402</v>
      </c>
      <c r="UR91" s="50"/>
      <c r="US91" s="50"/>
      <c r="UT91" s="50"/>
      <c r="UU91" s="50"/>
      <c r="UV91" s="50"/>
      <c r="UW91" s="50"/>
      <c r="UX91" s="50"/>
      <c r="UY91" s="50"/>
      <c r="UZ91" s="50"/>
      <c r="VA91" s="50"/>
      <c r="VB91" s="50"/>
      <c r="VC91" s="50"/>
      <c r="ZS91" s="50"/>
      <c r="AAY91">
        <v>11.2</v>
      </c>
      <c r="AJB91" s="50"/>
      <c r="AJC91" s="50"/>
      <c r="AJD91" s="50"/>
      <c r="AJE91" s="50"/>
      <c r="AJF91" s="50"/>
      <c r="AJG91" s="50"/>
      <c r="AJH91" s="50"/>
      <c r="AJI91" s="50"/>
      <c r="AJJ91" s="50"/>
      <c r="AJK91" s="50"/>
      <c r="AJL91" s="50"/>
      <c r="AJM91" s="50"/>
      <c r="AJN91" s="50"/>
      <c r="AJO91" s="50"/>
      <c r="AJP91" s="50"/>
      <c r="AJQ91" s="50"/>
      <c r="AJR91" s="50"/>
      <c r="AJS91" s="50"/>
      <c r="AJT91" s="50"/>
      <c r="AJU91" s="50"/>
      <c r="AJV91" s="50"/>
      <c r="AJW91" s="50"/>
      <c r="AJX91" s="50"/>
      <c r="AJY91" s="50"/>
      <c r="AJZ91" s="50"/>
      <c r="AKA91" s="50"/>
      <c r="AKB91" s="50"/>
      <c r="AKC91" s="50"/>
      <c r="AKD91" s="50"/>
      <c r="AKE91" s="50"/>
      <c r="AKF91" s="50"/>
      <c r="AKG91" s="50"/>
      <c r="AKH91" s="50"/>
      <c r="APA91" s="50"/>
      <c r="APB91" s="50"/>
      <c r="APC91" s="50"/>
      <c r="APD91" s="50"/>
      <c r="APE91" s="50"/>
      <c r="APF91" s="50"/>
      <c r="APG91" s="50"/>
      <c r="APH91" s="50"/>
      <c r="API91" s="50"/>
      <c r="APJ91" s="50"/>
      <c r="APK91" s="50"/>
      <c r="APL91" s="50"/>
      <c r="APM91" s="50"/>
      <c r="APN91" s="50"/>
      <c r="APO91" s="50"/>
      <c r="APP91" s="50"/>
      <c r="APQ91" s="50"/>
      <c r="APR91" s="50"/>
      <c r="APS91" s="50"/>
      <c r="APT91" s="50"/>
      <c r="APU91" s="50"/>
      <c r="APV91" s="50"/>
      <c r="APW91" s="50"/>
      <c r="APX91" s="50"/>
      <c r="APY91" s="50"/>
      <c r="APZ91" s="50"/>
      <c r="AQA91" s="50"/>
      <c r="AQB91" s="50"/>
      <c r="ARC91" s="50"/>
      <c r="ARD91" s="50"/>
      <c r="ARE91" s="50"/>
      <c r="ARF91" s="50"/>
      <c r="ARG91" s="50"/>
      <c r="ARH91" s="50"/>
      <c r="ARI91" s="50"/>
      <c r="ARJ91" s="50"/>
      <c r="ARK91" s="50"/>
      <c r="ARL91" s="50"/>
      <c r="ARM91" s="50"/>
      <c r="ARN91" s="50"/>
      <c r="ARO91" s="50"/>
      <c r="ARP91" s="50"/>
      <c r="ARQ91" s="50"/>
      <c r="ARR91" s="50"/>
      <c r="ARS91" s="50"/>
      <c r="ART91" s="50"/>
      <c r="ARU91" s="50"/>
      <c r="ARV91" s="50"/>
      <c r="ARW91" s="50"/>
      <c r="ARX91" s="50"/>
      <c r="ARY91" s="50"/>
      <c r="ARZ91" s="50"/>
      <c r="ASA91" s="50"/>
      <c r="ASB91" s="50"/>
      <c r="ASC91" s="50"/>
      <c r="ASD91" s="50"/>
      <c r="ASE91" s="50"/>
      <c r="ASF91" s="50"/>
      <c r="BFF91" s="50"/>
      <c r="BFG91" s="50"/>
      <c r="BFH91" s="50"/>
      <c r="BFI91" s="50"/>
      <c r="BFJ91" s="50"/>
      <c r="BYV91">
        <v>1</v>
      </c>
      <c r="BYY91">
        <v>8</v>
      </c>
      <c r="CBI91" s="50"/>
      <c r="CBJ91" s="50"/>
      <c r="CBK91" s="50"/>
    </row>
    <row r="92" spans="1:980 1093:2042 2089:2987 3171:4064 4668:4943 5160:5337" x14ac:dyDescent="0.25">
      <c r="A92" s="50">
        <v>8097989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QK92" s="50"/>
      <c r="QL92" s="50"/>
      <c r="QM92" s="50"/>
      <c r="QN92" s="50"/>
      <c r="QO92" s="50"/>
      <c r="QP92" s="50"/>
      <c r="QQ92" s="50"/>
      <c r="QR92" s="50"/>
      <c r="QS92" s="50"/>
      <c r="QT92" s="50"/>
      <c r="QU92" s="50"/>
      <c r="QV92" s="50"/>
      <c r="QW92" s="50"/>
      <c r="QX92" s="50"/>
      <c r="QY92" s="50"/>
      <c r="QZ92" s="50"/>
      <c r="RA92" s="50"/>
      <c r="RB92" s="50"/>
      <c r="RC92" s="50"/>
      <c r="RD92" s="50"/>
      <c r="RE92" s="50"/>
      <c r="RF92" s="50"/>
      <c r="RG92" s="50"/>
      <c r="RH92" s="50"/>
      <c r="RI92" s="50"/>
      <c r="RJ92" s="50"/>
      <c r="RK92" s="50"/>
      <c r="RL92" s="50"/>
      <c r="RM92" s="50"/>
      <c r="RN92" s="50"/>
      <c r="RO92" s="50"/>
      <c r="RP92" s="50"/>
      <c r="RQ92" s="50"/>
      <c r="RR92" s="50"/>
      <c r="RS92" s="50"/>
      <c r="RT92" s="50"/>
      <c r="RU92" s="50"/>
      <c r="RV92" s="50"/>
      <c r="RW92" s="50"/>
      <c r="RX92" s="50"/>
      <c r="RY92" s="50"/>
      <c r="RZ92" s="50"/>
      <c r="SA92" s="50"/>
      <c r="SB92" s="50"/>
      <c r="AAY92">
        <v>4.3727</v>
      </c>
      <c r="AJB92" s="50"/>
      <c r="AJC92" s="50"/>
      <c r="AJD92" s="50"/>
      <c r="AJE92" s="50"/>
      <c r="AJF92" s="50"/>
      <c r="AJG92" s="50"/>
      <c r="AJH92" s="50"/>
      <c r="AJI92" s="50"/>
      <c r="AJJ92" s="50"/>
      <c r="AJK92" s="50"/>
      <c r="AJL92" s="50"/>
      <c r="AJM92" s="50"/>
      <c r="AJN92" s="50"/>
      <c r="AJO92" s="50"/>
      <c r="AJP92" s="50"/>
      <c r="AJQ92" s="50"/>
      <c r="AJR92" s="50"/>
      <c r="AJS92" s="50"/>
      <c r="AJT92" s="50"/>
      <c r="AJU92" s="50"/>
      <c r="AJV92" s="50"/>
      <c r="AJW92" s="50"/>
      <c r="AJX92" s="50"/>
      <c r="AJY92" s="50"/>
      <c r="AJZ92" s="50"/>
      <c r="AKA92" s="50"/>
      <c r="AKB92" s="50"/>
      <c r="AKC92" s="50"/>
      <c r="AKD92" s="50"/>
      <c r="AKE92" s="50"/>
      <c r="AKF92" s="50"/>
      <c r="AKG92" s="50"/>
      <c r="AKH92" s="50"/>
      <c r="APA92" s="50"/>
      <c r="APB92" s="50"/>
      <c r="APC92" s="50"/>
      <c r="APD92" s="50"/>
      <c r="APE92" s="50"/>
      <c r="APF92" s="50"/>
      <c r="APG92" s="50"/>
      <c r="APH92" s="50"/>
      <c r="API92" s="50"/>
      <c r="APJ92" s="50"/>
      <c r="APK92" s="50"/>
      <c r="APL92" s="50"/>
      <c r="APM92" s="50"/>
      <c r="APN92" s="50"/>
      <c r="APO92" s="50"/>
      <c r="APP92" s="50"/>
      <c r="APQ92" s="50"/>
      <c r="APR92" s="50"/>
      <c r="APS92" s="50"/>
      <c r="APT92" s="50"/>
      <c r="APU92" s="50"/>
      <c r="APV92" s="50"/>
      <c r="APW92" s="50"/>
      <c r="APX92" s="50"/>
      <c r="APY92" s="50"/>
      <c r="APZ92" s="50"/>
      <c r="AQA92" s="50"/>
      <c r="AQB92" s="50"/>
      <c r="ARC92" s="50"/>
      <c r="ARD92" s="50"/>
      <c r="ARE92" s="50"/>
      <c r="ARF92" s="50"/>
      <c r="ARG92" s="50"/>
      <c r="ARH92" s="50"/>
      <c r="ARI92" s="50"/>
      <c r="ARJ92" s="50"/>
      <c r="ARK92" s="50"/>
      <c r="ARL92" s="50"/>
      <c r="ARM92" s="50"/>
      <c r="ARN92" s="50"/>
      <c r="ARO92" s="50"/>
      <c r="ARP92" s="50"/>
      <c r="ARQ92" s="50"/>
      <c r="ARR92" s="50"/>
      <c r="ARS92" s="50"/>
      <c r="ART92" s="50"/>
      <c r="ARU92" s="50"/>
      <c r="ARV92" s="50"/>
      <c r="ARW92" s="50"/>
      <c r="ARX92" s="50"/>
      <c r="ARY92" s="50"/>
      <c r="ARZ92" s="50"/>
      <c r="ASA92" s="50"/>
      <c r="ASB92" s="50"/>
      <c r="ASC92" s="50"/>
      <c r="ASD92" s="50"/>
      <c r="ASE92" s="50"/>
      <c r="ASF92" s="50"/>
      <c r="BFF92" s="50"/>
      <c r="BFG92" s="50"/>
      <c r="BFH92" s="50"/>
      <c r="BFI92" s="50"/>
      <c r="BFJ92" s="50"/>
      <c r="BYR92">
        <v>75</v>
      </c>
      <c r="BYS92">
        <v>1</v>
      </c>
      <c r="CBI92" s="50"/>
      <c r="CBJ92" s="50"/>
      <c r="CBK92" s="50"/>
      <c r="CMU92">
        <v>900</v>
      </c>
      <c r="CMV92">
        <v>3</v>
      </c>
    </row>
    <row r="93" spans="1:980 1093:2042 2089:2987 3171:4064 4668:4943 5160:5337" x14ac:dyDescent="0.25">
      <c r="A93" s="50">
        <v>8112522</v>
      </c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JX93">
        <v>5397</v>
      </c>
      <c r="JZ93" s="49">
        <v>13846</v>
      </c>
      <c r="KC93">
        <v>2562</v>
      </c>
      <c r="NM93">
        <v>991</v>
      </c>
      <c r="NO93">
        <v>2315</v>
      </c>
      <c r="NR93">
        <v>370</v>
      </c>
      <c r="QK93" s="50"/>
      <c r="QL93" s="50"/>
      <c r="QM93" s="50"/>
      <c r="QN93" s="50"/>
      <c r="QO93" s="50"/>
      <c r="QP93" s="50"/>
      <c r="QQ93" s="50"/>
      <c r="QR93" s="50"/>
      <c r="QS93" s="50"/>
      <c r="QT93" s="50"/>
      <c r="QU93" s="50"/>
      <c r="QV93" s="50"/>
      <c r="QW93" s="50"/>
      <c r="QX93" s="50"/>
      <c r="QY93" s="50"/>
      <c r="QZ93" s="50"/>
      <c r="RA93" s="50"/>
      <c r="RB93" s="50"/>
      <c r="RC93" s="50"/>
      <c r="RD93" s="50"/>
      <c r="RE93" s="50"/>
      <c r="RF93" s="50"/>
      <c r="RG93" s="50"/>
      <c r="RH93" s="50"/>
      <c r="RI93" s="50"/>
      <c r="RJ93" s="50"/>
      <c r="RK93" s="50"/>
      <c r="RL93" s="50"/>
      <c r="RM93" s="50"/>
      <c r="RN93" s="50"/>
      <c r="RO93" s="50"/>
      <c r="RP93" s="50"/>
      <c r="RQ93" s="50"/>
      <c r="RR93" s="50"/>
      <c r="RS93" s="50"/>
      <c r="RT93" s="50"/>
      <c r="RU93" s="50"/>
      <c r="RV93" s="50"/>
      <c r="RW93" s="50"/>
      <c r="RX93" s="50"/>
      <c r="RY93" s="50"/>
      <c r="RZ93" s="50"/>
      <c r="SA93" s="50"/>
      <c r="SB93" s="50"/>
      <c r="ABI93">
        <v>0.74</v>
      </c>
      <c r="ABK93">
        <v>2.5499999999999998</v>
      </c>
      <c r="ABM93">
        <v>3.88</v>
      </c>
      <c r="AJB93" s="50"/>
      <c r="AJC93" s="50"/>
      <c r="AJD93" s="50"/>
      <c r="AJE93" s="50"/>
      <c r="AJF93" s="50"/>
      <c r="AJG93" s="50"/>
      <c r="AJH93" s="50"/>
      <c r="AJI93" s="50"/>
      <c r="AJJ93" s="50"/>
      <c r="AJK93" s="50"/>
      <c r="AJL93" s="50"/>
      <c r="AJM93" s="50"/>
      <c r="AJN93" s="50"/>
      <c r="AJO93" s="50"/>
      <c r="AJP93" s="50"/>
      <c r="AJQ93" s="50"/>
      <c r="AJR93" s="50"/>
      <c r="AJS93" s="50"/>
      <c r="AJT93" s="50"/>
      <c r="AJU93" s="50"/>
      <c r="AJV93" s="50"/>
      <c r="AJW93" s="50"/>
      <c r="AJX93" s="50"/>
      <c r="AJY93" s="50"/>
      <c r="AJZ93" s="50"/>
      <c r="AKA93" s="50"/>
      <c r="AKB93" s="50"/>
      <c r="AKC93" s="50"/>
      <c r="AKD93" s="50"/>
      <c r="AKE93" s="50"/>
      <c r="AKF93" s="50"/>
      <c r="AKG93" s="50"/>
      <c r="AKH93" s="50"/>
      <c r="APA93" s="50"/>
      <c r="APB93" s="50"/>
      <c r="APC93" s="50"/>
      <c r="APD93" s="50"/>
      <c r="APE93" s="50"/>
      <c r="APF93" s="50"/>
      <c r="APG93" s="50"/>
      <c r="APH93" s="50"/>
      <c r="API93" s="50"/>
      <c r="APJ93" s="50"/>
      <c r="APK93" s="50"/>
      <c r="APL93" s="50"/>
      <c r="APM93" s="50"/>
      <c r="APN93" s="50"/>
      <c r="APO93" s="50"/>
      <c r="APP93" s="50"/>
      <c r="APQ93" s="50"/>
      <c r="APR93" s="50"/>
      <c r="APS93" s="50"/>
      <c r="APT93" s="50"/>
      <c r="APU93" s="50"/>
      <c r="APV93" s="50"/>
      <c r="APW93" s="50"/>
      <c r="APX93" s="50"/>
      <c r="APY93" s="50"/>
      <c r="APZ93" s="50"/>
      <c r="AQA93" s="50"/>
      <c r="AQB93" s="50"/>
      <c r="ARC93" s="50"/>
      <c r="ARD93" s="50"/>
      <c r="ARE93" s="50"/>
      <c r="ARF93" s="50"/>
      <c r="ARG93" s="50"/>
      <c r="ARH93" s="50"/>
      <c r="ARI93" s="50"/>
      <c r="ARJ93" s="50"/>
      <c r="ARK93" s="50"/>
      <c r="ARL93" s="50"/>
      <c r="ARM93" s="50"/>
      <c r="ARN93" s="50"/>
      <c r="ARO93" s="50"/>
      <c r="ARP93" s="50"/>
      <c r="ARQ93" s="50"/>
      <c r="ARR93" s="50"/>
      <c r="ARS93" s="50"/>
      <c r="ART93" s="50"/>
      <c r="ARU93" s="50"/>
      <c r="ARV93" s="50"/>
      <c r="ARW93" s="50"/>
      <c r="ARX93" s="50"/>
      <c r="ARY93" s="50"/>
      <c r="ARZ93" s="50"/>
      <c r="ASA93" s="50"/>
      <c r="ASB93" s="50"/>
      <c r="ASC93" s="50"/>
      <c r="ASD93" s="50"/>
      <c r="ASE93" s="50"/>
      <c r="ASF93" s="50"/>
      <c r="BFF93" s="50"/>
      <c r="BFG93" s="50"/>
      <c r="BFH93" s="50"/>
      <c r="BFI93" s="50"/>
      <c r="BFJ93" s="50"/>
      <c r="BYR93">
        <v>150</v>
      </c>
      <c r="BYS93">
        <v>1</v>
      </c>
      <c r="BYV93">
        <v>1</v>
      </c>
      <c r="BYY93">
        <v>28</v>
      </c>
      <c r="BYZ93">
        <v>21</v>
      </c>
      <c r="BZA93">
        <v>0</v>
      </c>
      <c r="BZB93">
        <v>6</v>
      </c>
      <c r="CBI93" s="50"/>
      <c r="CBJ93" s="50"/>
      <c r="CBK93" s="50"/>
      <c r="CZX93">
        <v>1</v>
      </c>
      <c r="CZY93">
        <v>999</v>
      </c>
      <c r="CZZ93">
        <v>999</v>
      </c>
      <c r="DAA93">
        <v>0</v>
      </c>
      <c r="DAB93">
        <v>6</v>
      </c>
      <c r="DBW93">
        <v>1</v>
      </c>
      <c r="DBX93">
        <v>999</v>
      </c>
      <c r="DBY93" s="15">
        <v>999</v>
      </c>
      <c r="DBZ93">
        <v>0</v>
      </c>
      <c r="DCA93">
        <v>6</v>
      </c>
      <c r="DDJ93">
        <v>60</v>
      </c>
      <c r="DDK93">
        <v>1</v>
      </c>
      <c r="DDN93">
        <v>1</v>
      </c>
      <c r="DDO93">
        <v>999</v>
      </c>
      <c r="DDP93">
        <v>999</v>
      </c>
      <c r="DDQ93">
        <v>0</v>
      </c>
      <c r="DDR93" s="35">
        <v>999</v>
      </c>
      <c r="DEN93">
        <v>100</v>
      </c>
      <c r="DEO93">
        <v>1</v>
      </c>
      <c r="DER93">
        <v>1</v>
      </c>
      <c r="DES93">
        <v>999</v>
      </c>
      <c r="DET93" s="15">
        <v>999</v>
      </c>
      <c r="DEU93">
        <v>0</v>
      </c>
      <c r="DEV93">
        <v>6</v>
      </c>
      <c r="DJO93">
        <v>2.5</v>
      </c>
      <c r="DJP93">
        <v>2</v>
      </c>
      <c r="DJS93">
        <v>1</v>
      </c>
      <c r="DJT93">
        <v>999</v>
      </c>
      <c r="DJU93" s="15">
        <v>999</v>
      </c>
      <c r="DJV93">
        <v>0</v>
      </c>
      <c r="DJW93">
        <v>6</v>
      </c>
      <c r="EGH93">
        <v>100</v>
      </c>
      <c r="EGI93">
        <v>2</v>
      </c>
      <c r="EGL93">
        <v>1</v>
      </c>
      <c r="EGM93">
        <v>999</v>
      </c>
      <c r="EGN93">
        <v>999</v>
      </c>
      <c r="EGO93">
        <v>0</v>
      </c>
      <c r="EGP93">
        <v>6</v>
      </c>
      <c r="EMD93">
        <v>2</v>
      </c>
      <c r="EMG93">
        <v>1</v>
      </c>
      <c r="EMH93">
        <v>999</v>
      </c>
      <c r="EMI93">
        <v>999</v>
      </c>
      <c r="EMJ93">
        <v>0</v>
      </c>
      <c r="EMK93" s="35">
        <v>999</v>
      </c>
      <c r="ERZ93">
        <v>10</v>
      </c>
      <c r="ESD93">
        <v>1</v>
      </c>
      <c r="ESE93">
        <v>999</v>
      </c>
      <c r="ESF93" s="15">
        <v>999</v>
      </c>
      <c r="ESG93">
        <v>0</v>
      </c>
      <c r="ESH93">
        <v>6</v>
      </c>
      <c r="EXL93">
        <v>125</v>
      </c>
      <c r="EXM93">
        <v>2</v>
      </c>
      <c r="EXN93">
        <v>1</v>
      </c>
      <c r="EXQ93">
        <v>999</v>
      </c>
      <c r="EXR93" s="15">
        <v>999</v>
      </c>
      <c r="EXS93">
        <v>0</v>
      </c>
      <c r="EXT93">
        <v>8</v>
      </c>
      <c r="EZB93">
        <v>1</v>
      </c>
      <c r="EZE93">
        <v>999</v>
      </c>
      <c r="EZF93" s="15">
        <v>999</v>
      </c>
      <c r="EZG93">
        <v>0</v>
      </c>
      <c r="EZH93">
        <v>8</v>
      </c>
      <c r="GUJ93">
        <v>1</v>
      </c>
      <c r="GUK93">
        <v>999</v>
      </c>
      <c r="GUL93" s="15">
        <v>999</v>
      </c>
      <c r="GUM93">
        <v>0</v>
      </c>
      <c r="GUN93">
        <v>6</v>
      </c>
      <c r="GWG93">
        <v>1</v>
      </c>
    </row>
    <row r="94" spans="1:980 1093:2042 2089:2987 3171:4064 4668:4943 5160:5337" x14ac:dyDescent="0.25">
      <c r="A94" s="50">
        <v>8127397</v>
      </c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QK94" s="50"/>
      <c r="QL94" s="50"/>
      <c r="QM94" s="50"/>
      <c r="QN94" s="50"/>
      <c r="QO94" s="50"/>
      <c r="QP94" s="50"/>
      <c r="QQ94" s="50"/>
      <c r="QR94" s="50"/>
      <c r="QS94" s="50"/>
      <c r="QT94" s="50"/>
      <c r="QU94" s="50"/>
      <c r="QV94" s="50"/>
      <c r="QW94" s="50"/>
      <c r="QX94" s="50"/>
      <c r="QY94" s="50"/>
      <c r="QZ94" s="50"/>
      <c r="RA94" s="50"/>
      <c r="RB94" s="50"/>
      <c r="RC94" s="50"/>
      <c r="RD94" s="50"/>
      <c r="RE94" s="50"/>
      <c r="RF94" s="50"/>
      <c r="RG94" s="50"/>
      <c r="RH94" s="50"/>
      <c r="RI94" s="50"/>
      <c r="RJ94" s="50"/>
      <c r="RK94" s="50"/>
      <c r="RL94" s="50"/>
      <c r="RM94" s="50"/>
      <c r="RN94" s="50"/>
      <c r="RO94" s="50"/>
      <c r="RP94" s="50"/>
      <c r="RQ94" s="50"/>
      <c r="RR94" s="50"/>
      <c r="RS94" s="50"/>
      <c r="RT94" s="50"/>
      <c r="RU94" s="50"/>
      <c r="RV94" s="50"/>
      <c r="RW94" s="50"/>
      <c r="RX94" s="50"/>
      <c r="RY94" s="50"/>
      <c r="RZ94" s="50"/>
      <c r="SA94" s="50"/>
      <c r="SB94" s="50"/>
      <c r="TK94">
        <v>753</v>
      </c>
      <c r="ZS94">
        <v>2.6</v>
      </c>
      <c r="AJB94" s="50"/>
      <c r="AJC94" s="50"/>
      <c r="AJD94" s="50"/>
      <c r="AJE94" s="50"/>
      <c r="AJF94" s="50"/>
      <c r="AJG94" s="50"/>
      <c r="AJH94" s="50"/>
      <c r="AJI94" s="50"/>
      <c r="AJJ94" s="50"/>
      <c r="AJK94" s="50"/>
      <c r="AJL94" s="50"/>
      <c r="AJM94" s="50"/>
      <c r="AJN94" s="50"/>
      <c r="AJO94" s="50"/>
      <c r="AJP94" s="50"/>
      <c r="AJQ94" s="50"/>
      <c r="AJR94" s="50"/>
      <c r="AJS94" s="50"/>
      <c r="AJT94" s="50"/>
      <c r="AJU94" s="50"/>
      <c r="AJV94" s="50"/>
      <c r="AJW94" s="50"/>
      <c r="AJX94" s="50"/>
      <c r="AJY94" s="50"/>
      <c r="AJZ94" s="50"/>
      <c r="AKA94" s="50"/>
      <c r="AKB94" s="50"/>
      <c r="AKC94" s="50"/>
      <c r="AKD94" s="50"/>
      <c r="AKE94" s="50"/>
      <c r="AKF94" s="50"/>
      <c r="AKG94" s="50"/>
      <c r="AKH94" s="50"/>
      <c r="APA94" s="50"/>
      <c r="APB94" s="50"/>
      <c r="APC94" s="50"/>
      <c r="APD94" s="50"/>
      <c r="APE94" s="50"/>
      <c r="APF94" s="50"/>
      <c r="APG94" s="50"/>
      <c r="APH94" s="50"/>
      <c r="API94" s="50"/>
      <c r="APJ94" s="50"/>
      <c r="APK94" s="50"/>
      <c r="APL94" s="50"/>
      <c r="APM94" s="50"/>
      <c r="APN94" s="50"/>
      <c r="APO94" s="50"/>
      <c r="APP94" s="50"/>
      <c r="APQ94" s="50"/>
      <c r="APR94" s="50"/>
      <c r="APS94" s="50"/>
      <c r="APT94" s="50"/>
      <c r="APU94" s="50"/>
      <c r="APV94" s="50"/>
      <c r="APW94" s="50"/>
      <c r="APX94" s="50"/>
      <c r="APY94" s="50"/>
      <c r="APZ94" s="50"/>
      <c r="AQA94" s="50"/>
      <c r="AQB94" s="50"/>
      <c r="ARC94" s="50"/>
      <c r="ARD94" s="50"/>
      <c r="ARE94" s="50"/>
      <c r="ARF94" s="50"/>
      <c r="ARG94" s="50"/>
      <c r="ARH94" s="50"/>
      <c r="ARI94" s="50"/>
      <c r="ARJ94" s="50"/>
      <c r="ARK94" s="50"/>
      <c r="ARL94" s="50"/>
      <c r="ARM94" s="50"/>
      <c r="ARN94" s="50"/>
      <c r="ARO94" s="50"/>
      <c r="ARP94" s="50"/>
      <c r="ARQ94" s="50"/>
      <c r="ARR94" s="50"/>
      <c r="ARS94" s="50"/>
      <c r="ART94" s="50"/>
      <c r="ARU94" s="50"/>
      <c r="ARV94" s="50"/>
      <c r="ARW94" s="50"/>
      <c r="ARX94" s="50"/>
      <c r="ARY94" s="50"/>
      <c r="ARZ94" s="50"/>
      <c r="ASA94" s="50"/>
      <c r="ASB94" s="50"/>
      <c r="ASC94" s="50"/>
      <c r="ASD94" s="50"/>
      <c r="ASE94" s="50"/>
      <c r="ASF94" s="50"/>
      <c r="BFF94" s="50"/>
      <c r="BFG94" s="50"/>
      <c r="BFH94" s="50"/>
      <c r="BFI94" s="50"/>
      <c r="BFJ94" s="50"/>
      <c r="BYR94">
        <v>150</v>
      </c>
      <c r="BYS94">
        <v>1</v>
      </c>
      <c r="BYV94">
        <v>1</v>
      </c>
      <c r="BYY94">
        <v>2</v>
      </c>
      <c r="BYZ94">
        <v>1</v>
      </c>
      <c r="BZA94">
        <v>0</v>
      </c>
      <c r="BZB94">
        <v>0</v>
      </c>
      <c r="CBI94" s="50"/>
      <c r="CBJ94" s="50"/>
      <c r="CBK94" s="50"/>
    </row>
    <row r="95" spans="1:980 1093:2042 2089:2987 3171:4064 4668:4943 5160:5337" x14ac:dyDescent="0.25">
      <c r="A95" s="50">
        <v>8130998</v>
      </c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JQ95">
        <v>342</v>
      </c>
      <c r="JR95">
        <v>211</v>
      </c>
      <c r="JT95">
        <v>80</v>
      </c>
      <c r="NF95">
        <v>238</v>
      </c>
      <c r="NG95">
        <v>416</v>
      </c>
      <c r="NI95">
        <v>279</v>
      </c>
      <c r="QK95" s="50"/>
      <c r="QL95" s="50"/>
      <c r="QM95" s="50"/>
      <c r="QN95" s="50"/>
      <c r="QO95" s="50"/>
      <c r="QP95" s="50"/>
      <c r="QQ95" s="50"/>
      <c r="QR95" s="50"/>
      <c r="QS95" s="50"/>
      <c r="QT95" s="50">
        <v>74</v>
      </c>
      <c r="QU95" s="50">
        <v>104</v>
      </c>
      <c r="QV95" s="50"/>
      <c r="QW95" s="50">
        <v>90</v>
      </c>
      <c r="QX95" s="50"/>
      <c r="QY95" s="50"/>
      <c r="QZ95" s="50"/>
      <c r="RA95" s="50"/>
      <c r="RB95" s="50"/>
      <c r="RC95" s="50"/>
      <c r="RD95" s="50"/>
      <c r="RE95" s="50"/>
      <c r="RF95" s="50"/>
      <c r="RG95" s="50"/>
      <c r="RH95" s="50"/>
      <c r="RI95" s="50"/>
      <c r="RJ95" s="50"/>
      <c r="RK95" s="50"/>
      <c r="RL95" s="50"/>
      <c r="RM95" s="50"/>
      <c r="RN95" s="50"/>
      <c r="RO95" s="50"/>
      <c r="RP95" s="50"/>
      <c r="RQ95" s="50"/>
      <c r="RR95" s="50"/>
      <c r="RS95" s="50"/>
      <c r="RT95" s="50"/>
      <c r="RU95" s="50"/>
      <c r="RV95" s="50"/>
      <c r="RW95" s="50"/>
      <c r="RX95" s="50"/>
      <c r="RY95" s="50"/>
      <c r="RZ95" s="50"/>
      <c r="SA95" s="50"/>
      <c r="SB95" s="50"/>
      <c r="TM95" s="50"/>
      <c r="TN95" s="50"/>
      <c r="TO95" s="50"/>
      <c r="TP95" s="50"/>
      <c r="TQ95" s="50"/>
      <c r="TR95" s="50"/>
      <c r="TS95" s="50"/>
      <c r="TT95" s="50"/>
      <c r="TU95" s="50"/>
      <c r="TV95" s="50"/>
      <c r="TW95" s="50"/>
      <c r="TX95" s="50"/>
      <c r="TY95" s="50"/>
      <c r="TZ95" s="50"/>
      <c r="UA95" s="50"/>
      <c r="UB95" s="50"/>
      <c r="UC95" s="50"/>
      <c r="UD95" s="50"/>
      <c r="UE95" s="50"/>
      <c r="UF95" s="50"/>
      <c r="AJB95" s="50"/>
      <c r="AJC95" s="50"/>
      <c r="AJD95" s="50"/>
      <c r="AJE95" s="50"/>
      <c r="AJF95" s="50"/>
      <c r="AJG95" s="50"/>
      <c r="AJH95" s="50"/>
      <c r="AJI95" s="50"/>
      <c r="AJJ95" s="50"/>
      <c r="AJK95" s="50"/>
      <c r="AJL95" s="50"/>
      <c r="AJM95" s="50"/>
      <c r="AJN95" s="50"/>
      <c r="AJO95" s="50"/>
      <c r="AJP95" s="50"/>
      <c r="AJQ95" s="50"/>
      <c r="AJR95" s="50"/>
      <c r="AJS95" s="50"/>
      <c r="AJT95" s="50"/>
      <c r="AJU95" s="50"/>
      <c r="AJV95" s="50"/>
      <c r="AJW95" s="50"/>
      <c r="AJX95" s="50"/>
      <c r="AJY95" s="50"/>
      <c r="AJZ95" s="50"/>
      <c r="AKA95" s="50"/>
      <c r="AKB95" s="50"/>
      <c r="AKC95" s="50"/>
      <c r="AKD95" s="50"/>
      <c r="AKE95" s="50"/>
      <c r="AKF95" s="50"/>
      <c r="AKG95" s="50"/>
      <c r="AKH95" s="50"/>
      <c r="APA95" s="50"/>
      <c r="APB95" s="50"/>
      <c r="APC95" s="50"/>
      <c r="APD95" s="50"/>
      <c r="APE95" s="50"/>
      <c r="APF95" s="50"/>
      <c r="APG95" s="50"/>
      <c r="APH95" s="50"/>
      <c r="API95" s="50"/>
      <c r="APJ95" s="50"/>
      <c r="APK95" s="50"/>
      <c r="APL95" s="50"/>
      <c r="APM95" s="50"/>
      <c r="APN95" s="50"/>
      <c r="APO95" s="50"/>
      <c r="APP95" s="50"/>
      <c r="APQ95" s="50"/>
      <c r="APR95" s="50"/>
      <c r="APS95" s="50"/>
      <c r="APT95" s="50"/>
      <c r="APU95" s="50"/>
      <c r="APV95" s="50"/>
      <c r="APW95" s="50"/>
      <c r="APX95" s="50"/>
      <c r="APY95" s="50"/>
      <c r="APZ95" s="50"/>
      <c r="AQA95" s="50"/>
      <c r="AQB95" s="50"/>
      <c r="ARC95" s="50"/>
      <c r="ARD95" s="50"/>
      <c r="ARE95" s="50"/>
      <c r="ARF95" s="50"/>
      <c r="ARG95" s="50"/>
      <c r="ARH95" s="50"/>
      <c r="ARI95" s="50"/>
      <c r="ARJ95" s="50"/>
      <c r="ARK95" s="50"/>
      <c r="ARL95" s="50"/>
      <c r="ARM95" s="50"/>
      <c r="ARN95" s="50"/>
      <c r="ARO95" s="50"/>
      <c r="ARP95" s="50"/>
      <c r="ARQ95" s="50"/>
      <c r="ARR95" s="50"/>
      <c r="ARS95" s="50"/>
      <c r="ART95" s="50"/>
      <c r="ARU95" s="50"/>
      <c r="ARV95" s="50"/>
      <c r="ARW95" s="50"/>
      <c r="ARX95" s="50"/>
      <c r="ARY95" s="50"/>
      <c r="ARZ95" s="50"/>
      <c r="ASA95" s="50"/>
      <c r="ASB95" s="50"/>
      <c r="ASC95" s="50"/>
      <c r="ASD95" s="50"/>
      <c r="ASE95" s="50"/>
      <c r="ASF95" s="50"/>
      <c r="BFF95" s="50"/>
      <c r="BFG95" s="50"/>
      <c r="BFH95" s="50"/>
      <c r="BFI95" s="50"/>
      <c r="BFJ95" s="50"/>
      <c r="BYV95">
        <v>1</v>
      </c>
      <c r="BYY95">
        <v>999</v>
      </c>
      <c r="BYZ95">
        <v>2</v>
      </c>
      <c r="BZA95">
        <v>0</v>
      </c>
      <c r="BZB95" s="35">
        <v>999</v>
      </c>
      <c r="CBI95" s="50"/>
      <c r="CBJ95" s="50"/>
      <c r="CBK95" s="50"/>
      <c r="CRP95">
        <v>1</v>
      </c>
      <c r="GWG95">
        <v>1</v>
      </c>
    </row>
    <row r="96" spans="1:980 1093:2042 2089:2987 3171:4064 4668:4943 5160:5337" x14ac:dyDescent="0.25">
      <c r="A96" s="50">
        <v>9002836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QK96" s="50"/>
      <c r="QL96" s="50"/>
      <c r="QM96" s="50"/>
      <c r="QN96" s="50"/>
      <c r="QO96" s="50"/>
      <c r="QP96" s="50"/>
      <c r="QQ96" s="50"/>
      <c r="QR96" s="50"/>
      <c r="QS96" s="50"/>
      <c r="QT96" s="50"/>
      <c r="QU96" s="50"/>
      <c r="QV96" s="50"/>
      <c r="QW96" s="50"/>
      <c r="QX96" s="50"/>
      <c r="QY96" s="50"/>
      <c r="QZ96" s="50"/>
      <c r="RA96" s="50"/>
      <c r="RB96" s="50"/>
      <c r="RC96" s="50"/>
      <c r="RD96" s="50"/>
      <c r="RE96" s="50"/>
      <c r="RF96" s="50"/>
      <c r="RG96" s="50"/>
      <c r="RH96" s="50"/>
      <c r="RI96" s="50"/>
      <c r="RJ96" s="50"/>
      <c r="RK96" s="50"/>
      <c r="RL96" s="50"/>
      <c r="RM96" s="50"/>
      <c r="RN96" s="50"/>
      <c r="RO96" s="50"/>
      <c r="RP96" s="50"/>
      <c r="RQ96" s="50"/>
      <c r="RR96" s="50"/>
      <c r="RS96" s="50"/>
      <c r="RT96" s="50"/>
      <c r="RU96" s="50"/>
      <c r="RV96" s="50"/>
      <c r="RW96" s="50"/>
      <c r="RX96" s="50"/>
      <c r="RY96" s="50"/>
      <c r="RZ96" s="50"/>
      <c r="SA96" s="50"/>
      <c r="SB96" s="50"/>
      <c r="TM96" s="50"/>
      <c r="TN96" s="50"/>
      <c r="TO96" s="50"/>
      <c r="TP96" s="50"/>
      <c r="TQ96" s="50"/>
      <c r="TR96" s="50"/>
      <c r="TS96" s="50"/>
      <c r="TT96" s="50"/>
      <c r="TU96" s="50"/>
      <c r="TV96" s="50"/>
      <c r="TW96" s="50"/>
      <c r="TX96" s="50"/>
      <c r="TY96" s="50"/>
      <c r="TZ96" s="50"/>
      <c r="UA96" s="50"/>
      <c r="UB96" s="50"/>
      <c r="UC96" s="50"/>
      <c r="UD96" s="50"/>
      <c r="UE96" s="50"/>
      <c r="UF96" s="50"/>
      <c r="AJB96" s="50"/>
      <c r="AJC96" s="50"/>
      <c r="AJD96" s="50"/>
      <c r="AJE96" s="50"/>
      <c r="AJF96" s="50"/>
      <c r="AJG96" s="50"/>
      <c r="AJH96" s="50"/>
      <c r="AJI96" s="50"/>
      <c r="AJJ96" s="50"/>
      <c r="AJK96" s="50"/>
      <c r="AJL96" s="50"/>
      <c r="AJM96" s="50"/>
      <c r="AJN96" s="50"/>
      <c r="AJO96" s="50"/>
      <c r="AJP96" s="50"/>
      <c r="AJQ96" s="50"/>
      <c r="AJR96" s="50"/>
      <c r="AJS96" s="50"/>
      <c r="AJT96" s="50"/>
      <c r="AJU96" s="50"/>
      <c r="AJV96" s="50"/>
      <c r="AJW96" s="50"/>
      <c r="AJX96" s="50"/>
      <c r="AJY96" s="50"/>
      <c r="AJZ96" s="50"/>
      <c r="AKA96" s="50"/>
      <c r="AKB96" s="50"/>
      <c r="AKC96" s="50"/>
      <c r="AKD96" s="50"/>
      <c r="AKE96" s="50"/>
      <c r="AKF96" s="50"/>
      <c r="AKG96" s="50"/>
      <c r="AKH96" s="50"/>
      <c r="APA96" s="50"/>
      <c r="APB96" s="50"/>
      <c r="APC96" s="50"/>
      <c r="APD96" s="50"/>
      <c r="APE96" s="50"/>
      <c r="APF96" s="50"/>
      <c r="APG96" s="50"/>
      <c r="APH96" s="50"/>
      <c r="API96" s="50"/>
      <c r="APJ96" s="50"/>
      <c r="APK96" s="50"/>
      <c r="APL96" s="50"/>
      <c r="APM96" s="50"/>
      <c r="APN96" s="50"/>
      <c r="APO96" s="50"/>
      <c r="APP96" s="50"/>
      <c r="APQ96" s="50"/>
      <c r="APR96" s="50"/>
      <c r="APS96" s="50"/>
      <c r="APT96" s="50"/>
      <c r="APU96" s="50"/>
      <c r="APV96" s="50"/>
      <c r="APW96" s="50"/>
      <c r="APX96" s="50"/>
      <c r="APY96" s="50"/>
      <c r="APZ96" s="50"/>
      <c r="AQA96" s="50"/>
      <c r="AQB96" s="50"/>
      <c r="ARC96" s="50"/>
      <c r="ARD96" s="50"/>
      <c r="ARE96" s="50"/>
      <c r="ARF96" s="50"/>
      <c r="ARG96" s="50"/>
      <c r="ARH96" s="50"/>
      <c r="ARI96" s="50"/>
      <c r="ARJ96" s="50"/>
      <c r="ARK96" s="50"/>
      <c r="ARL96" s="50"/>
      <c r="ARM96" s="50"/>
      <c r="ARN96" s="50"/>
      <c r="ARO96" s="50"/>
      <c r="ARP96" s="50"/>
      <c r="ARQ96" s="50"/>
      <c r="ARR96" s="50"/>
      <c r="ARS96" s="50"/>
      <c r="ART96" s="50"/>
      <c r="ARU96" s="50"/>
      <c r="ARV96" s="50"/>
      <c r="ARW96" s="50"/>
      <c r="ARX96" s="50"/>
      <c r="ARY96" s="50"/>
      <c r="ARZ96" s="50"/>
      <c r="ASA96" s="50"/>
      <c r="ASB96" s="50"/>
      <c r="ASC96" s="50"/>
      <c r="ASD96" s="50"/>
      <c r="ASE96" s="50"/>
      <c r="ASF96" s="50"/>
      <c r="BFF96" s="50"/>
      <c r="BFG96" s="50"/>
      <c r="BFH96" s="50"/>
      <c r="BFI96" s="50"/>
      <c r="BFJ96" s="50"/>
      <c r="CBI96" s="50"/>
      <c r="CBJ96" s="50"/>
      <c r="CBK96" s="50"/>
    </row>
    <row r="97" spans="1:1022 1025:2046 2049:3070 3073:3942 4381:5104 5180:5345" x14ac:dyDescent="0.25">
      <c r="A97" s="50">
        <v>9003331</v>
      </c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CZ97">
        <v>1.23</v>
      </c>
      <c r="DC97">
        <v>0.98</v>
      </c>
      <c r="GV97">
        <v>221</v>
      </c>
      <c r="KL97">
        <v>904.2</v>
      </c>
      <c r="KX97">
        <v>315</v>
      </c>
      <c r="OA97">
        <v>2323.1999999999998</v>
      </c>
      <c r="OL97">
        <v>1098</v>
      </c>
      <c r="QK97" s="50"/>
      <c r="QL97" s="50"/>
      <c r="QM97" s="50"/>
      <c r="QN97" s="50"/>
      <c r="QO97" s="50"/>
      <c r="QP97" s="50"/>
      <c r="QQ97" s="50"/>
      <c r="QR97" s="50"/>
      <c r="QS97" s="50"/>
      <c r="QT97" s="50"/>
      <c r="QU97" s="50"/>
      <c r="QV97" s="50"/>
      <c r="QW97" s="50"/>
      <c r="QX97" s="50"/>
      <c r="QY97" s="50"/>
      <c r="QZ97" s="50"/>
      <c r="RA97" s="50"/>
      <c r="RB97" s="50"/>
      <c r="RC97" s="50"/>
      <c r="RD97" s="50"/>
      <c r="RE97" s="50"/>
      <c r="RF97" s="50"/>
      <c r="RG97" s="50"/>
      <c r="RH97" s="50"/>
      <c r="RI97" s="50"/>
      <c r="RJ97" s="50"/>
      <c r="RK97" s="50"/>
      <c r="RL97" s="50"/>
      <c r="RM97" s="50"/>
      <c r="RN97" s="50"/>
      <c r="RO97" s="58"/>
      <c r="RP97" s="58"/>
      <c r="RQ97" s="58"/>
      <c r="RR97" s="58"/>
      <c r="RS97" s="58"/>
      <c r="RT97" s="50"/>
      <c r="RU97" s="50"/>
      <c r="RV97" s="50"/>
      <c r="RW97" s="50"/>
      <c r="RX97" s="50"/>
      <c r="RY97" s="50"/>
      <c r="RZ97" s="50"/>
      <c r="SA97" s="50"/>
      <c r="SB97" s="50"/>
      <c r="TM97" s="50"/>
      <c r="TN97" s="50"/>
      <c r="TO97" s="50"/>
      <c r="TP97" s="50"/>
      <c r="TQ97" s="50"/>
      <c r="TR97" s="50"/>
      <c r="TS97" s="50"/>
      <c r="TT97" s="50"/>
      <c r="TU97" s="50"/>
      <c r="TV97" s="50"/>
      <c r="TW97" s="50"/>
      <c r="TX97" s="50"/>
      <c r="TY97" s="50"/>
      <c r="TZ97" s="50"/>
      <c r="UA97" s="50"/>
      <c r="UB97" s="50"/>
      <c r="UC97" s="50"/>
      <c r="UD97" s="50"/>
      <c r="UE97" s="50"/>
      <c r="UF97" s="50"/>
      <c r="AAM97">
        <v>16.5974</v>
      </c>
      <c r="ABQ97">
        <v>1.9470000000000001</v>
      </c>
      <c r="ABR97">
        <v>2.9058000000000002</v>
      </c>
      <c r="AHP97">
        <v>188.4</v>
      </c>
      <c r="AHX97">
        <v>165.6</v>
      </c>
      <c r="AJB97" s="50"/>
      <c r="AJC97" s="50"/>
      <c r="AJD97" s="50"/>
      <c r="AJE97" s="50"/>
      <c r="AJF97" s="50"/>
      <c r="AJG97" s="50"/>
      <c r="AJH97" s="50"/>
      <c r="AJI97" s="50"/>
      <c r="AJJ97" s="50"/>
      <c r="AJK97" s="50"/>
      <c r="AJL97" s="50"/>
      <c r="AJM97" s="50"/>
      <c r="AJN97" s="50"/>
      <c r="AJO97" s="50"/>
      <c r="AJP97" s="50"/>
      <c r="AJQ97" s="50"/>
      <c r="AJR97" s="50"/>
      <c r="AJS97" s="50"/>
      <c r="AJT97" s="50"/>
      <c r="AJU97" s="50"/>
      <c r="AJV97" s="50"/>
      <c r="AJW97" s="50"/>
      <c r="AJX97" s="50"/>
      <c r="AJY97" s="50"/>
      <c r="AJZ97" s="50"/>
      <c r="AKA97" s="50"/>
      <c r="AKB97" s="50"/>
      <c r="AKC97" s="50"/>
      <c r="AKD97" s="50"/>
      <c r="AKE97" s="50"/>
      <c r="AKF97" s="50"/>
      <c r="AKG97" s="50"/>
      <c r="AKH97" s="50"/>
      <c r="AKX97">
        <v>4.2680999999999996</v>
      </c>
      <c r="APA97" s="50"/>
      <c r="APB97" s="50"/>
      <c r="APC97" s="50"/>
      <c r="APD97" s="50"/>
      <c r="APE97" s="50"/>
      <c r="APF97" s="50"/>
      <c r="APG97" s="50"/>
      <c r="APH97" s="50"/>
      <c r="API97" s="50"/>
      <c r="APJ97" s="50"/>
      <c r="APK97" s="50"/>
      <c r="APL97" s="50"/>
      <c r="APM97" s="50"/>
      <c r="APN97" s="50"/>
      <c r="APO97" s="50"/>
      <c r="APP97" s="50"/>
      <c r="APQ97" s="50"/>
      <c r="APR97" s="50"/>
      <c r="APS97" s="50"/>
      <c r="APT97" s="50"/>
      <c r="APU97" s="50"/>
      <c r="APV97" s="50"/>
      <c r="APW97" s="50"/>
      <c r="APX97" s="50"/>
      <c r="APY97" s="50"/>
      <c r="APZ97" s="50"/>
      <c r="AQA97" s="50"/>
      <c r="AQB97" s="50"/>
      <c r="ARC97" s="50"/>
      <c r="ARD97" s="50"/>
      <c r="ARE97" s="50"/>
      <c r="ARF97" s="50"/>
      <c r="ARG97" s="50"/>
      <c r="ARH97" s="50"/>
      <c r="ARI97" s="50"/>
      <c r="ARJ97" s="50"/>
      <c r="ARK97" s="50"/>
      <c r="ARL97" s="50"/>
      <c r="ARM97" s="50"/>
      <c r="ARN97" s="50"/>
      <c r="ARO97" s="50"/>
      <c r="ARP97" s="50"/>
      <c r="ARQ97" s="50"/>
      <c r="ARR97" s="50"/>
      <c r="ARS97" s="50"/>
      <c r="ART97" s="50"/>
      <c r="ARU97" s="50"/>
      <c r="ARV97" s="50"/>
      <c r="ARW97" s="50"/>
      <c r="ARX97" s="50"/>
      <c r="ARY97" s="50"/>
      <c r="ARZ97" s="50"/>
      <c r="ASA97" s="50"/>
      <c r="ASB97" s="50"/>
      <c r="ASC97" s="50"/>
      <c r="ASD97" s="50"/>
      <c r="ASE97" s="50"/>
      <c r="ASF97" s="50"/>
      <c r="BBI97">
        <v>47</v>
      </c>
      <c r="BFF97" s="50"/>
      <c r="BFG97" s="50"/>
      <c r="BFH97" s="50"/>
      <c r="BFI97" s="50"/>
      <c r="BFJ97" s="50"/>
      <c r="CBI97" s="50"/>
      <c r="CBJ97" s="50"/>
      <c r="CBK97" s="50"/>
    </row>
    <row r="98" spans="1:1022 1025:2046 2049:3070 3073:3942 4381:5104 5180:5345" x14ac:dyDescent="0.25">
      <c r="A98" s="50">
        <v>9003370</v>
      </c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BC98">
        <v>96.7</v>
      </c>
      <c r="CM98">
        <v>1</v>
      </c>
      <c r="EG98">
        <v>26.4</v>
      </c>
      <c r="GJ98">
        <v>890</v>
      </c>
      <c r="HQ98">
        <v>13300</v>
      </c>
      <c r="JQ98">
        <v>77.400000000000006</v>
      </c>
      <c r="NF98">
        <v>99</v>
      </c>
      <c r="QK98" s="50"/>
      <c r="QL98" s="50"/>
      <c r="QM98" s="50"/>
      <c r="QN98" s="50"/>
      <c r="QO98" s="50"/>
      <c r="QP98" s="50"/>
      <c r="QQ98" s="50"/>
      <c r="QR98" s="50"/>
      <c r="QS98" s="50"/>
      <c r="QT98" s="50">
        <v>43.2</v>
      </c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ZT98">
        <v>14.293100000000001</v>
      </c>
      <c r="AGU98">
        <v>168.6</v>
      </c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>
        <v>0.98409999999999997</v>
      </c>
      <c r="AKG98" s="50"/>
      <c r="AKH98" s="50"/>
      <c r="APA98" s="50"/>
      <c r="APB98" s="50"/>
      <c r="APC98" s="50"/>
      <c r="APD98" s="50"/>
      <c r="APE98" s="50"/>
      <c r="APF98" s="50"/>
      <c r="APG98" s="50"/>
      <c r="APH98" s="50"/>
      <c r="API98" s="50"/>
      <c r="APJ98" s="50"/>
      <c r="APK98" s="50"/>
      <c r="APL98" s="59">
        <v>37.837800000000001</v>
      </c>
      <c r="APM98" s="59"/>
      <c r="APN98" s="59"/>
      <c r="APO98" s="59"/>
      <c r="APP98" s="50"/>
      <c r="APQ98" s="50"/>
      <c r="APR98" s="50"/>
      <c r="APS98" s="50"/>
      <c r="APT98" s="50"/>
      <c r="APU98" s="50"/>
      <c r="APV98" s="50"/>
      <c r="APW98" s="50"/>
      <c r="APX98" s="50"/>
      <c r="APY98" s="50"/>
      <c r="APZ98" s="50"/>
      <c r="AQA98" s="50"/>
      <c r="AQB98" s="50"/>
      <c r="ARC98" s="50"/>
      <c r="ARD98" s="50"/>
      <c r="ARE98" s="50"/>
      <c r="ARF98" s="50"/>
      <c r="ARG98" s="50"/>
      <c r="ARH98" s="50"/>
      <c r="ARI98" s="50"/>
      <c r="ARJ98" s="50"/>
      <c r="ARK98" s="50"/>
      <c r="ARL98" s="50"/>
      <c r="ARM98" s="50"/>
      <c r="ARN98" s="50"/>
      <c r="ARO98" s="50"/>
      <c r="ARP98" s="50"/>
      <c r="ARQ98" s="50"/>
      <c r="ARR98" s="50"/>
      <c r="ARS98" s="50"/>
      <c r="ART98" s="50"/>
      <c r="ARU98" s="50"/>
      <c r="ARV98" s="50"/>
      <c r="ARW98" s="50"/>
      <c r="ARX98" s="50"/>
      <c r="ARY98" s="50"/>
      <c r="ARZ98" s="50"/>
      <c r="ASA98" s="50"/>
      <c r="ASB98" s="50"/>
      <c r="ASC98" s="50"/>
      <c r="ASD98" s="50"/>
      <c r="ASE98" s="50"/>
      <c r="ASF98" s="50"/>
      <c r="ASV98">
        <v>327000</v>
      </c>
      <c r="BAL98">
        <v>43</v>
      </c>
      <c r="BFF98" s="50"/>
      <c r="BFG98" s="50"/>
      <c r="BFH98" s="50"/>
      <c r="BFI98" s="50"/>
      <c r="BFJ98" s="50"/>
      <c r="BGQ98">
        <v>139</v>
      </c>
      <c r="BHW98">
        <v>4.2</v>
      </c>
      <c r="BIZ98">
        <v>2.2400000000000002</v>
      </c>
      <c r="BYR98">
        <v>50</v>
      </c>
      <c r="BYS98">
        <v>1</v>
      </c>
      <c r="BYV98">
        <v>1</v>
      </c>
      <c r="BYY98">
        <v>1</v>
      </c>
      <c r="BYZ98">
        <v>0</v>
      </c>
      <c r="BZA98">
        <v>0</v>
      </c>
      <c r="BZB98">
        <v>0</v>
      </c>
      <c r="CAC98">
        <v>100</v>
      </c>
      <c r="CAD98">
        <v>1</v>
      </c>
      <c r="CAG98">
        <v>1</v>
      </c>
      <c r="CBI98" s="50"/>
      <c r="CBJ98" s="50"/>
      <c r="CBK98" s="50"/>
      <c r="DNA98">
        <v>5</v>
      </c>
      <c r="DNB98">
        <v>1</v>
      </c>
      <c r="DNE98">
        <v>1</v>
      </c>
      <c r="DSN98">
        <v>40</v>
      </c>
      <c r="DSO98">
        <v>1</v>
      </c>
      <c r="DSR98">
        <v>1</v>
      </c>
      <c r="DVR98">
        <v>47.5</v>
      </c>
      <c r="DVS98">
        <v>1</v>
      </c>
      <c r="DVV98">
        <v>1</v>
      </c>
      <c r="EBU98">
        <v>20</v>
      </c>
      <c r="EBV98">
        <v>1</v>
      </c>
      <c r="EBY98">
        <v>1</v>
      </c>
      <c r="EFM98">
        <v>48</v>
      </c>
      <c r="EFQ98">
        <v>1</v>
      </c>
    </row>
    <row r="99" spans="1:1022 1025:2046 2049:3070 3073:3942 4381:5104 5180:5345" x14ac:dyDescent="0.25">
      <c r="A99" s="50">
        <v>9016278</v>
      </c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EM99">
        <v>46</v>
      </c>
      <c r="HI99">
        <v>15100</v>
      </c>
      <c r="HN99">
        <v>12900</v>
      </c>
      <c r="JI99">
        <v>235.8</v>
      </c>
      <c r="JN99">
        <v>192.6</v>
      </c>
      <c r="JS99">
        <v>178.8</v>
      </c>
      <c r="JW99">
        <v>244.8</v>
      </c>
      <c r="MX99">
        <v>792</v>
      </c>
      <c r="NC99">
        <v>427.2</v>
      </c>
      <c r="NH99">
        <v>310.8</v>
      </c>
      <c r="NL99">
        <v>291</v>
      </c>
      <c r="QK99" s="50"/>
      <c r="QL99" s="50">
        <v>775.8</v>
      </c>
      <c r="QM99" s="50"/>
      <c r="QN99" s="50"/>
      <c r="QO99" s="50"/>
      <c r="QP99" s="50"/>
      <c r="QQ99" s="50">
        <v>364.8</v>
      </c>
      <c r="QR99" s="50"/>
      <c r="QS99" s="50"/>
      <c r="QT99" s="50"/>
      <c r="QU99" s="50"/>
      <c r="QV99" s="50">
        <v>196.8</v>
      </c>
      <c r="QW99" s="50"/>
      <c r="QX99" s="50"/>
      <c r="QY99" s="50"/>
      <c r="QZ99" s="59">
        <v>178.2</v>
      </c>
      <c r="RA99" s="50"/>
      <c r="RB99" s="50"/>
      <c r="RC99" s="50"/>
      <c r="RD99" s="50"/>
      <c r="RE99" s="50"/>
      <c r="RF99" s="50"/>
      <c r="RG99" s="50"/>
      <c r="RH99" s="50"/>
      <c r="RI99" s="50"/>
      <c r="RJ99" s="50"/>
      <c r="RK99" s="50"/>
      <c r="RL99" s="50"/>
      <c r="RM99" s="50"/>
      <c r="RN99" s="50"/>
      <c r="RO99" s="50"/>
      <c r="RP99" s="50"/>
      <c r="RQ99" s="50"/>
      <c r="RR99" s="50"/>
      <c r="RS99" s="50"/>
      <c r="RT99" s="50"/>
      <c r="RU99" s="50"/>
      <c r="RV99" s="50"/>
      <c r="RW99" s="50"/>
      <c r="RX99" s="50"/>
      <c r="RY99" s="50"/>
      <c r="RZ99" s="50"/>
      <c r="SA99" s="50"/>
      <c r="SB99" s="50"/>
      <c r="TM99" s="50"/>
      <c r="TN99" s="50"/>
      <c r="TO99" s="50"/>
      <c r="TP99" s="50"/>
      <c r="TQ99" s="50"/>
      <c r="TR99" s="50"/>
      <c r="TS99" s="50"/>
      <c r="TT99" s="50"/>
      <c r="TU99" s="50"/>
      <c r="TV99" s="50"/>
      <c r="TW99" s="50"/>
      <c r="TX99" s="50"/>
      <c r="TY99" s="50"/>
      <c r="TZ99" s="50"/>
      <c r="UA99" s="50"/>
      <c r="UB99" s="50"/>
      <c r="UC99" s="50"/>
      <c r="UD99" s="50"/>
      <c r="UE99" s="50"/>
      <c r="UF99" s="50"/>
      <c r="YY99" s="3">
        <v>11.9244</v>
      </c>
      <c r="YZ99" s="3"/>
      <c r="ZM99" s="3">
        <v>12.246600000000001</v>
      </c>
      <c r="ZN99" s="3"/>
      <c r="ZO99" s="3"/>
      <c r="ZP99" s="3"/>
      <c r="ZQ99" s="3"/>
      <c r="ZV99" s="3">
        <v>11.2798</v>
      </c>
      <c r="AAZ99" s="3">
        <v>29.870799999999999</v>
      </c>
      <c r="ABA99" s="3">
        <v>28.900200000000002</v>
      </c>
      <c r="ABD99" s="3">
        <v>25.5442</v>
      </c>
      <c r="ABH99">
        <v>17.850000000000001</v>
      </c>
      <c r="ABY99" s="3">
        <v>29.870799999999999</v>
      </c>
      <c r="ABZ99" s="3"/>
      <c r="ACA99" s="3"/>
      <c r="ACB99" s="3"/>
      <c r="ACC99" s="3"/>
      <c r="ACD99" s="3">
        <v>28.900200000000002</v>
      </c>
      <c r="ACE99" s="3"/>
      <c r="ACF99" s="3"/>
      <c r="ACI99" s="3">
        <v>25.5442</v>
      </c>
      <c r="ACM99">
        <v>17.850000000000001</v>
      </c>
      <c r="AJB99" s="50"/>
      <c r="AJC99" s="50"/>
      <c r="AJD99" s="50"/>
      <c r="AJE99" s="50"/>
      <c r="AJF99" s="50"/>
      <c r="AJG99" s="50"/>
      <c r="AJH99" s="50"/>
      <c r="AJI99" s="50"/>
      <c r="AJJ99" s="50"/>
      <c r="AJK99" s="50"/>
      <c r="AJL99" s="50"/>
      <c r="AJM99" s="50"/>
      <c r="AJN99" s="50"/>
      <c r="AJO99" s="50"/>
      <c r="AJP99" s="50"/>
      <c r="AJQ99" s="50"/>
      <c r="AJR99" s="50"/>
      <c r="AJS99" s="50"/>
      <c r="AJT99" s="50"/>
      <c r="AJU99" s="50"/>
      <c r="AJV99" s="50"/>
      <c r="AJW99" s="50"/>
      <c r="AJX99" s="59">
        <v>1.9117</v>
      </c>
      <c r="AJY99" s="59"/>
      <c r="AJZ99" s="59"/>
      <c r="AKA99" s="50"/>
      <c r="AKB99" s="50"/>
      <c r="AKC99" s="50"/>
      <c r="AKD99" s="50"/>
      <c r="AKE99" s="50"/>
      <c r="AKF99" s="50"/>
      <c r="AKG99" s="50"/>
      <c r="AKH99" s="50"/>
      <c r="AMH99">
        <v>113.4</v>
      </c>
      <c r="AMK99">
        <v>100.8</v>
      </c>
      <c r="ANR99">
        <v>72.5</v>
      </c>
      <c r="ANV99">
        <v>35.6</v>
      </c>
      <c r="AOA99">
        <v>62.7</v>
      </c>
      <c r="APA99" s="50"/>
      <c r="APB99" s="50"/>
      <c r="APC99" s="50"/>
      <c r="APD99" s="50"/>
      <c r="APE99" s="59">
        <v>72.072000000000003</v>
      </c>
      <c r="APF99" s="50"/>
      <c r="APG99" s="50"/>
      <c r="APH99" s="50"/>
      <c r="API99" s="59">
        <v>56.456400000000002</v>
      </c>
      <c r="APJ99" s="50"/>
      <c r="APK99" s="50"/>
      <c r="APL99" s="50"/>
      <c r="APM99" s="50"/>
      <c r="APN99" s="59">
        <v>54.654600000000002</v>
      </c>
      <c r="APO99" s="50"/>
      <c r="APP99" s="50"/>
      <c r="APQ99" s="50"/>
      <c r="APR99" s="50"/>
      <c r="APS99" s="50"/>
      <c r="APT99" s="50"/>
      <c r="APU99" s="50"/>
      <c r="APV99" s="50"/>
      <c r="APW99" s="50"/>
      <c r="APX99" s="50"/>
      <c r="APY99" s="50"/>
      <c r="APZ99" s="50"/>
      <c r="AQA99" s="50"/>
      <c r="AQB99" s="50"/>
      <c r="ARC99" s="50"/>
      <c r="ARD99" s="50">
        <v>4180000</v>
      </c>
      <c r="ARE99" s="50"/>
      <c r="ARF99" s="50"/>
      <c r="ARG99" s="50"/>
      <c r="ARH99" s="50">
        <v>4020000</v>
      </c>
      <c r="ARI99" s="50"/>
      <c r="ARJ99" s="50"/>
      <c r="ARK99" s="50"/>
      <c r="ARL99" s="50"/>
      <c r="ARM99" s="50">
        <v>3630000</v>
      </c>
      <c r="ARN99" s="50"/>
      <c r="ARO99" s="50"/>
      <c r="ARP99" s="50"/>
      <c r="ARQ99" s="50"/>
      <c r="ARR99" s="50"/>
      <c r="ARS99" s="50"/>
      <c r="ART99" s="50"/>
      <c r="ARU99" s="50"/>
      <c r="ARV99" s="50"/>
      <c r="ARW99" s="50"/>
      <c r="ARX99" s="50"/>
      <c r="ARY99" s="50"/>
      <c r="ARZ99" s="50"/>
      <c r="ASA99" s="50"/>
      <c r="ASB99" s="50"/>
      <c r="ASC99" s="50"/>
      <c r="ASD99" s="50"/>
      <c r="ASE99" s="50"/>
      <c r="ASF99" s="50"/>
      <c r="ASO99">
        <v>426000</v>
      </c>
      <c r="ASS99">
        <v>444000</v>
      </c>
      <c r="BAE99">
        <v>36</v>
      </c>
      <c r="BAI99">
        <v>32</v>
      </c>
      <c r="BAN99">
        <v>31</v>
      </c>
      <c r="BFF99" s="50"/>
      <c r="BFG99" s="50"/>
      <c r="BFH99" s="50"/>
      <c r="BFI99" s="50"/>
      <c r="BFJ99" s="50"/>
      <c r="BKT99">
        <v>748</v>
      </c>
      <c r="BKU99" s="10"/>
      <c r="BKV99" s="10"/>
      <c r="BYV99">
        <v>1</v>
      </c>
      <c r="CAC99">
        <v>100</v>
      </c>
      <c r="CBI99" s="50"/>
      <c r="CBJ99" s="50"/>
      <c r="CBK99" s="50"/>
      <c r="EFQ99">
        <v>1</v>
      </c>
      <c r="GQF99">
        <v>1</v>
      </c>
    </row>
    <row r="100" spans="1:1022 1025:2046 2049:3070 3073:3942 4381:5104 5180:5345" x14ac:dyDescent="0.25">
      <c r="A100" s="50">
        <v>9030684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BC100">
        <v>8</v>
      </c>
      <c r="BD100">
        <v>80</v>
      </c>
      <c r="BE100">
        <v>72</v>
      </c>
      <c r="CM100">
        <v>5.5</v>
      </c>
      <c r="CN100">
        <v>1.1000000000000001</v>
      </c>
      <c r="CQ100">
        <v>1.2</v>
      </c>
      <c r="EG100">
        <v>94</v>
      </c>
      <c r="EH100">
        <v>32</v>
      </c>
      <c r="EI100">
        <v>29</v>
      </c>
      <c r="KF100">
        <v>28.8</v>
      </c>
      <c r="NU100">
        <v>26.4</v>
      </c>
      <c r="QK100" s="50"/>
      <c r="QL100" s="50"/>
      <c r="QM100" s="50"/>
      <c r="QN100" s="50"/>
      <c r="QO100" s="50"/>
      <c r="QP100" s="50"/>
      <c r="QQ100" s="50"/>
      <c r="QR100" s="50"/>
      <c r="QS100" s="50"/>
      <c r="QT100" s="50"/>
      <c r="QU100" s="50"/>
      <c r="QV100" s="50"/>
      <c r="QW100" s="50"/>
      <c r="QX100" s="50"/>
      <c r="QY100" s="50"/>
      <c r="QZ100" s="50"/>
      <c r="RA100" s="50"/>
      <c r="RB100" s="50"/>
      <c r="RC100" s="50"/>
      <c r="RD100" s="50"/>
      <c r="RE100" s="50"/>
      <c r="RF100" s="50"/>
      <c r="RG100" s="50"/>
      <c r="RH100" s="50"/>
      <c r="RI100" s="50">
        <v>15</v>
      </c>
      <c r="RJ100" s="50"/>
      <c r="RK100" s="50"/>
      <c r="RL100" s="50"/>
      <c r="RM100" s="50"/>
      <c r="RN100" s="50"/>
      <c r="RO100" s="50"/>
      <c r="RP100" s="50"/>
      <c r="RQ100" s="50"/>
      <c r="RR100" s="50"/>
      <c r="RS100" s="50"/>
      <c r="RT100" s="50"/>
      <c r="RU100" s="50"/>
      <c r="RV100" s="50"/>
      <c r="RW100" s="50"/>
      <c r="RX100" s="50"/>
      <c r="RY100" s="50"/>
      <c r="RZ100" s="50"/>
      <c r="SA100" s="50"/>
      <c r="SB100" s="50"/>
      <c r="TM100" s="50"/>
      <c r="TN100" s="50"/>
      <c r="TO100" s="50"/>
      <c r="TP100" s="50"/>
      <c r="TQ100" s="50"/>
      <c r="TR100" s="50"/>
      <c r="TS100" s="50"/>
      <c r="TT100" s="50"/>
      <c r="TU100" s="50"/>
      <c r="TV100" s="50"/>
      <c r="TW100" s="50"/>
      <c r="TX100" s="50"/>
      <c r="TY100" s="50"/>
      <c r="TZ100" s="50"/>
      <c r="UA100" s="50"/>
      <c r="UB100" s="50"/>
      <c r="UC100" s="50"/>
      <c r="UD100" s="50"/>
      <c r="UE100" s="50"/>
      <c r="UF100" s="50"/>
      <c r="ZT100">
        <v>7.1</v>
      </c>
      <c r="ZU100">
        <v>8.9</v>
      </c>
      <c r="AAE100">
        <v>11.3</v>
      </c>
      <c r="AJB100" s="50"/>
      <c r="AJC100" s="50"/>
      <c r="AJD100" s="50"/>
      <c r="AJE100" s="50"/>
      <c r="AJF100" s="50"/>
      <c r="AJG100" s="50"/>
      <c r="AJH100" s="50"/>
      <c r="AJI100" s="50"/>
      <c r="AJJ100" s="50"/>
      <c r="AJK100" s="50"/>
      <c r="AJL100" s="50"/>
      <c r="AJM100" s="50"/>
      <c r="AJN100" s="50"/>
      <c r="AJO100" s="50"/>
      <c r="AJP100" s="50"/>
      <c r="AJQ100" s="50"/>
      <c r="AJR100" s="50"/>
      <c r="AJS100" s="50"/>
      <c r="AJT100" s="50"/>
      <c r="AJU100" s="50"/>
      <c r="AJV100" s="50"/>
      <c r="AJW100" s="50"/>
      <c r="AJX100" s="50"/>
      <c r="AJY100" s="50"/>
      <c r="AJZ100" s="50"/>
      <c r="AKA100" s="50"/>
      <c r="AKB100" s="50"/>
      <c r="AKC100" s="50"/>
      <c r="AKD100" s="50"/>
      <c r="AKE100" s="50"/>
      <c r="AKF100" s="59">
        <v>1.4592000000000001</v>
      </c>
      <c r="AKG100" s="59"/>
      <c r="AKH100" s="50"/>
      <c r="AKK100">
        <v>0.84840000000000004</v>
      </c>
      <c r="APA100" s="50"/>
      <c r="APB100" s="50"/>
      <c r="APC100" s="50"/>
      <c r="APD100" s="50"/>
      <c r="APE100" s="50"/>
      <c r="APF100" s="50"/>
      <c r="APG100" s="50"/>
      <c r="APH100" s="50"/>
      <c r="API100" s="50"/>
      <c r="APJ100" s="50"/>
      <c r="APK100" s="50"/>
      <c r="APL100" s="59">
        <v>142.34219999999999</v>
      </c>
      <c r="APM100" s="50"/>
      <c r="APN100" s="50"/>
      <c r="APO100" s="50"/>
      <c r="APP100" s="59">
        <v>29.429400000000001</v>
      </c>
      <c r="APQ100" s="50"/>
      <c r="APR100" s="50"/>
      <c r="APS100" s="50"/>
      <c r="APT100" s="50"/>
      <c r="APU100" s="50"/>
      <c r="APV100" s="50"/>
      <c r="APW100" s="50"/>
      <c r="APX100" s="50"/>
      <c r="APY100" s="50"/>
      <c r="APZ100" s="50"/>
      <c r="AQA100" s="50"/>
      <c r="AQB100" s="50"/>
      <c r="ARC100" s="50"/>
      <c r="ARD100" s="50"/>
      <c r="ARE100" s="50"/>
      <c r="ARF100" s="50"/>
      <c r="ARG100" s="50"/>
      <c r="ARH100" s="50"/>
      <c r="ARI100" s="50"/>
      <c r="ARJ100" s="50"/>
      <c r="ARK100" s="50">
        <v>2600000</v>
      </c>
      <c r="ARL100" s="50">
        <v>3100000</v>
      </c>
      <c r="ARM100" s="50"/>
      <c r="ARN100" s="50"/>
      <c r="ARO100" s="50"/>
      <c r="ARP100" s="50"/>
      <c r="ARQ100" s="50"/>
      <c r="ARR100" s="50"/>
      <c r="ARS100" s="50"/>
      <c r="ART100" s="50"/>
      <c r="ARU100" s="50"/>
      <c r="ARV100" s="50">
        <v>4100000</v>
      </c>
      <c r="ARW100" s="50"/>
      <c r="ARX100" s="50"/>
      <c r="ARY100" s="50"/>
      <c r="ARZ100" s="50"/>
      <c r="ASA100" s="50"/>
      <c r="ASB100" s="50"/>
      <c r="ASC100" s="50"/>
      <c r="ASD100" s="50"/>
      <c r="ASE100" s="50"/>
      <c r="ASF100" s="50"/>
      <c r="ASV100">
        <v>333000</v>
      </c>
      <c r="ATG100">
        <v>350000</v>
      </c>
      <c r="BAL100">
        <v>22</v>
      </c>
      <c r="BAM100">
        <v>26</v>
      </c>
      <c r="BAW100">
        <v>35</v>
      </c>
      <c r="BFF100" s="50"/>
      <c r="BFG100" s="50"/>
      <c r="BFH100" s="50"/>
      <c r="BFI100" s="50"/>
      <c r="BFJ100" s="50"/>
      <c r="BYV100">
        <v>1</v>
      </c>
      <c r="CAC100">
        <v>100</v>
      </c>
      <c r="CAG100">
        <v>1</v>
      </c>
      <c r="CBI100" s="50"/>
      <c r="CBJ100" s="50"/>
      <c r="CBK100" s="50"/>
      <c r="EFQ100">
        <v>1</v>
      </c>
      <c r="GQF100">
        <v>1</v>
      </c>
    </row>
    <row r="101" spans="1:1022 1025:2046 2049:3070 3073:3942 4381:5104 5180:5345" x14ac:dyDescent="0.25">
      <c r="A101" s="50">
        <v>9031387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BT101">
        <v>32.1</v>
      </c>
      <c r="BU101">
        <v>58.9</v>
      </c>
      <c r="CZ101">
        <v>2.14</v>
      </c>
      <c r="DA101">
        <v>1.29</v>
      </c>
      <c r="EV101">
        <v>45.2</v>
      </c>
      <c r="EW101">
        <v>37.299999999999997</v>
      </c>
      <c r="GV101">
        <v>504</v>
      </c>
      <c r="KL101">
        <v>34.799999999999997</v>
      </c>
      <c r="OA101">
        <v>37.200000000000003</v>
      </c>
      <c r="QK101" s="50"/>
      <c r="QL101" s="50"/>
      <c r="QM101" s="50"/>
      <c r="QN101" s="50"/>
      <c r="QO101" s="50"/>
      <c r="QP101" s="50"/>
      <c r="QQ101" s="50"/>
      <c r="QR101" s="50"/>
      <c r="QS101" s="50"/>
      <c r="QT101" s="50"/>
      <c r="QU101" s="50"/>
      <c r="QV101" s="50"/>
      <c r="QW101" s="50"/>
      <c r="QX101" s="50"/>
      <c r="QY101" s="50"/>
      <c r="QZ101" s="50"/>
      <c r="RA101" s="50"/>
      <c r="RB101" s="50"/>
      <c r="RC101" s="50"/>
      <c r="RD101" s="50"/>
      <c r="RE101" s="50"/>
      <c r="RF101" s="50"/>
      <c r="RG101" s="50"/>
      <c r="RH101" s="50"/>
      <c r="RI101" s="50"/>
      <c r="RJ101" s="50"/>
      <c r="RK101" s="50"/>
      <c r="RL101" s="50"/>
      <c r="RM101" s="50"/>
      <c r="RN101" s="50"/>
      <c r="RO101" s="50">
        <v>37.799999999999997</v>
      </c>
      <c r="RP101" s="50"/>
      <c r="RQ101" s="50"/>
      <c r="RR101" s="50"/>
      <c r="RS101" s="50"/>
      <c r="RT101" s="50"/>
      <c r="RU101" s="50"/>
      <c r="RV101" s="50"/>
      <c r="RW101" s="50"/>
      <c r="RX101" s="50"/>
      <c r="RY101" s="50"/>
      <c r="RZ101" s="50"/>
      <c r="SA101" s="50"/>
      <c r="SB101" s="50"/>
      <c r="TM101" s="50"/>
      <c r="TN101" s="50"/>
      <c r="TO101" s="50"/>
      <c r="TP101" s="50"/>
      <c r="TQ101" s="50"/>
      <c r="TR101" s="50"/>
      <c r="TS101" s="50"/>
      <c r="TT101" s="50"/>
      <c r="TU101" s="50"/>
      <c r="TV101" s="50"/>
      <c r="TW101" s="50"/>
      <c r="TX101" s="50"/>
      <c r="TY101" s="50"/>
      <c r="TZ101" s="50"/>
      <c r="UA101" s="50"/>
      <c r="UB101" s="50"/>
      <c r="UC101" s="50"/>
      <c r="UD101" s="50"/>
      <c r="UE101" s="50"/>
      <c r="UF101" s="50"/>
      <c r="AAM101">
        <v>14.2</v>
      </c>
      <c r="AHP101" s="3">
        <v>47.4</v>
      </c>
      <c r="AHQ101" s="3"/>
      <c r="AHR101" s="3"/>
      <c r="AHS101" s="3"/>
      <c r="AHT101" s="3"/>
      <c r="AHU101" s="3"/>
      <c r="AJB101" s="50"/>
      <c r="AJC101" s="50"/>
      <c r="AJD101" s="50"/>
      <c r="AJE101" s="50"/>
      <c r="AJF101" s="50"/>
      <c r="AJG101" s="50"/>
      <c r="AJH101" s="50"/>
      <c r="AJI101" s="50"/>
      <c r="AJJ101" s="50"/>
      <c r="AJK101" s="50"/>
      <c r="AJL101" s="50"/>
      <c r="AJM101" s="50"/>
      <c r="AJN101" s="50"/>
      <c r="AJO101" s="50"/>
      <c r="AJP101" s="50"/>
      <c r="AJQ101" s="50"/>
      <c r="AJR101" s="50"/>
      <c r="AJS101" s="50"/>
      <c r="AJT101" s="50"/>
      <c r="AJU101" s="50"/>
      <c r="AJV101" s="50"/>
      <c r="AJW101" s="50"/>
      <c r="AJX101" s="50"/>
      <c r="AJY101" s="50"/>
      <c r="AJZ101" s="50"/>
      <c r="AKA101" s="50"/>
      <c r="AKB101" s="50"/>
      <c r="AKC101" s="50"/>
      <c r="AKD101" s="50"/>
      <c r="AKE101" s="50"/>
      <c r="AKF101" s="50"/>
      <c r="AKG101" s="50"/>
      <c r="AKH101" s="50"/>
      <c r="AKX101" s="3">
        <v>1.1537999999999999</v>
      </c>
      <c r="APA101" s="50"/>
      <c r="APB101" s="50"/>
      <c r="APC101" s="50"/>
      <c r="APD101" s="50"/>
      <c r="APE101" s="50"/>
      <c r="APF101" s="50"/>
      <c r="APG101" s="50"/>
      <c r="APH101" s="50"/>
      <c r="API101" s="50"/>
      <c r="APJ101" s="50"/>
      <c r="APK101" s="50"/>
      <c r="APL101" s="50"/>
      <c r="APM101" s="50"/>
      <c r="APN101" s="50"/>
      <c r="APO101" s="50"/>
      <c r="APP101" s="50"/>
      <c r="APQ101" s="50"/>
      <c r="APR101" s="50"/>
      <c r="APS101" s="50"/>
      <c r="APT101" s="50"/>
      <c r="APU101" s="50"/>
      <c r="APV101" s="50"/>
      <c r="APW101" s="50"/>
      <c r="APX101" s="50"/>
      <c r="APY101" s="50"/>
      <c r="APZ101" s="59">
        <v>64.864800000000002</v>
      </c>
      <c r="AQA101" s="50"/>
      <c r="AQB101" s="50"/>
      <c r="ARC101" s="50"/>
      <c r="ARD101" s="50"/>
      <c r="ARE101" s="50"/>
      <c r="ARF101" s="50"/>
      <c r="ARG101" s="50"/>
      <c r="ARH101" s="50"/>
      <c r="ARI101" s="50"/>
      <c r="ARJ101" s="50"/>
      <c r="ARK101" s="50"/>
      <c r="ARL101" s="50"/>
      <c r="ARM101" s="50"/>
      <c r="ARN101" s="50"/>
      <c r="ARO101" s="50"/>
      <c r="ARP101" s="50"/>
      <c r="ARQ101" s="50"/>
      <c r="ARR101" s="50"/>
      <c r="ARS101" s="50"/>
      <c r="ART101" s="50"/>
      <c r="ARU101" s="50"/>
      <c r="ARV101" s="50"/>
      <c r="ARW101" s="50"/>
      <c r="ARX101" s="50"/>
      <c r="ARY101" s="50"/>
      <c r="ARZ101" s="50"/>
      <c r="ASA101" s="50">
        <v>7000</v>
      </c>
      <c r="ASB101" s="50"/>
      <c r="ASC101" s="50"/>
      <c r="ASD101" s="50"/>
      <c r="ASE101" s="50"/>
      <c r="ASF101" s="50"/>
      <c r="ATN101">
        <v>328000</v>
      </c>
      <c r="BBC101">
        <v>42</v>
      </c>
      <c r="BFF101" s="50"/>
      <c r="BFG101" s="50"/>
      <c r="BFH101" s="50"/>
      <c r="BFI101" s="50"/>
      <c r="BFJ101" s="50"/>
      <c r="BHH101">
        <v>142</v>
      </c>
      <c r="BIM101">
        <v>3.75</v>
      </c>
      <c r="BJM101">
        <v>2.5299999999999998</v>
      </c>
      <c r="BKD101">
        <v>106</v>
      </c>
      <c r="BYR101">
        <v>75</v>
      </c>
      <c r="BYS101">
        <v>1</v>
      </c>
      <c r="BYV101">
        <v>1</v>
      </c>
      <c r="BYY101">
        <v>42</v>
      </c>
      <c r="BYZ101">
        <v>21</v>
      </c>
      <c r="BZA101">
        <v>0</v>
      </c>
      <c r="BZB101">
        <v>20</v>
      </c>
      <c r="CBI101" s="50"/>
      <c r="CBJ101" s="50"/>
      <c r="CBK101" s="50"/>
      <c r="CDS101">
        <v>7.5</v>
      </c>
      <c r="CDT101">
        <v>1</v>
      </c>
      <c r="CDW101">
        <v>1</v>
      </c>
      <c r="CDX101">
        <v>999</v>
      </c>
      <c r="CDY101">
        <v>999</v>
      </c>
      <c r="CDZ101">
        <v>0</v>
      </c>
      <c r="CEA101" s="35">
        <v>999</v>
      </c>
      <c r="DNU101">
        <v>10</v>
      </c>
      <c r="DNV101">
        <v>1</v>
      </c>
      <c r="DNY101">
        <v>1</v>
      </c>
      <c r="DNZ101">
        <v>999</v>
      </c>
      <c r="DOA101">
        <v>999</v>
      </c>
      <c r="DOB101">
        <v>0</v>
      </c>
      <c r="DOC101" s="35">
        <v>999</v>
      </c>
      <c r="DWV101">
        <v>320</v>
      </c>
      <c r="DWW101">
        <v>1</v>
      </c>
      <c r="DWZ101">
        <v>1</v>
      </c>
      <c r="DXA101">
        <v>999</v>
      </c>
      <c r="DXB101">
        <v>213</v>
      </c>
      <c r="DXC101">
        <v>0</v>
      </c>
      <c r="DXD101" s="35">
        <v>999</v>
      </c>
      <c r="DXG101">
        <v>1.5</v>
      </c>
      <c r="DXH101">
        <v>1</v>
      </c>
      <c r="DXK101">
        <v>1</v>
      </c>
      <c r="DXL101">
        <v>999</v>
      </c>
      <c r="DXM101">
        <v>999</v>
      </c>
      <c r="DXN101">
        <v>16</v>
      </c>
      <c r="EBU101">
        <v>10</v>
      </c>
      <c r="EBV101">
        <v>1</v>
      </c>
      <c r="EBY101">
        <v>1</v>
      </c>
      <c r="EMC101">
        <v>40</v>
      </c>
      <c r="EMD101">
        <v>1</v>
      </c>
      <c r="EMG101">
        <v>1</v>
      </c>
      <c r="EMH101">
        <v>999</v>
      </c>
      <c r="EMI101">
        <v>999</v>
      </c>
      <c r="EMJ101">
        <v>0</v>
      </c>
      <c r="EMK101" s="35">
        <v>999</v>
      </c>
      <c r="FZQ101">
        <v>125</v>
      </c>
      <c r="FZR101">
        <v>1</v>
      </c>
      <c r="FZU101">
        <v>1</v>
      </c>
      <c r="FZV101">
        <v>999</v>
      </c>
      <c r="FZW101">
        <v>999</v>
      </c>
      <c r="FZX101">
        <v>0</v>
      </c>
      <c r="FZY101" s="35">
        <v>999</v>
      </c>
    </row>
    <row r="102" spans="1:1022 1025:2046 2049:3070 3073:3942 4381:5104 5180:5345" x14ac:dyDescent="0.25">
      <c r="A102" s="50">
        <v>9038676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BC102">
        <v>25</v>
      </c>
      <c r="BD102">
        <v>48</v>
      </c>
      <c r="BE102">
        <v>81</v>
      </c>
      <c r="CM102">
        <v>2.5</v>
      </c>
      <c r="CN102">
        <v>1.6</v>
      </c>
      <c r="CO102">
        <v>1.2</v>
      </c>
      <c r="EG102">
        <v>37</v>
      </c>
      <c r="EH102">
        <v>35</v>
      </c>
      <c r="EI102">
        <v>23</v>
      </c>
      <c r="JQ102">
        <v>12.6</v>
      </c>
      <c r="NF102">
        <v>11.4</v>
      </c>
      <c r="QK102" s="50"/>
      <c r="QL102" s="50"/>
      <c r="QM102" s="50"/>
      <c r="QN102" s="50"/>
      <c r="QO102" s="50"/>
      <c r="QP102" s="50"/>
      <c r="QQ102" s="50"/>
      <c r="QR102" s="50"/>
      <c r="QS102" s="50"/>
      <c r="QT102" s="50">
        <v>78</v>
      </c>
      <c r="QU102" s="50"/>
      <c r="QV102" s="50"/>
      <c r="QW102" s="50"/>
      <c r="QX102" s="50"/>
      <c r="QY102" s="50"/>
      <c r="QZ102" s="50"/>
      <c r="RA102" s="50"/>
      <c r="RB102" s="50"/>
      <c r="RC102" s="50"/>
      <c r="RD102" s="50"/>
      <c r="RE102" s="50"/>
      <c r="RF102" s="50"/>
      <c r="RG102" s="50"/>
      <c r="RH102" s="50"/>
      <c r="RI102" s="50"/>
      <c r="RJ102" s="50"/>
      <c r="RK102" s="50"/>
      <c r="RL102" s="50"/>
      <c r="RM102" s="50"/>
      <c r="RN102" s="50"/>
      <c r="RO102" s="50"/>
      <c r="RP102" s="50"/>
      <c r="RQ102" s="50"/>
      <c r="RR102" s="50"/>
      <c r="RS102" s="50"/>
      <c r="RT102" s="50"/>
      <c r="RU102" s="50"/>
      <c r="RV102" s="50"/>
      <c r="RW102" s="50"/>
      <c r="RX102" s="50"/>
      <c r="RY102" s="50"/>
      <c r="RZ102" s="50"/>
      <c r="SA102" s="50"/>
      <c r="SB102" s="50"/>
      <c r="TM102" s="50"/>
      <c r="TN102" s="50"/>
      <c r="TO102" s="50"/>
      <c r="TP102" s="50"/>
      <c r="TQ102" s="50"/>
      <c r="TR102" s="50"/>
      <c r="TS102" s="50"/>
      <c r="TT102" s="50"/>
      <c r="TU102" s="50"/>
      <c r="TV102" s="50"/>
      <c r="TW102" s="50"/>
      <c r="TX102" s="50"/>
      <c r="TY102" s="50"/>
      <c r="TZ102" s="50"/>
      <c r="UA102" s="50"/>
      <c r="UB102" s="50"/>
      <c r="UC102" s="50"/>
      <c r="UD102" s="50"/>
      <c r="UE102" s="50"/>
      <c r="UF102" s="50"/>
      <c r="ZT102" s="3">
        <v>14.986000000000001</v>
      </c>
      <c r="ZV102" s="3">
        <v>13.374599999999999</v>
      </c>
      <c r="AJB102" s="50"/>
      <c r="AJC102" s="50"/>
      <c r="AJD102" s="50"/>
      <c r="AJE102" s="50"/>
      <c r="AJF102" s="50"/>
      <c r="AJG102" s="50"/>
      <c r="AJH102" s="50"/>
      <c r="AJI102" s="50"/>
      <c r="AJJ102" s="50"/>
      <c r="AJK102" s="50"/>
      <c r="AJL102" s="50"/>
      <c r="AJM102" s="50"/>
      <c r="AJN102" s="50"/>
      <c r="AJO102" s="50"/>
      <c r="AJP102" s="50"/>
      <c r="AJQ102" s="50"/>
      <c r="AJR102" s="50"/>
      <c r="AJS102" s="50"/>
      <c r="AJT102" s="50"/>
      <c r="AJU102" s="50"/>
      <c r="AJV102" s="50"/>
      <c r="AJW102" s="50"/>
      <c r="AJX102" s="50"/>
      <c r="AJY102" s="50"/>
      <c r="AJZ102" s="50"/>
      <c r="AKA102" s="50"/>
      <c r="AKB102" s="50"/>
      <c r="AKC102" s="50"/>
      <c r="AKD102" s="50"/>
      <c r="AKE102" s="50"/>
      <c r="AKF102" s="50">
        <v>0.79179999999999995</v>
      </c>
      <c r="AKG102" s="50"/>
      <c r="AKH102" s="50">
        <v>0.85970000000000002</v>
      </c>
      <c r="APA102" s="50"/>
      <c r="APB102" s="50"/>
      <c r="APC102" s="50"/>
      <c r="APD102" s="50"/>
      <c r="APE102" s="50"/>
      <c r="APF102" s="50"/>
      <c r="APG102" s="50"/>
      <c r="APH102" s="50"/>
      <c r="API102" s="50"/>
      <c r="APJ102" s="50"/>
      <c r="APK102" s="50"/>
      <c r="APL102" s="50"/>
      <c r="APM102" s="50"/>
      <c r="APN102" s="50"/>
      <c r="APO102" s="50"/>
      <c r="APP102" s="50"/>
      <c r="APQ102" s="50"/>
      <c r="APR102" s="50"/>
      <c r="APS102" s="50"/>
      <c r="APT102" s="50"/>
      <c r="APU102" s="50"/>
      <c r="APV102" s="50"/>
      <c r="APW102" s="50"/>
      <c r="APX102" s="50"/>
      <c r="APY102" s="50"/>
      <c r="APZ102" s="50"/>
      <c r="AQA102" s="50"/>
      <c r="AQB102" s="50"/>
      <c r="ARC102" s="50"/>
      <c r="ARD102" s="50"/>
      <c r="ARE102" s="50"/>
      <c r="ARF102" s="50"/>
      <c r="ARG102" s="50"/>
      <c r="ARH102" s="50"/>
      <c r="ARI102" s="50"/>
      <c r="ARJ102" s="50"/>
      <c r="ARK102" s="50"/>
      <c r="ARL102" s="50"/>
      <c r="ARM102" s="50"/>
      <c r="ARN102" s="50"/>
      <c r="ARO102" s="50"/>
      <c r="ARP102" s="50"/>
      <c r="ARQ102" s="50"/>
      <c r="ARR102" s="50"/>
      <c r="ARS102" s="50"/>
      <c r="ART102" s="50"/>
      <c r="ARU102" s="50"/>
      <c r="ARV102" s="50"/>
      <c r="ARW102" s="50"/>
      <c r="ARX102" s="50"/>
      <c r="ARY102" s="50"/>
      <c r="ARZ102" s="50"/>
      <c r="ASA102" s="50"/>
      <c r="ASB102" s="50"/>
      <c r="ASC102" s="50"/>
      <c r="ASD102" s="50"/>
      <c r="ASE102" s="50"/>
      <c r="ASF102" s="50"/>
      <c r="BAL102">
        <v>44.6</v>
      </c>
      <c r="BAN102">
        <v>39.9</v>
      </c>
      <c r="BFF102" s="50"/>
      <c r="BFG102" s="50"/>
      <c r="BFH102" s="50"/>
      <c r="BFI102" s="50"/>
      <c r="BFJ102" s="50"/>
      <c r="BGQ102">
        <v>140</v>
      </c>
      <c r="BGS102">
        <v>145</v>
      </c>
      <c r="BHW102">
        <v>3.7</v>
      </c>
      <c r="BHY102">
        <v>4.4000000000000004</v>
      </c>
      <c r="BYR102">
        <v>75</v>
      </c>
      <c r="BYS102">
        <v>1</v>
      </c>
      <c r="BYV102">
        <v>1</v>
      </c>
      <c r="BYY102">
        <v>999</v>
      </c>
      <c r="BYZ102">
        <v>999</v>
      </c>
      <c r="BZA102">
        <v>0</v>
      </c>
      <c r="BZB102" s="35">
        <v>999</v>
      </c>
      <c r="CBI102" s="50"/>
      <c r="CBJ102" s="50"/>
      <c r="CBK102" s="50"/>
      <c r="DHP102">
        <v>16</v>
      </c>
      <c r="DHQ102">
        <v>1</v>
      </c>
      <c r="DHT102">
        <v>1</v>
      </c>
      <c r="DNA102">
        <v>3</v>
      </c>
      <c r="DNB102">
        <v>2</v>
      </c>
      <c r="DNE102">
        <v>1</v>
      </c>
      <c r="DQY102">
        <v>0.05</v>
      </c>
      <c r="DQZ102">
        <v>1</v>
      </c>
      <c r="DRC102">
        <v>1</v>
      </c>
      <c r="DUC102">
        <v>200</v>
      </c>
      <c r="DUD102">
        <v>1</v>
      </c>
      <c r="DUG102">
        <v>1</v>
      </c>
      <c r="DUH102">
        <v>999</v>
      </c>
      <c r="DUI102">
        <v>999</v>
      </c>
      <c r="DUJ102">
        <v>0</v>
      </c>
      <c r="DUK102" s="35">
        <v>999</v>
      </c>
      <c r="DUM102">
        <v>120</v>
      </c>
      <c r="DUN102">
        <v>2</v>
      </c>
      <c r="DUQ102">
        <v>1</v>
      </c>
      <c r="DUR102">
        <v>999</v>
      </c>
      <c r="DUS102">
        <v>999</v>
      </c>
      <c r="DUT102">
        <v>0</v>
      </c>
      <c r="DUU102" s="35">
        <v>999</v>
      </c>
      <c r="DXG102">
        <v>1.5</v>
      </c>
      <c r="DXH102">
        <v>1</v>
      </c>
      <c r="DXK102">
        <v>1</v>
      </c>
      <c r="DXL102">
        <v>999</v>
      </c>
      <c r="DXM102">
        <v>999</v>
      </c>
      <c r="DXN102">
        <v>0</v>
      </c>
      <c r="DXO102">
        <v>0</v>
      </c>
      <c r="EMM102">
        <v>40</v>
      </c>
      <c r="EMN102">
        <v>1</v>
      </c>
      <c r="EMQ102">
        <v>1</v>
      </c>
      <c r="EMR102">
        <v>999</v>
      </c>
      <c r="EMS102">
        <v>999</v>
      </c>
      <c r="EMT102">
        <v>0</v>
      </c>
      <c r="EMU102" s="35">
        <v>999</v>
      </c>
      <c r="FYW102">
        <v>125</v>
      </c>
      <c r="FYX102">
        <v>1</v>
      </c>
    </row>
    <row r="103" spans="1:1022 1025:2046 2049:3070 3073:3942 4381:5104 5180:5345" x14ac:dyDescent="0.25">
      <c r="A103" s="50">
        <v>9039416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BF103">
        <v>122</v>
      </c>
      <c r="CP103">
        <v>0.9</v>
      </c>
      <c r="EJ103">
        <v>31</v>
      </c>
      <c r="FH103">
        <v>17.600000000000001</v>
      </c>
      <c r="HT103">
        <v>3300</v>
      </c>
      <c r="HU103">
        <v>3000</v>
      </c>
      <c r="IB103">
        <v>4300</v>
      </c>
      <c r="IM103">
        <v>9090</v>
      </c>
      <c r="JT103">
        <v>43.8</v>
      </c>
      <c r="NI103">
        <v>22.2</v>
      </c>
      <c r="QK103" s="50"/>
      <c r="QL103" s="50"/>
      <c r="QM103" s="50"/>
      <c r="QN103" s="50"/>
      <c r="QO103" s="50"/>
      <c r="QP103" s="50"/>
      <c r="QQ103" s="50"/>
      <c r="QR103" s="50"/>
      <c r="QS103" s="50"/>
      <c r="QT103" s="50"/>
      <c r="QU103" s="50"/>
      <c r="QV103" s="50"/>
      <c r="QW103" s="50">
        <v>87</v>
      </c>
      <c r="QX103" s="50"/>
      <c r="QY103" s="50"/>
      <c r="QZ103" s="50"/>
      <c r="RA103" s="50"/>
      <c r="RB103" s="50"/>
      <c r="RC103" s="50"/>
      <c r="RD103" s="50"/>
      <c r="RE103" s="50"/>
      <c r="RF103" s="50"/>
      <c r="RG103" s="50"/>
      <c r="RH103" s="50"/>
      <c r="RI103" s="50"/>
      <c r="RJ103" s="50"/>
      <c r="RK103" s="50"/>
      <c r="RL103" s="50"/>
      <c r="RM103" s="50"/>
      <c r="RN103" s="50"/>
      <c r="RO103" s="50"/>
      <c r="RP103" s="50"/>
      <c r="RQ103" s="50"/>
      <c r="RR103" s="50"/>
      <c r="RS103" s="50"/>
      <c r="RT103" s="50"/>
      <c r="RU103" s="50"/>
      <c r="RV103" s="50"/>
      <c r="RW103" s="50"/>
      <c r="RX103" s="50"/>
      <c r="RY103" s="50"/>
      <c r="RZ103" s="50"/>
      <c r="SA103" s="50"/>
      <c r="SB103" s="50"/>
      <c r="TM103" s="50"/>
      <c r="TN103" s="50"/>
      <c r="TO103" s="50"/>
      <c r="TP103" s="50"/>
      <c r="TQ103" s="50"/>
      <c r="TR103" s="50"/>
      <c r="TS103" s="50"/>
      <c r="TT103" s="50"/>
      <c r="TU103" s="50"/>
      <c r="TV103" s="50"/>
      <c r="TW103" s="50"/>
      <c r="TX103" s="50"/>
      <c r="TY103" s="50"/>
      <c r="TZ103" s="50"/>
      <c r="UA103" s="50"/>
      <c r="UB103" s="50"/>
      <c r="UC103" s="50"/>
      <c r="UD103" s="50"/>
      <c r="UE103" s="50"/>
      <c r="UF103" s="50"/>
      <c r="ZW103" s="3">
        <v>10.1518</v>
      </c>
      <c r="ZX103">
        <v>9.0237999999999996</v>
      </c>
      <c r="AAE103" s="3">
        <v>8.5404</v>
      </c>
      <c r="AAF103" s="3"/>
      <c r="AAO103" s="3">
        <v>9.8294999999999995</v>
      </c>
      <c r="ABE103">
        <v>0.27479999999999999</v>
      </c>
      <c r="AGX103">
        <v>138.6</v>
      </c>
      <c r="AJB103" s="50"/>
      <c r="AJC103" s="50"/>
      <c r="AJD103" s="50"/>
      <c r="AJE103" s="50"/>
      <c r="AJF103" s="50"/>
      <c r="AJG103" s="50"/>
      <c r="AJH103" s="50"/>
      <c r="AJI103" s="50"/>
      <c r="AJJ103" s="50"/>
      <c r="AJK103" s="50"/>
      <c r="AJL103" s="50"/>
      <c r="AJM103" s="50"/>
      <c r="AJN103" s="50"/>
      <c r="AJO103" s="50"/>
      <c r="AJP103" s="50"/>
      <c r="AJQ103" s="50"/>
      <c r="AJR103" s="50"/>
      <c r="AJS103" s="50"/>
      <c r="AJT103" s="50"/>
      <c r="AJU103" s="50"/>
      <c r="AJV103" s="50"/>
      <c r="AJW103" s="50"/>
      <c r="AJX103" s="50"/>
      <c r="AJY103" s="50"/>
      <c r="AJZ103" s="50"/>
      <c r="AKA103" s="50"/>
      <c r="AKB103" s="50"/>
      <c r="AKC103" s="50"/>
      <c r="AKD103" s="50"/>
      <c r="AKE103" s="50"/>
      <c r="AKF103" s="50"/>
      <c r="AKG103" s="50"/>
      <c r="AKH103" s="50"/>
      <c r="AKI103" s="3">
        <v>1.3008999999999999</v>
      </c>
      <c r="ALT103">
        <v>39.6</v>
      </c>
      <c r="AMR103">
        <v>21.6</v>
      </c>
      <c r="AOB103">
        <v>136</v>
      </c>
      <c r="AOC103">
        <v>111</v>
      </c>
      <c r="AOE103">
        <v>42.9</v>
      </c>
      <c r="APA103" s="50"/>
      <c r="APB103" s="50"/>
      <c r="APC103" s="50"/>
      <c r="APD103" s="50"/>
      <c r="APE103" s="50"/>
      <c r="APF103" s="50"/>
      <c r="APG103" s="50"/>
      <c r="APH103" s="50"/>
      <c r="API103" s="50"/>
      <c r="APJ103" s="50"/>
      <c r="APK103" s="50"/>
      <c r="APL103" s="50"/>
      <c r="APM103" s="50"/>
      <c r="APN103" s="50"/>
      <c r="APO103" s="50"/>
      <c r="APP103" s="50"/>
      <c r="APQ103" s="50"/>
      <c r="APR103" s="50"/>
      <c r="APS103" s="50"/>
      <c r="APT103" s="50"/>
      <c r="APU103" s="50"/>
      <c r="APV103" s="50"/>
      <c r="APW103" s="50"/>
      <c r="APX103" s="50"/>
      <c r="APY103" s="50"/>
      <c r="APZ103" s="50"/>
      <c r="AQA103" s="50"/>
      <c r="AQB103" s="50"/>
      <c r="ARC103" s="50"/>
      <c r="ARD103" s="50"/>
      <c r="ARE103" s="50"/>
      <c r="ARF103" s="50"/>
      <c r="ARG103" s="50"/>
      <c r="ARH103" s="50"/>
      <c r="ARI103" s="50"/>
      <c r="ARJ103" s="50"/>
      <c r="ARK103" s="50"/>
      <c r="ARL103" s="50"/>
      <c r="ARM103" s="50"/>
      <c r="ARN103" s="50"/>
      <c r="ARO103" s="50">
        <v>3360000</v>
      </c>
      <c r="ARP103" s="50"/>
      <c r="ARQ103" s="50"/>
      <c r="ARR103" s="50"/>
      <c r="ARS103" s="50"/>
      <c r="ART103" s="50"/>
      <c r="ARU103" s="50"/>
      <c r="ARV103" s="50"/>
      <c r="ARW103" s="50"/>
      <c r="ARX103" s="50"/>
      <c r="ARY103" s="50"/>
      <c r="ARZ103" s="50"/>
      <c r="ASA103" s="50"/>
      <c r="ASB103" s="50"/>
      <c r="ASC103" s="50"/>
      <c r="ASD103" s="50"/>
      <c r="ASE103" s="50"/>
      <c r="ASF103" s="50"/>
      <c r="ASY103">
        <v>216000</v>
      </c>
      <c r="ASZ103">
        <v>207000</v>
      </c>
      <c r="ATG103">
        <v>339000</v>
      </c>
      <c r="ATR103">
        <v>414000</v>
      </c>
      <c r="BAO103">
        <v>30</v>
      </c>
      <c r="BAP103">
        <v>28</v>
      </c>
      <c r="BAW103">
        <v>27</v>
      </c>
      <c r="BBG103">
        <v>31</v>
      </c>
      <c r="BCH103">
        <v>91.4</v>
      </c>
      <c r="BDN103">
        <v>30.213750000000001</v>
      </c>
      <c r="BEQ103" s="3">
        <v>33.033700000000003</v>
      </c>
      <c r="BER103" s="3"/>
      <c r="BES103" s="3"/>
      <c r="BET103" s="3"/>
      <c r="BEU103" s="3"/>
      <c r="BEV103" s="3"/>
      <c r="BEW103" s="3"/>
      <c r="BEX103" s="3"/>
      <c r="BEY103" s="3"/>
      <c r="BFF103" s="50"/>
      <c r="BFG103" s="50"/>
      <c r="BFH103" s="50"/>
      <c r="BFI103" s="50"/>
      <c r="BFJ103" s="50"/>
      <c r="BGU103">
        <v>128</v>
      </c>
      <c r="BGV103">
        <v>132</v>
      </c>
      <c r="BIA103">
        <v>5.0999999999999996</v>
      </c>
      <c r="BIB103">
        <v>4.7</v>
      </c>
      <c r="BJE103">
        <v>2.1</v>
      </c>
      <c r="BYR103">
        <v>75</v>
      </c>
      <c r="BYS103">
        <v>1</v>
      </c>
      <c r="BYV103">
        <v>1</v>
      </c>
      <c r="BYY103">
        <v>30</v>
      </c>
      <c r="BYZ103">
        <v>30</v>
      </c>
      <c r="BZA103">
        <v>0</v>
      </c>
      <c r="BZB103">
        <v>3</v>
      </c>
      <c r="CBI103" s="50">
        <v>500</v>
      </c>
      <c r="CBJ103" s="50">
        <v>3</v>
      </c>
      <c r="CBK103" s="50"/>
      <c r="CBM103">
        <v>1</v>
      </c>
      <c r="CBN103" s="35">
        <v>999</v>
      </c>
      <c r="CBO103">
        <v>30</v>
      </c>
      <c r="CBP103">
        <v>1</v>
      </c>
      <c r="CBQ103">
        <v>999</v>
      </c>
      <c r="CIM103" t="s">
        <v>1034</v>
      </c>
      <c r="CIN103">
        <v>0.33329999999999999</v>
      </c>
      <c r="CIQ103">
        <v>1</v>
      </c>
      <c r="DGL103">
        <v>10</v>
      </c>
      <c r="DGM103">
        <v>1</v>
      </c>
      <c r="DGP103">
        <v>1</v>
      </c>
      <c r="DGQ103" s="35">
        <v>999</v>
      </c>
      <c r="DGR103">
        <v>999</v>
      </c>
      <c r="DGS103">
        <v>0</v>
      </c>
      <c r="DGT103">
        <v>999</v>
      </c>
      <c r="DXQ103">
        <v>3000</v>
      </c>
      <c r="DXR103">
        <v>1</v>
      </c>
      <c r="DXU103">
        <v>1</v>
      </c>
      <c r="DXW103">
        <v>30</v>
      </c>
      <c r="DXX103">
        <v>30</v>
      </c>
      <c r="DXY103">
        <v>0</v>
      </c>
      <c r="DXZ103">
        <v>3</v>
      </c>
      <c r="DZU103">
        <v>75</v>
      </c>
      <c r="DZV103">
        <v>1</v>
      </c>
      <c r="DZY103">
        <v>1</v>
      </c>
      <c r="DZZ103">
        <v>214</v>
      </c>
      <c r="EAA103">
        <v>183</v>
      </c>
      <c r="EAB103">
        <v>0</v>
      </c>
      <c r="EAC103">
        <v>1</v>
      </c>
      <c r="EMC103">
        <v>40</v>
      </c>
      <c r="EMD103">
        <v>1</v>
      </c>
      <c r="EMG103">
        <v>1</v>
      </c>
      <c r="EMH103" s="35">
        <v>999</v>
      </c>
      <c r="EMI103">
        <v>30</v>
      </c>
      <c r="EMJ103">
        <v>0</v>
      </c>
      <c r="EMK103">
        <v>999</v>
      </c>
      <c r="FLM103">
        <v>25</v>
      </c>
      <c r="FLN103">
        <v>1</v>
      </c>
      <c r="FLQ103">
        <v>1</v>
      </c>
      <c r="FLR103">
        <v>999</v>
      </c>
      <c r="FLS103">
        <v>183</v>
      </c>
      <c r="FLT103">
        <v>0</v>
      </c>
      <c r="FLU103" s="35">
        <v>999</v>
      </c>
      <c r="FRR103">
        <v>10</v>
      </c>
      <c r="FRS103">
        <v>1</v>
      </c>
      <c r="FRV103">
        <v>1</v>
      </c>
      <c r="FRW103" s="35">
        <v>999</v>
      </c>
      <c r="FRX103">
        <v>183</v>
      </c>
      <c r="FRY103">
        <v>0</v>
      </c>
      <c r="FRZ103">
        <v>999</v>
      </c>
      <c r="GMZ103">
        <v>50</v>
      </c>
      <c r="GNA103">
        <v>1</v>
      </c>
      <c r="GND103">
        <v>1</v>
      </c>
      <c r="GNE103">
        <v>70</v>
      </c>
      <c r="GNF103">
        <v>66</v>
      </c>
      <c r="GNG103">
        <v>0</v>
      </c>
      <c r="GNH103">
        <v>3</v>
      </c>
      <c r="GUF103">
        <v>20000</v>
      </c>
      <c r="GUG103">
        <v>1</v>
      </c>
      <c r="GUJ103">
        <v>1</v>
      </c>
      <c r="GUK103">
        <v>30</v>
      </c>
      <c r="GUL103">
        <v>30</v>
      </c>
      <c r="GUM103">
        <v>0</v>
      </c>
      <c r="GUN103">
        <v>1</v>
      </c>
    </row>
    <row r="104" spans="1:1022 1025:2046 2049:3070 3073:3942 4381:5104 5180:5345" x14ac:dyDescent="0.25">
      <c r="A104" s="50">
        <v>9042861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BF104">
        <v>64</v>
      </c>
      <c r="BR104">
        <v>80</v>
      </c>
      <c r="BS104">
        <v>99</v>
      </c>
      <c r="KG104">
        <v>37.200000000000003</v>
      </c>
      <c r="KJ104">
        <v>13.8</v>
      </c>
      <c r="NV104">
        <v>52.2</v>
      </c>
      <c r="NY104">
        <v>43.2</v>
      </c>
      <c r="QK104" s="50"/>
      <c r="QL104" s="50"/>
      <c r="QM104" s="50"/>
      <c r="QN104" s="50"/>
      <c r="QO104" s="50"/>
      <c r="QP104" s="50"/>
      <c r="QQ104" s="50"/>
      <c r="QR104" s="50"/>
      <c r="QS104" s="50"/>
      <c r="QT104" s="50"/>
      <c r="QU104" s="50"/>
      <c r="QV104" s="50"/>
      <c r="QW104" s="50"/>
      <c r="QX104" s="50"/>
      <c r="QY104" s="50"/>
      <c r="QZ104" s="50"/>
      <c r="RA104" s="50"/>
      <c r="RB104" s="50"/>
      <c r="RC104" s="50"/>
      <c r="RD104" s="50"/>
      <c r="RE104" s="50"/>
      <c r="RF104" s="50"/>
      <c r="RG104" s="50"/>
      <c r="RH104" s="50"/>
      <c r="RI104" s="50"/>
      <c r="RJ104" s="50">
        <v>123</v>
      </c>
      <c r="RK104" s="50"/>
      <c r="RL104" s="50"/>
      <c r="RM104" s="50">
        <v>105.6</v>
      </c>
      <c r="RN104" s="50"/>
      <c r="RO104" s="50"/>
      <c r="RP104" s="50"/>
      <c r="RQ104" s="50"/>
      <c r="RR104" s="50"/>
      <c r="RS104" s="50"/>
      <c r="RT104" s="50"/>
      <c r="RU104" s="50"/>
      <c r="RV104" s="50"/>
      <c r="RW104" s="50"/>
      <c r="RX104" s="50"/>
      <c r="RY104" s="50"/>
      <c r="RZ104" s="50"/>
      <c r="SA104" s="50"/>
      <c r="SB104" s="50"/>
      <c r="TM104" s="50"/>
      <c r="TN104" s="50"/>
      <c r="TO104" s="50"/>
      <c r="TP104" s="50"/>
      <c r="TQ104" s="50"/>
      <c r="TR104" s="50"/>
      <c r="TS104" s="50"/>
      <c r="TT104" s="50"/>
      <c r="TU104" s="50"/>
      <c r="TV104" s="50"/>
      <c r="TW104" s="50"/>
      <c r="TX104" s="50"/>
      <c r="TY104" s="50"/>
      <c r="TZ104" s="50"/>
      <c r="UA104" s="50"/>
      <c r="UB104" s="50"/>
      <c r="UC104" s="50"/>
      <c r="UD104" s="50"/>
      <c r="UE104" s="50"/>
      <c r="UF104" s="50"/>
      <c r="ACW104" s="3">
        <v>1.4032</v>
      </c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JB104" s="50"/>
      <c r="AJC104" s="50"/>
      <c r="AJD104" s="50"/>
      <c r="AJE104" s="50"/>
      <c r="AJF104" s="50"/>
      <c r="AJG104" s="50"/>
      <c r="AJH104" s="50"/>
      <c r="AJI104" s="50"/>
      <c r="AJJ104" s="50"/>
      <c r="AJK104" s="50"/>
      <c r="AJL104" s="50"/>
      <c r="AJM104" s="50"/>
      <c r="AJN104" s="50"/>
      <c r="AJO104" s="50"/>
      <c r="AJP104" s="50"/>
      <c r="AJQ104" s="50"/>
      <c r="AJR104" s="50"/>
      <c r="AJS104" s="50"/>
      <c r="AJT104" s="50"/>
      <c r="AJU104" s="50"/>
      <c r="AJV104" s="50"/>
      <c r="AJW104" s="50"/>
      <c r="AJX104" s="50"/>
      <c r="AJY104" s="50"/>
      <c r="AJZ104" s="50"/>
      <c r="AKA104" s="50"/>
      <c r="AKB104" s="50"/>
      <c r="AKC104" s="50"/>
      <c r="AKD104" s="50"/>
      <c r="AKE104" s="50"/>
      <c r="AKF104" s="50"/>
      <c r="AKG104" s="50"/>
      <c r="AKH104" s="50"/>
      <c r="AKU104">
        <v>0.8145</v>
      </c>
      <c r="AOB104">
        <v>192</v>
      </c>
      <c r="AOO104">
        <v>3.3</v>
      </c>
      <c r="AOQ104">
        <v>2</v>
      </c>
      <c r="APA104" s="50"/>
      <c r="APB104" s="50"/>
      <c r="APC104" s="50"/>
      <c r="APD104" s="50"/>
      <c r="APE104" s="50"/>
      <c r="APF104" s="50"/>
      <c r="APG104" s="50"/>
      <c r="APH104" s="50"/>
      <c r="API104" s="50"/>
      <c r="APJ104" s="50"/>
      <c r="APK104" s="50"/>
      <c r="APL104" s="50"/>
      <c r="APM104" s="50"/>
      <c r="APN104" s="50"/>
      <c r="APO104" s="50"/>
      <c r="APP104" s="50"/>
      <c r="APQ104" s="50"/>
      <c r="APR104" s="50"/>
      <c r="APS104" s="50"/>
      <c r="APT104" s="50"/>
      <c r="APU104" s="50"/>
      <c r="APV104" s="50"/>
      <c r="APW104" s="50"/>
      <c r="APX104" s="50"/>
      <c r="APY104" s="50"/>
      <c r="APZ104" s="50"/>
      <c r="AQA104" s="50"/>
      <c r="AQB104" s="50"/>
      <c r="ARC104" s="50"/>
      <c r="ARD104" s="50"/>
      <c r="ARE104" s="50"/>
      <c r="ARF104" s="50"/>
      <c r="ARG104" s="50"/>
      <c r="ARH104" s="50"/>
      <c r="ARI104" s="50"/>
      <c r="ARJ104" s="50"/>
      <c r="ARK104" s="50"/>
      <c r="ARL104" s="50"/>
      <c r="ARM104" s="50"/>
      <c r="ARN104" s="50"/>
      <c r="ARO104" s="50"/>
      <c r="ARP104" s="50"/>
      <c r="ARQ104" s="50"/>
      <c r="ARR104" s="50"/>
      <c r="ARS104" s="50"/>
      <c r="ART104" s="50"/>
      <c r="ARU104" s="50"/>
      <c r="ARV104" s="50"/>
      <c r="ARW104" s="50"/>
      <c r="ARX104" s="50"/>
      <c r="ARY104" s="50"/>
      <c r="ARZ104" s="50"/>
      <c r="ASA104" s="50"/>
      <c r="ASB104" s="50"/>
      <c r="ASC104" s="50"/>
      <c r="ASD104" s="50"/>
      <c r="ASE104" s="50"/>
      <c r="ASF104" s="50"/>
      <c r="AXQ104">
        <v>60</v>
      </c>
      <c r="BFF104" s="50"/>
      <c r="BFG104" s="50"/>
      <c r="BFH104" s="50"/>
      <c r="BFI104" s="50"/>
      <c r="BFJ104" s="50"/>
      <c r="BYR104">
        <v>100</v>
      </c>
      <c r="BYS104">
        <v>1</v>
      </c>
      <c r="BYW104">
        <v>1</v>
      </c>
      <c r="BYY104">
        <v>12</v>
      </c>
      <c r="BYZ104">
        <v>8</v>
      </c>
      <c r="BZA104">
        <v>0</v>
      </c>
      <c r="BZB104">
        <v>3</v>
      </c>
      <c r="BZE104">
        <v>400</v>
      </c>
      <c r="BZF104">
        <v>1</v>
      </c>
      <c r="BZI104">
        <v>1</v>
      </c>
      <c r="BZK104">
        <v>10</v>
      </c>
      <c r="BZL104">
        <v>17</v>
      </c>
      <c r="BZM104">
        <v>8</v>
      </c>
      <c r="BZN104">
        <v>0</v>
      </c>
      <c r="CBI104" s="50"/>
      <c r="CBJ104" s="50"/>
      <c r="CBK104" s="50"/>
      <c r="CHS104">
        <v>30</v>
      </c>
      <c r="CHT104">
        <v>1</v>
      </c>
      <c r="CHW104">
        <v>1</v>
      </c>
      <c r="CHX104">
        <v>12</v>
      </c>
      <c r="CHY104">
        <v>8</v>
      </c>
      <c r="CHZ104">
        <v>0</v>
      </c>
      <c r="CIA104">
        <v>3</v>
      </c>
      <c r="EAP104">
        <v>40</v>
      </c>
      <c r="EAQ104">
        <v>1</v>
      </c>
      <c r="EAT104">
        <v>1</v>
      </c>
      <c r="EAV104" s="35">
        <v>999</v>
      </c>
      <c r="EAW104">
        <v>17</v>
      </c>
      <c r="EAX104">
        <v>0</v>
      </c>
      <c r="EAY104">
        <v>999</v>
      </c>
      <c r="EMC104">
        <v>40</v>
      </c>
      <c r="EMD104">
        <v>1</v>
      </c>
      <c r="EMG104">
        <v>1</v>
      </c>
      <c r="EMH104">
        <v>21</v>
      </c>
      <c r="EMI104">
        <v>17</v>
      </c>
      <c r="EMJ104">
        <v>0</v>
      </c>
      <c r="EMK104">
        <v>3</v>
      </c>
    </row>
    <row r="105" spans="1:1022 1025:2046 2049:3070 3073:3942 4381:5104 5180:5345" x14ac:dyDescent="0.25">
      <c r="A105" s="50">
        <v>9044899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DW105">
        <v>30</v>
      </c>
      <c r="HH105">
        <v>9400</v>
      </c>
      <c r="HO105">
        <v>7100</v>
      </c>
      <c r="HQ105">
        <v>8400</v>
      </c>
      <c r="HS105">
        <v>8000</v>
      </c>
      <c r="HY105">
        <v>8200</v>
      </c>
      <c r="JS105">
        <v>36</v>
      </c>
      <c r="JV105">
        <v>21</v>
      </c>
      <c r="JY105">
        <v>21</v>
      </c>
      <c r="NF105">
        <v>45</v>
      </c>
      <c r="NH105">
        <v>77</v>
      </c>
      <c r="NK105">
        <v>49</v>
      </c>
      <c r="NN105">
        <v>42</v>
      </c>
      <c r="QK105" s="50">
        <v>365</v>
      </c>
      <c r="QL105" s="50"/>
      <c r="QM105" s="50"/>
      <c r="QN105" s="50"/>
      <c r="QO105" s="50"/>
      <c r="QP105" s="50"/>
      <c r="QQ105" s="50"/>
      <c r="QR105" s="50">
        <v>235</v>
      </c>
      <c r="QS105" s="50"/>
      <c r="QT105" s="50">
        <v>327</v>
      </c>
      <c r="QU105" s="50"/>
      <c r="QV105" s="50">
        <v>362</v>
      </c>
      <c r="QW105" s="50"/>
      <c r="QX105" s="50"/>
      <c r="QY105" s="50">
        <v>318</v>
      </c>
      <c r="QZ105" s="50"/>
      <c r="RA105" s="50"/>
      <c r="RB105" s="50">
        <v>288</v>
      </c>
      <c r="RC105" s="50"/>
      <c r="RD105" s="50"/>
      <c r="RE105" s="50"/>
      <c r="RF105" s="50"/>
      <c r="RG105" s="50"/>
      <c r="RH105" s="50"/>
      <c r="RI105" s="50"/>
      <c r="RJ105" s="50"/>
      <c r="RK105" s="50"/>
      <c r="RL105" s="50"/>
      <c r="RM105" s="50"/>
      <c r="RN105" s="50"/>
      <c r="RO105" s="50"/>
      <c r="RP105" s="50"/>
      <c r="RQ105" s="50"/>
      <c r="RR105" s="50"/>
      <c r="RS105" s="50"/>
      <c r="RT105" s="50"/>
      <c r="RU105" s="50"/>
      <c r="RV105" s="50"/>
      <c r="RW105" s="50"/>
      <c r="RX105" s="50"/>
      <c r="RY105" s="50"/>
      <c r="RZ105" s="50"/>
      <c r="SA105" s="50"/>
      <c r="SB105" s="50"/>
      <c r="TM105" s="50"/>
      <c r="TN105" s="50"/>
      <c r="TO105" s="50"/>
      <c r="TP105" s="50"/>
      <c r="TQ105" s="50"/>
      <c r="TR105" s="50"/>
      <c r="TS105" s="50"/>
      <c r="TT105" s="50"/>
      <c r="TU105" s="50"/>
      <c r="TV105" s="50"/>
      <c r="TW105" s="50"/>
      <c r="TX105" s="50"/>
      <c r="TY105" s="50"/>
      <c r="TZ105" s="50"/>
      <c r="UA105" s="50"/>
      <c r="UB105" s="50"/>
      <c r="UC105" s="50"/>
      <c r="UD105" s="50"/>
      <c r="UE105" s="50"/>
      <c r="UF105" s="50"/>
      <c r="ZL105">
        <v>11.9</v>
      </c>
      <c r="ZR105">
        <v>10.8</v>
      </c>
      <c r="ZT105">
        <v>12.6</v>
      </c>
      <c r="ZV105">
        <v>12.5</v>
      </c>
      <c r="AAB105">
        <v>12.7</v>
      </c>
      <c r="ACG105">
        <v>0.43</v>
      </c>
      <c r="AFZ105">
        <v>122</v>
      </c>
      <c r="AGU105">
        <v>208</v>
      </c>
      <c r="AGW105">
        <v>225</v>
      </c>
      <c r="AGZ105">
        <v>189</v>
      </c>
      <c r="AHC105">
        <v>179</v>
      </c>
      <c r="AJB105" s="50"/>
      <c r="AJC105" s="50"/>
      <c r="AJD105" s="50"/>
      <c r="AJE105" s="50"/>
      <c r="AJF105" s="50"/>
      <c r="AJG105" s="50"/>
      <c r="AJH105" s="50"/>
      <c r="AJI105" s="50"/>
      <c r="AJJ105" s="50"/>
      <c r="AJK105" s="50"/>
      <c r="AJL105" s="50"/>
      <c r="AJM105" s="50"/>
      <c r="AJN105" s="50"/>
      <c r="AJO105" s="50"/>
      <c r="AJP105" s="50"/>
      <c r="AJQ105" s="50"/>
      <c r="AJR105" s="50"/>
      <c r="AJS105" s="50"/>
      <c r="AJT105" s="50"/>
      <c r="AJU105" s="50"/>
      <c r="AJV105" s="50"/>
      <c r="AJW105" s="50">
        <v>0.9</v>
      </c>
      <c r="AJX105" s="50"/>
      <c r="AJY105" s="50"/>
      <c r="AJZ105" s="50"/>
      <c r="AKA105" s="50"/>
      <c r="AKB105" s="50"/>
      <c r="AKC105" s="50"/>
      <c r="AKD105" s="50"/>
      <c r="AKE105" s="50"/>
      <c r="AKF105" s="50"/>
      <c r="AKG105" s="50"/>
      <c r="AKH105" s="50"/>
      <c r="ANX105" s="50"/>
      <c r="ANY105" s="50"/>
      <c r="ANZ105" s="50"/>
      <c r="AOA105" s="50"/>
      <c r="AOB105" s="50"/>
      <c r="AOC105" s="50"/>
      <c r="AOD105" s="50"/>
      <c r="AOE105" s="50"/>
      <c r="AOF105" s="50"/>
      <c r="AOG105" s="50"/>
      <c r="AOH105" s="50"/>
      <c r="AOI105" s="50"/>
      <c r="AOJ105" s="50"/>
      <c r="AOK105" s="50"/>
      <c r="AOL105" s="50"/>
      <c r="AOM105" s="50"/>
      <c r="AON105" s="50"/>
      <c r="AOO105" s="50"/>
      <c r="AOP105" s="50"/>
      <c r="AOQ105" s="50"/>
      <c r="AOR105" s="50"/>
      <c r="AOS105" s="50"/>
      <c r="AOT105" s="50"/>
      <c r="AOU105" s="50"/>
      <c r="AOV105" s="50"/>
      <c r="AOW105" s="50"/>
      <c r="AOX105" s="50"/>
      <c r="AOY105" s="50"/>
      <c r="AOZ105" s="50"/>
      <c r="APA105" s="50"/>
      <c r="APB105" s="50"/>
      <c r="APC105" s="50"/>
      <c r="APD105" s="50"/>
      <c r="APE105" s="50"/>
      <c r="APF105" s="50"/>
      <c r="APG105" s="50"/>
      <c r="APH105" s="50"/>
      <c r="API105" s="50"/>
      <c r="APJ105" s="50"/>
      <c r="APK105" s="50"/>
      <c r="APL105" s="50"/>
      <c r="APM105" s="50"/>
      <c r="APN105" s="50"/>
      <c r="APO105" s="50"/>
      <c r="APP105" s="50"/>
      <c r="APQ105" s="50"/>
      <c r="APR105" s="50"/>
      <c r="APS105" s="50"/>
      <c r="APT105" s="50"/>
      <c r="APU105" s="50"/>
      <c r="APV105" s="50"/>
      <c r="APW105" s="50"/>
      <c r="APX105" s="50"/>
      <c r="APY105" s="50"/>
      <c r="APZ105" s="50"/>
      <c r="AQA105" s="50"/>
      <c r="AQB105" s="50"/>
      <c r="ARC105" s="59">
        <v>44000000000</v>
      </c>
      <c r="ARD105" s="50"/>
      <c r="ARE105" s="50"/>
      <c r="ARF105" s="50"/>
      <c r="ARG105" s="50"/>
      <c r="ARH105" s="50"/>
      <c r="ARI105" s="50">
        <v>4000000</v>
      </c>
      <c r="ARJ105" s="50"/>
      <c r="ARK105" s="50">
        <v>4800000</v>
      </c>
      <c r="ARL105" s="50"/>
      <c r="ARM105" s="60">
        <v>4600000</v>
      </c>
      <c r="ARN105" s="50"/>
      <c r="ARO105" s="50"/>
      <c r="ARP105" s="50"/>
      <c r="ARQ105" s="50"/>
      <c r="ARR105" s="50"/>
      <c r="ARS105" s="50">
        <v>4700000</v>
      </c>
      <c r="ART105" s="50"/>
      <c r="ARU105" s="50"/>
      <c r="ARV105" s="50"/>
      <c r="ARW105" s="50"/>
      <c r="ARX105" s="50"/>
      <c r="ARY105" s="50"/>
      <c r="ARZ105" s="50"/>
      <c r="ASA105" s="50"/>
      <c r="ASB105" s="50"/>
      <c r="ASC105" s="50"/>
      <c r="ASD105" s="50"/>
      <c r="ASE105" s="50"/>
      <c r="ASF105" s="50"/>
      <c r="ASN105">
        <v>465000</v>
      </c>
      <c r="AST105">
        <v>360000</v>
      </c>
      <c r="ASV105">
        <v>483000</v>
      </c>
      <c r="ASX105">
        <v>409000</v>
      </c>
      <c r="ATD105">
        <v>332000</v>
      </c>
      <c r="BAD105">
        <v>39</v>
      </c>
      <c r="BAJ105">
        <v>36</v>
      </c>
      <c r="BAL105">
        <v>42</v>
      </c>
      <c r="BAN105">
        <v>40</v>
      </c>
      <c r="BAT105">
        <v>42</v>
      </c>
      <c r="BFF105" s="50"/>
      <c r="BFG105" s="50"/>
      <c r="BFH105" s="50"/>
      <c r="BFI105" s="50"/>
      <c r="BFJ105" s="50"/>
      <c r="BYR105">
        <v>150</v>
      </c>
      <c r="BYS105">
        <v>1</v>
      </c>
      <c r="BYY105">
        <v>20</v>
      </c>
      <c r="BYZ105">
        <v>22</v>
      </c>
      <c r="BZA105">
        <v>3</v>
      </c>
      <c r="BZB105">
        <v>0</v>
      </c>
      <c r="CBI105" s="50"/>
      <c r="CBJ105" s="50">
        <v>1</v>
      </c>
      <c r="CBK105" s="50"/>
      <c r="CBN105">
        <v>20</v>
      </c>
      <c r="CBO105">
        <v>22</v>
      </c>
      <c r="CBP105">
        <v>3</v>
      </c>
      <c r="CBQ105">
        <v>0</v>
      </c>
      <c r="CGX105">
        <v>30</v>
      </c>
      <c r="CGY105">
        <v>1</v>
      </c>
      <c r="DZI105">
        <v>1</v>
      </c>
      <c r="EAE105">
        <v>10</v>
      </c>
      <c r="EAF105">
        <v>1</v>
      </c>
      <c r="EAI105">
        <v>1</v>
      </c>
      <c r="EAJ105">
        <v>22</v>
      </c>
      <c r="EAK105">
        <v>22</v>
      </c>
      <c r="EAL105">
        <v>1</v>
      </c>
      <c r="EAM105">
        <v>0</v>
      </c>
      <c r="EMC105">
        <v>40</v>
      </c>
      <c r="EMD105">
        <v>1</v>
      </c>
      <c r="EMH105">
        <v>20</v>
      </c>
      <c r="EMI105">
        <v>22</v>
      </c>
      <c r="EMJ105">
        <v>3</v>
      </c>
      <c r="EMK105">
        <v>0</v>
      </c>
      <c r="GAV105">
        <v>150</v>
      </c>
      <c r="GAW105">
        <v>1</v>
      </c>
      <c r="GBA105">
        <v>20</v>
      </c>
      <c r="GBB105">
        <v>22</v>
      </c>
      <c r="GBC105">
        <v>3</v>
      </c>
    </row>
    <row r="106" spans="1:1022 1025:2046 2049:3070 3073:3942 4381:5104 5180:5345" x14ac:dyDescent="0.25">
      <c r="A106" s="50">
        <v>9052398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BC106">
        <v>65</v>
      </c>
      <c r="CM106">
        <v>1.26</v>
      </c>
      <c r="HQ106">
        <v>9100</v>
      </c>
      <c r="JQ106">
        <v>97.2</v>
      </c>
      <c r="JS106">
        <v>70.2</v>
      </c>
      <c r="NF106" s="3">
        <v>144.6</v>
      </c>
      <c r="NH106">
        <v>116.4</v>
      </c>
      <c r="QK106" s="50"/>
      <c r="QL106" s="50"/>
      <c r="QM106" s="50"/>
      <c r="QN106" s="50"/>
      <c r="QO106" s="50"/>
      <c r="QP106" s="50"/>
      <c r="QQ106" s="50"/>
      <c r="QR106" s="50"/>
      <c r="QS106" s="50"/>
      <c r="QT106" s="50">
        <v>1198.2</v>
      </c>
      <c r="QU106" s="50"/>
      <c r="QV106" s="50">
        <v>1001.4</v>
      </c>
      <c r="QW106" s="50"/>
      <c r="QX106" s="50"/>
      <c r="QY106" s="50"/>
      <c r="QZ106" s="50"/>
      <c r="RA106" s="50"/>
      <c r="RB106" s="50"/>
      <c r="RC106" s="50"/>
      <c r="RD106" s="50"/>
      <c r="RE106" s="50"/>
      <c r="RF106" s="50"/>
      <c r="RG106" s="50"/>
      <c r="RH106" s="50"/>
      <c r="RI106" s="50"/>
      <c r="RJ106" s="50"/>
      <c r="RK106" s="50"/>
      <c r="RL106" s="50"/>
      <c r="RM106" s="50"/>
      <c r="RN106" s="50"/>
      <c r="RO106" s="50"/>
      <c r="RP106" s="50"/>
      <c r="RQ106" s="50"/>
      <c r="RR106" s="50"/>
      <c r="RS106" s="50"/>
      <c r="RT106" s="50"/>
      <c r="RU106" s="50"/>
      <c r="RV106" s="50"/>
      <c r="RW106" s="50"/>
      <c r="RX106" s="50"/>
      <c r="RY106" s="50"/>
      <c r="RZ106" s="50"/>
      <c r="SA106" s="50"/>
      <c r="SB106" s="50"/>
      <c r="TM106" s="50"/>
      <c r="TN106" s="50"/>
      <c r="TO106" s="50"/>
      <c r="TP106" s="50"/>
      <c r="TQ106" s="50"/>
      <c r="TR106" s="50"/>
      <c r="TS106" s="50"/>
      <c r="TT106" s="50"/>
      <c r="TU106" s="50"/>
      <c r="TV106" s="50"/>
      <c r="TW106" s="50"/>
      <c r="TX106" s="50"/>
      <c r="TY106" s="50"/>
      <c r="TZ106" s="50"/>
      <c r="UA106" s="50"/>
      <c r="UB106" s="50"/>
      <c r="UC106" s="50"/>
      <c r="UD106" s="50"/>
      <c r="UE106" s="50"/>
      <c r="UF106" s="50"/>
      <c r="ZT106" s="3">
        <v>12.1983</v>
      </c>
      <c r="AGU106" s="3">
        <v>483</v>
      </c>
      <c r="AGW106">
        <v>436.8</v>
      </c>
      <c r="AJB106" s="50"/>
      <c r="AJC106" s="50"/>
      <c r="AJD106" s="50"/>
      <c r="AJE106" s="50"/>
      <c r="AJF106" s="50"/>
      <c r="AJG106" s="50"/>
      <c r="AJH106" s="50"/>
      <c r="AJI106" s="50"/>
      <c r="AJJ106" s="50"/>
      <c r="AJK106" s="50"/>
      <c r="AJL106" s="50"/>
      <c r="AJM106" s="50"/>
      <c r="AJN106" s="50"/>
      <c r="AJO106" s="50"/>
      <c r="AJP106" s="50"/>
      <c r="AJQ106" s="50"/>
      <c r="AJR106" s="50"/>
      <c r="AJS106" s="50"/>
      <c r="AJT106" s="50"/>
      <c r="AJU106" s="50"/>
      <c r="AJV106" s="50"/>
      <c r="AJW106" s="50"/>
      <c r="AJX106" s="50"/>
      <c r="AJY106" s="50"/>
      <c r="AJZ106" s="50"/>
      <c r="AKA106" s="50"/>
      <c r="AKB106" s="50"/>
      <c r="AKC106" s="50"/>
      <c r="AKD106" s="50"/>
      <c r="AKE106" s="50"/>
      <c r="AKF106" s="59">
        <v>1.8552</v>
      </c>
      <c r="AKG106" s="59"/>
      <c r="AKH106" s="59">
        <v>1.6267</v>
      </c>
      <c r="ANX106" s="50"/>
      <c r="ANY106" s="50"/>
      <c r="ANZ106" s="50"/>
      <c r="AOA106" s="50">
        <v>29.1</v>
      </c>
      <c r="AOB106" s="50"/>
      <c r="AOC106" s="50"/>
      <c r="AOD106" s="50"/>
      <c r="AOE106" s="50"/>
      <c r="AOF106" s="50"/>
      <c r="AOG106" s="50"/>
      <c r="AOH106" s="50"/>
      <c r="AOI106" s="50"/>
      <c r="AOJ106" s="50"/>
      <c r="AOK106" s="50"/>
      <c r="AOL106" s="50"/>
      <c r="AOM106" s="50"/>
      <c r="AON106" s="50"/>
      <c r="AOO106" s="50"/>
      <c r="AOP106" s="50"/>
      <c r="AOQ106" s="50"/>
      <c r="AOR106" s="50"/>
      <c r="AOS106" s="50"/>
      <c r="AOT106" s="50"/>
      <c r="AOU106" s="50"/>
      <c r="AOV106" s="50"/>
      <c r="AOW106" s="50"/>
      <c r="AOX106" s="50"/>
      <c r="AOY106" s="50"/>
      <c r="AOZ106" s="50"/>
      <c r="APA106" s="50"/>
      <c r="APB106" s="50"/>
      <c r="APC106" s="50"/>
      <c r="APD106" s="50"/>
      <c r="APE106" s="50"/>
      <c r="APF106" s="50"/>
      <c r="APG106" s="50"/>
      <c r="APH106" s="50"/>
      <c r="API106" s="50"/>
      <c r="APJ106" s="50"/>
      <c r="APK106" s="50"/>
      <c r="APL106" s="59">
        <v>70.270200000000003</v>
      </c>
      <c r="APM106" s="59"/>
      <c r="APN106" s="59">
        <v>45.045000000000002</v>
      </c>
      <c r="APO106" s="50"/>
      <c r="APP106" s="50"/>
      <c r="APQ106" s="50"/>
      <c r="APR106" s="50"/>
      <c r="APS106" s="50"/>
      <c r="APT106" s="50"/>
      <c r="APU106" s="50"/>
      <c r="APV106" s="50"/>
      <c r="APW106" s="50"/>
      <c r="APX106" s="50"/>
      <c r="APY106" s="50"/>
      <c r="APZ106" s="50"/>
      <c r="AQA106" s="50"/>
      <c r="AQB106" s="50"/>
      <c r="ARC106" s="50"/>
      <c r="ARD106" s="50"/>
      <c r="ARE106" s="50"/>
      <c r="ARF106" s="50"/>
      <c r="ARG106" s="50"/>
      <c r="ARH106" s="50"/>
      <c r="ARI106" s="50"/>
      <c r="ARJ106" s="50"/>
      <c r="ARK106" s="50"/>
      <c r="ARL106" s="50"/>
      <c r="ARM106" s="50"/>
      <c r="ARN106" s="50"/>
      <c r="ARO106" s="50"/>
      <c r="ARP106" s="50"/>
      <c r="ARQ106" s="50"/>
      <c r="ARR106" s="50"/>
      <c r="ARS106" s="50"/>
      <c r="ART106" s="50"/>
      <c r="ARU106" s="50"/>
      <c r="ARV106" s="50"/>
      <c r="ARW106" s="50"/>
      <c r="ARX106" s="50"/>
      <c r="ARY106" s="50"/>
      <c r="ARZ106" s="50"/>
      <c r="ASA106" s="50"/>
      <c r="ASB106" s="50"/>
      <c r="ASC106" s="50"/>
      <c r="ASD106" s="50"/>
      <c r="ASE106" s="50"/>
      <c r="ASF106" s="50"/>
      <c r="ASV106">
        <v>242000</v>
      </c>
      <c r="AXW106">
        <v>19.97</v>
      </c>
      <c r="AXY106">
        <v>16.690000000000001</v>
      </c>
      <c r="BAL106">
        <v>38</v>
      </c>
      <c r="BDJ106" s="50"/>
      <c r="BFF106" s="50"/>
      <c r="BFG106" s="50"/>
      <c r="BFH106" s="50"/>
      <c r="BFI106" s="50"/>
      <c r="BFJ106" s="50"/>
      <c r="BGQ106">
        <v>138</v>
      </c>
      <c r="BHW106">
        <v>3.88</v>
      </c>
      <c r="BJM106">
        <v>3.41</v>
      </c>
      <c r="BYR106">
        <v>50</v>
      </c>
      <c r="BYS106">
        <v>1</v>
      </c>
      <c r="BYV106">
        <v>1</v>
      </c>
      <c r="BYY106">
        <v>732</v>
      </c>
      <c r="CBI106" s="50"/>
      <c r="CBJ106" s="50"/>
      <c r="CBK106" s="50"/>
      <c r="CKB106">
        <v>10</v>
      </c>
      <c r="CKC106">
        <v>1</v>
      </c>
      <c r="CKF106">
        <v>1</v>
      </c>
      <c r="CKG106" s="35">
        <v>999</v>
      </c>
      <c r="CKH106">
        <v>122</v>
      </c>
      <c r="CKI106">
        <v>0</v>
      </c>
      <c r="CKJ106">
        <v>999</v>
      </c>
      <c r="CMK106">
        <v>875</v>
      </c>
      <c r="CML106">
        <v>2</v>
      </c>
      <c r="CMO106">
        <v>1</v>
      </c>
      <c r="CMP106">
        <v>11</v>
      </c>
      <c r="CMQ106">
        <v>20</v>
      </c>
      <c r="CMR106">
        <v>9</v>
      </c>
      <c r="CMS106">
        <v>0</v>
      </c>
      <c r="DSD106">
        <v>25</v>
      </c>
      <c r="DSE106">
        <v>1</v>
      </c>
      <c r="DSH106">
        <v>1</v>
      </c>
      <c r="DSI106" s="35">
        <v>999</v>
      </c>
      <c r="DSJ106">
        <v>244</v>
      </c>
      <c r="DSK106">
        <v>0</v>
      </c>
      <c r="DSL106">
        <v>999</v>
      </c>
      <c r="DWL106">
        <v>100</v>
      </c>
      <c r="DWM106">
        <v>1</v>
      </c>
      <c r="DWP106">
        <v>1</v>
      </c>
      <c r="DWQ106" s="35">
        <v>999</v>
      </c>
      <c r="DWR106">
        <v>244</v>
      </c>
      <c r="DWS106">
        <v>0</v>
      </c>
      <c r="DWT106">
        <v>999</v>
      </c>
      <c r="DXQ106">
        <v>3000</v>
      </c>
      <c r="DXR106">
        <v>1</v>
      </c>
      <c r="DXU106">
        <v>1</v>
      </c>
      <c r="DXW106" s="35">
        <v>999</v>
      </c>
      <c r="DXX106">
        <v>244</v>
      </c>
      <c r="DXY106">
        <v>0</v>
      </c>
      <c r="DXZ106">
        <v>999</v>
      </c>
      <c r="EBU106">
        <v>40</v>
      </c>
      <c r="EBV106">
        <v>1</v>
      </c>
      <c r="EBY106">
        <v>1</v>
      </c>
      <c r="EBZ106">
        <v>580</v>
      </c>
      <c r="ECA106">
        <v>580</v>
      </c>
      <c r="ECB106">
        <v>0</v>
      </c>
      <c r="ECC106">
        <v>0</v>
      </c>
      <c r="EFM106">
        <v>100</v>
      </c>
      <c r="EFN106">
        <v>1</v>
      </c>
      <c r="EFQ106">
        <v>1</v>
      </c>
      <c r="EFS106" s="35">
        <v>999</v>
      </c>
      <c r="EFT106">
        <v>244</v>
      </c>
      <c r="EFU106">
        <v>0</v>
      </c>
      <c r="EFV106">
        <v>999</v>
      </c>
      <c r="EMM106">
        <v>40</v>
      </c>
      <c r="EMN106">
        <v>1</v>
      </c>
      <c r="EMQ106">
        <v>1</v>
      </c>
      <c r="EMR106" s="35">
        <v>999</v>
      </c>
      <c r="EMS106">
        <v>244</v>
      </c>
      <c r="EMT106">
        <v>0</v>
      </c>
      <c r="EMU106">
        <v>999</v>
      </c>
      <c r="GWJ106">
        <v>1</v>
      </c>
    </row>
    <row r="107" spans="1:1022 1025:2046 2049:3070 3073:3942 4381:5104 5180:5345" x14ac:dyDescent="0.25">
      <c r="A107" s="50">
        <v>9085204</v>
      </c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JS107">
        <v>394</v>
      </c>
      <c r="NH107">
        <v>874</v>
      </c>
      <c r="NT107">
        <v>70</v>
      </c>
      <c r="QK107" s="50"/>
      <c r="QL107" s="50"/>
      <c r="QM107" s="50"/>
      <c r="QN107" s="50"/>
      <c r="QO107" s="50"/>
      <c r="QP107" s="50"/>
      <c r="QQ107" s="50"/>
      <c r="QR107" s="50"/>
      <c r="QS107" s="50"/>
      <c r="QT107" s="50"/>
      <c r="QU107" s="50"/>
      <c r="QV107" s="50">
        <v>283</v>
      </c>
      <c r="QW107" s="50"/>
      <c r="QX107" s="50"/>
      <c r="QY107" s="50"/>
      <c r="QZ107" s="50"/>
      <c r="RA107" s="50"/>
      <c r="RB107" s="50"/>
      <c r="RC107" s="50"/>
      <c r="RD107" s="50"/>
      <c r="RE107" s="50"/>
      <c r="RF107" s="50"/>
      <c r="RG107" s="50"/>
      <c r="RH107" s="50">
        <v>98</v>
      </c>
      <c r="RI107" s="50"/>
      <c r="RJ107" s="50"/>
      <c r="RK107" s="50"/>
      <c r="RL107" s="50"/>
      <c r="RM107" s="50"/>
      <c r="RN107" s="50"/>
      <c r="RO107" s="50"/>
      <c r="RP107" s="50"/>
      <c r="RQ107" s="50"/>
      <c r="RR107" s="50"/>
      <c r="RS107" s="50"/>
      <c r="RT107" s="50"/>
      <c r="RU107" s="50"/>
      <c r="RV107" s="50"/>
      <c r="RW107" s="50"/>
      <c r="RX107" s="50"/>
      <c r="RY107" s="50"/>
      <c r="RZ107" s="50"/>
      <c r="SA107" s="50"/>
      <c r="SB107" s="50"/>
      <c r="TM107" s="50"/>
      <c r="TN107" s="50"/>
      <c r="TO107" s="50"/>
      <c r="TP107" s="50"/>
      <c r="TQ107" s="50"/>
      <c r="TR107" s="50"/>
      <c r="TS107" s="50"/>
      <c r="TT107" s="50"/>
      <c r="TU107" s="50"/>
      <c r="TV107" s="50"/>
      <c r="TW107" s="50"/>
      <c r="TX107" s="50"/>
      <c r="TY107" s="50"/>
      <c r="TZ107" s="50"/>
      <c r="UA107" s="50"/>
      <c r="UB107" s="50"/>
      <c r="UC107" s="50"/>
      <c r="UD107" s="50"/>
      <c r="UE107" s="50"/>
      <c r="UF107" s="50"/>
      <c r="WC107">
        <v>212</v>
      </c>
      <c r="ACI107">
        <v>5.2</v>
      </c>
      <c r="AGW107">
        <v>281</v>
      </c>
      <c r="AHI107">
        <v>162</v>
      </c>
      <c r="AJB107" s="50"/>
      <c r="AJC107" s="50"/>
      <c r="AJD107" s="50"/>
      <c r="AJE107" s="50"/>
      <c r="AJF107" s="50"/>
      <c r="AJG107" s="50"/>
      <c r="AJH107" s="50"/>
      <c r="AJI107" s="50"/>
      <c r="AJJ107" s="50"/>
      <c r="AJK107" s="50"/>
      <c r="AJL107" s="50"/>
      <c r="AJM107" s="50"/>
      <c r="AJN107" s="50"/>
      <c r="AJO107" s="50"/>
      <c r="AJP107" s="50"/>
      <c r="AJQ107" s="50"/>
      <c r="AJR107" s="50"/>
      <c r="AJS107" s="50"/>
      <c r="AJT107" s="50"/>
      <c r="AJU107" s="50"/>
      <c r="AJV107" s="50"/>
      <c r="AJW107" s="50"/>
      <c r="AJX107" s="50"/>
      <c r="AJY107" s="50"/>
      <c r="AJZ107" s="50"/>
      <c r="AKA107" s="50"/>
      <c r="AKB107" s="50"/>
      <c r="AKC107" s="50"/>
      <c r="AKD107" s="50"/>
      <c r="AKE107" s="50"/>
      <c r="AKF107" s="50"/>
      <c r="AKG107" s="50"/>
      <c r="AKH107" s="50"/>
      <c r="ANX107" s="50"/>
      <c r="ANY107" s="50"/>
      <c r="ANZ107" s="50"/>
      <c r="AOA107" s="50"/>
      <c r="AOB107" s="50"/>
      <c r="AOC107" s="50"/>
      <c r="AOD107" s="50"/>
      <c r="AOE107" s="50"/>
      <c r="AOF107" s="50"/>
      <c r="AOG107" s="50"/>
      <c r="AOH107" s="50"/>
      <c r="AOI107" s="50"/>
      <c r="AOJ107" s="50"/>
      <c r="AOK107" s="50"/>
      <c r="AOL107" s="50"/>
      <c r="AOM107" s="50">
        <v>124</v>
      </c>
      <c r="AON107" s="50"/>
      <c r="AOO107" s="50"/>
      <c r="AOP107" s="50"/>
      <c r="AOQ107" s="50"/>
      <c r="AOR107" s="50"/>
      <c r="AOS107" s="50"/>
      <c r="AOT107" s="50"/>
      <c r="AOU107" s="50"/>
      <c r="AOV107" s="50"/>
      <c r="AOW107" s="50"/>
      <c r="AOX107" s="50"/>
      <c r="AOY107" s="50"/>
      <c r="AOZ107" s="50"/>
      <c r="APA107" s="50"/>
      <c r="APB107" s="50"/>
      <c r="APC107" s="50"/>
      <c r="APD107" s="50"/>
      <c r="APE107" s="50"/>
      <c r="APF107" s="50"/>
      <c r="APG107" s="50"/>
      <c r="APH107" s="50"/>
      <c r="API107" s="50"/>
      <c r="APJ107" s="50"/>
      <c r="APK107" s="50"/>
      <c r="APL107" s="50"/>
      <c r="APM107" s="50"/>
      <c r="APN107" s="50"/>
      <c r="APO107" s="50"/>
      <c r="APP107" s="50"/>
      <c r="APQ107" s="50"/>
      <c r="APR107" s="50"/>
      <c r="APS107" s="50"/>
      <c r="APT107" s="50"/>
      <c r="APU107" s="50"/>
      <c r="APV107" s="50"/>
      <c r="APW107" s="50"/>
      <c r="APX107" s="50"/>
      <c r="APY107" s="50"/>
      <c r="APZ107" s="50"/>
      <c r="AQA107" s="50"/>
      <c r="AQB107" s="50"/>
      <c r="ARC107" s="50"/>
      <c r="ARD107" s="50"/>
      <c r="ARE107" s="50"/>
      <c r="ARF107" s="50"/>
      <c r="ARG107" s="50"/>
      <c r="ARH107" s="50"/>
      <c r="ARI107" s="50"/>
      <c r="ARJ107" s="50"/>
      <c r="ARK107" s="50"/>
      <c r="ARL107" s="50"/>
      <c r="ARM107" s="50"/>
      <c r="ARN107" s="50"/>
      <c r="ARO107" s="50"/>
      <c r="ARP107" s="50"/>
      <c r="ARQ107" s="50"/>
      <c r="ARR107" s="50"/>
      <c r="ARS107" s="50"/>
      <c r="ART107" s="50"/>
      <c r="ARU107" s="50"/>
      <c r="ARV107" s="50"/>
      <c r="ARW107" s="50"/>
      <c r="ARX107" s="50"/>
      <c r="ARY107" s="50"/>
      <c r="ARZ107" s="50"/>
      <c r="ASA107" s="50"/>
      <c r="ASB107" s="50"/>
      <c r="ASC107" s="50"/>
      <c r="ASD107" s="50"/>
      <c r="ASE107" s="50"/>
      <c r="ASF107" s="50"/>
      <c r="AYD107">
        <v>3.9</v>
      </c>
      <c r="BFF107" s="50"/>
      <c r="BFG107" s="50"/>
      <c r="BFH107" s="50"/>
      <c r="BFI107" s="50"/>
      <c r="BFJ107" s="50"/>
      <c r="BYR107">
        <v>150</v>
      </c>
      <c r="BYS107">
        <v>1</v>
      </c>
      <c r="BYY107">
        <v>153</v>
      </c>
      <c r="BYZ107">
        <v>151</v>
      </c>
      <c r="BZA107">
        <v>0</v>
      </c>
      <c r="BZB107">
        <v>3</v>
      </c>
      <c r="CBI107" s="50"/>
      <c r="CBJ107" s="50"/>
      <c r="CBK107" s="50"/>
    </row>
    <row r="108" spans="1:1022 1025:2046 2049:3070 3073:3942 4381:5104 5180:5345" x14ac:dyDescent="0.25">
      <c r="A108" s="50">
        <v>9090323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QK108" s="50"/>
      <c r="QL108" s="50"/>
      <c r="QM108" s="50"/>
      <c r="QN108" s="50"/>
      <c r="QO108" s="50"/>
      <c r="QP108" s="50"/>
      <c r="QQ108" s="50"/>
      <c r="QR108" s="50"/>
      <c r="QS108" s="50"/>
      <c r="QT108" s="50"/>
      <c r="QU108" s="50"/>
      <c r="QV108" s="50"/>
      <c r="QW108" s="50"/>
      <c r="QX108" s="50"/>
      <c r="QY108" s="50"/>
      <c r="QZ108" s="50"/>
      <c r="RA108" s="50"/>
      <c r="RB108" s="50"/>
      <c r="RC108" s="50"/>
      <c r="RD108" s="50"/>
      <c r="RE108" s="50"/>
      <c r="RF108" s="50"/>
      <c r="RG108" s="50"/>
      <c r="RH108" s="50"/>
      <c r="RI108" s="50"/>
      <c r="RJ108" s="50"/>
      <c r="RK108" s="50"/>
      <c r="RL108" s="50"/>
      <c r="RM108" s="50"/>
      <c r="RN108" s="50"/>
      <c r="RO108" s="50"/>
      <c r="RP108" s="50"/>
      <c r="RQ108" s="50"/>
      <c r="RR108" s="50"/>
      <c r="RS108" s="50"/>
      <c r="RT108" s="50"/>
      <c r="RU108" s="50"/>
      <c r="RV108" s="50"/>
      <c r="RW108" s="50"/>
      <c r="RX108" s="50"/>
      <c r="RY108" s="50"/>
      <c r="RZ108" s="50"/>
      <c r="SA108" s="50"/>
      <c r="SB108" s="50"/>
      <c r="TM108" s="50"/>
      <c r="TN108" s="50"/>
      <c r="TO108" s="50"/>
      <c r="TP108" s="50"/>
      <c r="TQ108" s="50"/>
      <c r="TR108" s="50"/>
      <c r="TS108" s="50"/>
      <c r="TT108" s="50"/>
      <c r="TU108" s="50"/>
      <c r="TV108" s="50"/>
      <c r="TW108" s="50"/>
      <c r="TX108" s="50"/>
      <c r="TY108" s="50"/>
      <c r="TZ108" s="50"/>
      <c r="UA108" s="50"/>
      <c r="UB108" s="50"/>
      <c r="UC108" s="50"/>
      <c r="UD108" s="50"/>
      <c r="UE108" s="50"/>
      <c r="UF108" s="50"/>
      <c r="AJB108" s="50"/>
      <c r="AJC108" s="50"/>
      <c r="AJD108" s="50"/>
      <c r="AJE108" s="50"/>
      <c r="AJF108" s="50"/>
      <c r="AJG108" s="50"/>
      <c r="AJH108" s="50"/>
      <c r="AJI108" s="50"/>
      <c r="AJJ108" s="50"/>
      <c r="AJK108" s="50"/>
      <c r="AJL108" s="50"/>
      <c r="AJM108" s="50"/>
      <c r="AJN108" s="50"/>
      <c r="AJO108" s="50"/>
      <c r="AJP108" s="50"/>
      <c r="AJQ108" s="50"/>
      <c r="AJR108" s="50"/>
      <c r="AJS108" s="50"/>
      <c r="AJT108" s="50"/>
      <c r="AJU108" s="50"/>
      <c r="AJV108" s="50"/>
      <c r="AJW108" s="50"/>
      <c r="AJX108" s="50"/>
      <c r="AJY108" s="50"/>
      <c r="AJZ108" s="50"/>
      <c r="AKA108" s="50"/>
      <c r="AKB108" s="50"/>
      <c r="AKC108" s="50"/>
      <c r="AKD108" s="50"/>
      <c r="AKE108" s="50"/>
      <c r="AKF108" s="50"/>
      <c r="AKG108" s="50"/>
      <c r="AKH108" s="50"/>
      <c r="ANX108" s="50"/>
      <c r="ANY108" s="50"/>
      <c r="ANZ108" s="50"/>
      <c r="AOA108" s="50"/>
      <c r="AOB108" s="50"/>
      <c r="AOC108" s="50"/>
      <c r="AOD108" s="50"/>
      <c r="AOE108" s="50"/>
      <c r="AOF108" s="50"/>
      <c r="AOG108" s="50"/>
      <c r="AOH108" s="50"/>
      <c r="AOI108" s="50"/>
      <c r="AOJ108" s="50"/>
      <c r="AOK108" s="50"/>
      <c r="AOL108" s="50"/>
      <c r="AOM108" s="50"/>
      <c r="AON108" s="50"/>
      <c r="AOO108" s="50"/>
      <c r="AOP108" s="50"/>
      <c r="AOQ108" s="50"/>
      <c r="AOR108" s="50"/>
      <c r="AOS108" s="50"/>
      <c r="AOT108" s="50"/>
      <c r="AOU108" s="50"/>
      <c r="AOV108" s="50"/>
      <c r="AOW108" s="50"/>
      <c r="AOX108" s="50"/>
      <c r="AOY108" s="50"/>
      <c r="AOZ108" s="50"/>
      <c r="APA108" s="50"/>
      <c r="APB108" s="50"/>
      <c r="APC108" s="50"/>
      <c r="APD108" s="50"/>
      <c r="APE108" s="50"/>
      <c r="APF108" s="50"/>
      <c r="APG108" s="50"/>
      <c r="APH108" s="50"/>
      <c r="API108" s="50"/>
      <c r="APJ108" s="50"/>
      <c r="APK108" s="50"/>
      <c r="APL108" s="50"/>
      <c r="APM108" s="50"/>
      <c r="APN108" s="50"/>
      <c r="APO108" s="50"/>
      <c r="APP108" s="50"/>
      <c r="APQ108" s="50"/>
      <c r="APR108" s="50"/>
      <c r="APS108" s="50"/>
      <c r="APT108" s="50"/>
      <c r="APU108" s="50"/>
      <c r="APV108" s="50"/>
      <c r="APW108" s="50"/>
      <c r="APX108" s="50"/>
      <c r="APY108" s="50"/>
      <c r="APZ108" s="50"/>
      <c r="AQA108" s="50"/>
      <c r="AQB108" s="50"/>
      <c r="ARC108" s="50"/>
      <c r="ARD108" s="50"/>
      <c r="ARE108" s="50"/>
      <c r="ARF108" s="50"/>
      <c r="ARG108" s="50"/>
      <c r="ARH108" s="50"/>
      <c r="ARI108" s="50"/>
      <c r="ARJ108" s="50"/>
      <c r="ARK108" s="50"/>
      <c r="ARL108" s="50"/>
      <c r="ARM108" s="50"/>
      <c r="ARN108" s="50"/>
      <c r="ARO108" s="50"/>
      <c r="ARP108" s="50"/>
      <c r="ARQ108" s="50"/>
      <c r="ARR108" s="50"/>
      <c r="ARS108" s="50"/>
      <c r="ART108" s="50"/>
      <c r="ARU108" s="50"/>
      <c r="ARV108" s="50"/>
      <c r="ARW108" s="50"/>
      <c r="ARX108" s="50"/>
      <c r="ARY108" s="50"/>
      <c r="ARZ108" s="50"/>
      <c r="ASA108" s="50"/>
      <c r="ASB108" s="50"/>
      <c r="ASC108" s="50"/>
      <c r="ASD108" s="50"/>
      <c r="ASE108" s="50"/>
      <c r="ASF108" s="50"/>
      <c r="BFF108" s="50"/>
      <c r="BFG108" s="50"/>
      <c r="BFH108" s="50"/>
      <c r="BFI108" s="50"/>
      <c r="BFJ108" s="50"/>
      <c r="BYR108">
        <v>150</v>
      </c>
      <c r="BYS108">
        <v>1</v>
      </c>
      <c r="BYV108">
        <v>1</v>
      </c>
      <c r="BYY108">
        <v>3</v>
      </c>
      <c r="BYZ108">
        <v>5</v>
      </c>
      <c r="BZA108">
        <v>3</v>
      </c>
      <c r="BZB108">
        <v>0</v>
      </c>
      <c r="BZE108">
        <v>600</v>
      </c>
      <c r="BZF108">
        <v>1</v>
      </c>
      <c r="BZI108">
        <v>1</v>
      </c>
      <c r="BZK108">
        <v>732</v>
      </c>
      <c r="BZM108">
        <v>9</v>
      </c>
      <c r="BZN108">
        <v>0</v>
      </c>
      <c r="BZQ108">
        <v>1500</v>
      </c>
      <c r="BZR108">
        <v>1</v>
      </c>
      <c r="BZU108">
        <v>1</v>
      </c>
      <c r="BZW108">
        <v>2</v>
      </c>
      <c r="BZX108">
        <v>4</v>
      </c>
      <c r="BZY108">
        <v>3</v>
      </c>
      <c r="BZZ108">
        <v>0</v>
      </c>
      <c r="CBI108" s="50">
        <v>1500</v>
      </c>
      <c r="CBJ108" s="50">
        <v>1</v>
      </c>
      <c r="CBK108" s="50"/>
      <c r="CBM108">
        <v>1</v>
      </c>
      <c r="CBN108">
        <v>2</v>
      </c>
      <c r="CBO108">
        <v>4</v>
      </c>
      <c r="CBP108">
        <v>3</v>
      </c>
      <c r="CER108">
        <v>1</v>
      </c>
      <c r="CET108">
        <v>7</v>
      </c>
      <c r="CEU108">
        <v>6</v>
      </c>
      <c r="CEV108">
        <v>0</v>
      </c>
      <c r="CEW108">
        <v>0</v>
      </c>
      <c r="CVJ108">
        <v>1.5</v>
      </c>
      <c r="CVK108">
        <v>1</v>
      </c>
      <c r="CVL108">
        <v>1</v>
      </c>
      <c r="CVO108">
        <v>1</v>
      </c>
      <c r="CVP108">
        <v>6</v>
      </c>
      <c r="CVQ108">
        <v>6</v>
      </c>
      <c r="CVR108">
        <v>0</v>
      </c>
      <c r="DNB108">
        <v>1</v>
      </c>
      <c r="DNE108">
        <v>1</v>
      </c>
      <c r="DNF108" s="35">
        <v>999</v>
      </c>
      <c r="DNG108">
        <v>999</v>
      </c>
      <c r="DNH108">
        <v>0</v>
      </c>
      <c r="DNI108">
        <v>999</v>
      </c>
      <c r="EMM108">
        <v>40</v>
      </c>
      <c r="EMN108">
        <v>1</v>
      </c>
      <c r="EMR108" s="35">
        <v>999</v>
      </c>
      <c r="EMS108">
        <v>5</v>
      </c>
      <c r="EMT108">
        <v>0</v>
      </c>
      <c r="EMU108">
        <v>999</v>
      </c>
      <c r="EUG108">
        <v>2</v>
      </c>
      <c r="EUH108">
        <v>1</v>
      </c>
      <c r="EUK108">
        <v>1</v>
      </c>
      <c r="EUM108">
        <v>7</v>
      </c>
      <c r="EUN108">
        <v>6</v>
      </c>
      <c r="EUO108">
        <v>0</v>
      </c>
      <c r="EUP108">
        <v>0</v>
      </c>
      <c r="GWO108">
        <v>1</v>
      </c>
    </row>
    <row r="109" spans="1:1022 1025:2046 2049:3070 3073:3942 4381:5104 5180:5345" x14ac:dyDescent="0.25">
      <c r="A109" s="50">
        <v>9105492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JQ109">
        <v>45</v>
      </c>
      <c r="JR109">
        <v>533</v>
      </c>
      <c r="JS109">
        <v>548</v>
      </c>
      <c r="JT109">
        <v>210</v>
      </c>
      <c r="JX109">
        <v>56</v>
      </c>
      <c r="KB109">
        <v>35</v>
      </c>
      <c r="NF109">
        <v>80</v>
      </c>
      <c r="NG109">
        <v>512</v>
      </c>
      <c r="NH109">
        <v>750</v>
      </c>
      <c r="NI109">
        <v>574</v>
      </c>
      <c r="NM109">
        <v>223</v>
      </c>
      <c r="NQ109">
        <v>97</v>
      </c>
      <c r="QK109" s="50"/>
      <c r="QL109" s="50"/>
      <c r="QM109" s="50"/>
      <c r="QN109" s="50"/>
      <c r="QO109" s="50"/>
      <c r="QP109" s="50"/>
      <c r="QQ109" s="50"/>
      <c r="QR109" s="50"/>
      <c r="QS109" s="50"/>
      <c r="QT109" s="50"/>
      <c r="QU109" s="50"/>
      <c r="QV109" s="50"/>
      <c r="QW109" s="50"/>
      <c r="QX109" s="50"/>
      <c r="QY109" s="50"/>
      <c r="QZ109" s="50"/>
      <c r="RA109" s="50"/>
      <c r="RB109" s="50"/>
      <c r="RC109" s="50"/>
      <c r="RD109" s="50"/>
      <c r="RE109" s="50"/>
      <c r="RF109" s="50"/>
      <c r="RG109" s="50"/>
      <c r="RH109" s="50"/>
      <c r="RI109" s="50"/>
      <c r="RJ109" s="50"/>
      <c r="RK109" s="50"/>
      <c r="RL109" s="50"/>
      <c r="RM109" s="50"/>
      <c r="RN109" s="50"/>
      <c r="RO109" s="50"/>
      <c r="RP109" s="50"/>
      <c r="RQ109" s="50"/>
      <c r="RR109" s="50"/>
      <c r="RS109" s="50"/>
      <c r="RT109" s="50"/>
      <c r="RU109" s="50"/>
      <c r="RV109" s="50"/>
      <c r="RW109" s="50"/>
      <c r="RX109" s="50"/>
      <c r="RY109" s="50"/>
      <c r="RZ109" s="50"/>
      <c r="SA109" s="50"/>
      <c r="SB109" s="50"/>
      <c r="TM109" s="50"/>
      <c r="TN109" s="50"/>
      <c r="TO109" s="50"/>
      <c r="TP109" s="50"/>
      <c r="TQ109" s="50"/>
      <c r="TR109" s="50"/>
      <c r="TS109" s="50"/>
      <c r="TT109" s="50"/>
      <c r="TU109" s="50"/>
      <c r="TV109" s="50"/>
      <c r="TW109" s="50"/>
      <c r="TX109" s="50"/>
      <c r="TY109" s="50"/>
      <c r="TZ109" s="50"/>
      <c r="UA109" s="50"/>
      <c r="UB109" s="50"/>
      <c r="UC109" s="50"/>
      <c r="UD109" s="50"/>
      <c r="UE109" s="50"/>
      <c r="UF109" s="50"/>
      <c r="ABB109">
        <v>12.8</v>
      </c>
      <c r="ABC109">
        <v>8.5</v>
      </c>
      <c r="ABD109">
        <v>6.1</v>
      </c>
      <c r="ABL109">
        <v>3.7</v>
      </c>
      <c r="AGU109">
        <v>101</v>
      </c>
      <c r="AGV109">
        <v>92</v>
      </c>
      <c r="AGW109">
        <v>112</v>
      </c>
      <c r="AJB109" s="50"/>
      <c r="AJC109" s="50"/>
      <c r="AJD109" s="50"/>
      <c r="AJE109" s="50"/>
      <c r="AJF109" s="50"/>
      <c r="AJG109" s="50"/>
      <c r="AJH109" s="50"/>
      <c r="AJI109" s="50"/>
      <c r="AJJ109" s="50"/>
      <c r="AJK109" s="50"/>
      <c r="AJL109" s="50"/>
      <c r="AJM109" s="50"/>
      <c r="AJN109" s="50"/>
      <c r="AJO109" s="50"/>
      <c r="AJP109" s="50"/>
      <c r="AJQ109" s="50"/>
      <c r="AJR109" s="50"/>
      <c r="AJS109" s="50"/>
      <c r="AJT109" s="50"/>
      <c r="AJU109" s="50"/>
      <c r="AJV109" s="50"/>
      <c r="AJW109" s="50"/>
      <c r="AJX109" s="50"/>
      <c r="AJY109" s="50"/>
      <c r="AJZ109" s="50"/>
      <c r="AKA109" s="50"/>
      <c r="AKB109" s="50"/>
      <c r="AKC109" s="50"/>
      <c r="AKD109" s="50"/>
      <c r="AKE109" s="50"/>
      <c r="AKF109" s="50"/>
      <c r="AKG109" s="50"/>
      <c r="AKH109" s="50"/>
      <c r="ANX109" s="50"/>
      <c r="ANY109" s="50"/>
      <c r="ANZ109" s="50"/>
      <c r="AOA109" s="50"/>
      <c r="AOB109" s="50"/>
      <c r="AOC109" s="50"/>
      <c r="AOD109" s="50"/>
      <c r="AOE109" s="50"/>
      <c r="AOF109" s="50"/>
      <c r="AOG109" s="50"/>
      <c r="AOH109" s="50"/>
      <c r="AOI109" s="50"/>
      <c r="AOJ109" s="50"/>
      <c r="AOK109" s="50"/>
      <c r="AOL109" s="50"/>
      <c r="AOM109" s="50"/>
      <c r="AON109" s="50"/>
      <c r="AOO109" s="50"/>
      <c r="AOP109" s="50"/>
      <c r="AOQ109" s="50"/>
      <c r="AOR109" s="50"/>
      <c r="AOS109" s="50"/>
      <c r="AOT109" s="50"/>
      <c r="AOU109" s="50"/>
      <c r="AOV109" s="50"/>
      <c r="AOW109" s="50"/>
      <c r="AOX109" s="50"/>
      <c r="AOY109" s="50"/>
      <c r="AOZ109" s="50"/>
      <c r="APA109" s="50"/>
      <c r="APB109" s="50"/>
      <c r="APC109" s="50"/>
      <c r="APD109" s="50"/>
      <c r="APE109" s="50"/>
      <c r="APF109" s="50"/>
      <c r="APG109" s="50"/>
      <c r="APH109" s="50"/>
      <c r="API109" s="50"/>
      <c r="APJ109" s="50"/>
      <c r="APK109" s="50"/>
      <c r="APL109" s="50"/>
      <c r="APM109" s="50"/>
      <c r="APN109" s="50"/>
      <c r="APO109" s="50"/>
      <c r="APP109" s="50"/>
      <c r="APQ109" s="50"/>
      <c r="APR109" s="50"/>
      <c r="APS109" s="50"/>
      <c r="APT109" s="50"/>
      <c r="APU109" s="50"/>
      <c r="APV109" s="50"/>
      <c r="APW109" s="50"/>
      <c r="APX109" s="50"/>
      <c r="APY109" s="50"/>
      <c r="APZ109" s="50"/>
      <c r="AQA109" s="50"/>
      <c r="AQB109" s="50"/>
      <c r="ARC109" s="50"/>
      <c r="ARD109" s="50"/>
      <c r="ARE109" s="50"/>
      <c r="ARF109" s="50"/>
      <c r="ARG109" s="50"/>
      <c r="ARH109" s="50"/>
      <c r="ARI109" s="50"/>
      <c r="ARJ109" s="50"/>
      <c r="ARK109" s="50"/>
      <c r="ARL109" s="50"/>
      <c r="ARM109" s="50"/>
      <c r="ARN109" s="50"/>
      <c r="ARO109" s="50"/>
      <c r="ARP109" s="50"/>
      <c r="ARQ109" s="50"/>
      <c r="ARR109" s="50"/>
      <c r="ARS109" s="50"/>
      <c r="ART109" s="50"/>
      <c r="ARU109" s="50"/>
      <c r="ARV109" s="50"/>
      <c r="ARW109" s="50"/>
      <c r="ARX109" s="50"/>
      <c r="ARY109" s="50"/>
      <c r="ARZ109" s="50"/>
      <c r="ASA109" s="50"/>
      <c r="ASB109" s="50"/>
      <c r="ASC109" s="50"/>
      <c r="ASD109" s="50"/>
      <c r="ASE109" s="50"/>
      <c r="ASF109" s="50"/>
      <c r="BFF109" s="50"/>
      <c r="BFG109" s="50"/>
      <c r="BFH109" s="50"/>
      <c r="BFI109" s="50"/>
      <c r="BFJ109" s="50"/>
      <c r="BYV109">
        <v>1</v>
      </c>
      <c r="BYY109">
        <v>732</v>
      </c>
      <c r="BYZ109">
        <v>732</v>
      </c>
      <c r="BZA109">
        <v>1</v>
      </c>
      <c r="BZB109">
        <v>0</v>
      </c>
      <c r="CAC109">
        <v>100</v>
      </c>
      <c r="CAD109">
        <v>1</v>
      </c>
      <c r="CAG109">
        <v>1</v>
      </c>
      <c r="CAH109">
        <v>999</v>
      </c>
      <c r="CAI109">
        <v>999</v>
      </c>
      <c r="CAJ109">
        <v>1</v>
      </c>
      <c r="CAK109">
        <v>0</v>
      </c>
      <c r="CBI109" s="50"/>
      <c r="CBJ109" s="50"/>
      <c r="CBK109" s="50"/>
      <c r="CHI109">
        <v>200</v>
      </c>
      <c r="CHJ109">
        <v>1</v>
      </c>
      <c r="CHM109">
        <v>1</v>
      </c>
      <c r="CHN109">
        <v>2</v>
      </c>
      <c r="CHO109">
        <v>6</v>
      </c>
      <c r="CHP109">
        <v>5</v>
      </c>
      <c r="CUT109">
        <v>1</v>
      </c>
      <c r="CUU109">
        <v>4</v>
      </c>
      <c r="CUV109">
        <v>3</v>
      </c>
      <c r="CUW109">
        <v>0</v>
      </c>
      <c r="CUX109">
        <v>0</v>
      </c>
      <c r="DVR109">
        <v>95</v>
      </c>
      <c r="DVS109">
        <v>1</v>
      </c>
      <c r="DVV109">
        <v>1</v>
      </c>
      <c r="DVW109" s="35">
        <v>999</v>
      </c>
      <c r="DVX109">
        <v>999</v>
      </c>
      <c r="DVY109">
        <v>0</v>
      </c>
      <c r="DVZ109">
        <v>999</v>
      </c>
      <c r="EEO109">
        <v>250</v>
      </c>
      <c r="EEP109">
        <v>1</v>
      </c>
      <c r="EER109">
        <v>1</v>
      </c>
      <c r="EEU109">
        <v>1</v>
      </c>
      <c r="EEV109">
        <v>3</v>
      </c>
      <c r="EEW109">
        <v>3</v>
      </c>
      <c r="EEX109">
        <v>0</v>
      </c>
      <c r="FRH109">
        <v>7.5</v>
      </c>
      <c r="FRI109">
        <v>1</v>
      </c>
      <c r="FRL109">
        <v>1</v>
      </c>
      <c r="FRM109">
        <v>999</v>
      </c>
      <c r="FRN109">
        <v>999</v>
      </c>
      <c r="FRO109">
        <v>1</v>
      </c>
      <c r="FRP109">
        <v>0</v>
      </c>
      <c r="FWN109">
        <v>10</v>
      </c>
      <c r="FWO109">
        <v>1</v>
      </c>
      <c r="FWR109">
        <v>1</v>
      </c>
      <c r="FWS109">
        <v>1</v>
      </c>
      <c r="FWT109">
        <v>3</v>
      </c>
      <c r="FWU109">
        <v>3</v>
      </c>
      <c r="FYM109">
        <v>4</v>
      </c>
      <c r="FYN109">
        <v>1</v>
      </c>
      <c r="FYO109">
        <v>1</v>
      </c>
      <c r="FYR109">
        <v>1</v>
      </c>
      <c r="FYS109">
        <v>3</v>
      </c>
      <c r="FYT109">
        <v>3</v>
      </c>
      <c r="FYU109">
        <v>0</v>
      </c>
      <c r="GBP109">
        <v>600</v>
      </c>
      <c r="GBQ109">
        <v>1</v>
      </c>
      <c r="GBT109">
        <v>1</v>
      </c>
      <c r="GBU109" s="35">
        <v>999</v>
      </c>
      <c r="GBV109">
        <v>999</v>
      </c>
      <c r="GBW109">
        <v>0</v>
      </c>
      <c r="GBX109">
        <v>999</v>
      </c>
    </row>
    <row r="110" spans="1:1022 1025:2046 2049:3070 3073:3942 4381:5104 5180:5345" x14ac:dyDescent="0.25">
      <c r="A110" s="50">
        <v>9138470</v>
      </c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JQ110">
        <v>19.8</v>
      </c>
      <c r="NG110">
        <v>41.2</v>
      </c>
      <c r="QK110" s="50"/>
      <c r="QL110" s="50"/>
      <c r="QM110" s="50"/>
      <c r="QN110" s="50"/>
      <c r="QO110" s="50"/>
      <c r="QP110" s="50"/>
      <c r="QQ110" s="50"/>
      <c r="QR110" s="50"/>
      <c r="QS110" s="50"/>
      <c r="QT110" s="50"/>
      <c r="QU110" s="50"/>
      <c r="QV110" s="50"/>
      <c r="QW110" s="50"/>
      <c r="QX110" s="50"/>
      <c r="QY110" s="50"/>
      <c r="QZ110" s="50"/>
      <c r="RA110" s="50"/>
      <c r="RB110" s="50"/>
      <c r="RC110" s="50"/>
      <c r="RD110" s="50"/>
      <c r="RE110" s="50"/>
      <c r="RF110" s="50"/>
      <c r="RG110" s="50"/>
      <c r="RH110" s="50"/>
      <c r="RI110" s="50"/>
      <c r="RJ110" s="50"/>
      <c r="RK110" s="50"/>
      <c r="RL110" s="50"/>
      <c r="RM110" s="50"/>
      <c r="RN110" s="50"/>
      <c r="RO110" s="50"/>
      <c r="RP110" s="50"/>
      <c r="RQ110" s="50"/>
      <c r="RR110" s="50"/>
      <c r="RS110" s="50"/>
      <c r="RT110" s="50"/>
      <c r="RU110" s="50"/>
      <c r="RV110" s="50"/>
      <c r="RW110" s="50"/>
      <c r="RX110" s="50"/>
      <c r="RY110" s="50"/>
      <c r="RZ110" s="50"/>
      <c r="SA110" s="50"/>
      <c r="SB110" s="50"/>
      <c r="TM110" s="50"/>
      <c r="TN110" s="50"/>
      <c r="TO110" s="50"/>
      <c r="TP110" s="50"/>
      <c r="TQ110" s="50"/>
      <c r="TR110" s="50"/>
      <c r="TS110" s="50"/>
      <c r="TT110" s="50"/>
      <c r="TU110" s="50"/>
      <c r="TV110" s="50"/>
      <c r="TW110" s="50"/>
      <c r="TX110" s="50"/>
      <c r="TY110" s="50"/>
      <c r="TZ110" s="50"/>
      <c r="UA110" s="50"/>
      <c r="UB110" s="50"/>
      <c r="UC110" s="50"/>
      <c r="UD110" s="50"/>
      <c r="UE110" s="50"/>
      <c r="UF110" s="50"/>
      <c r="ABC110" s="55"/>
      <c r="AJB110" s="50"/>
      <c r="AJC110" s="50"/>
      <c r="AJD110" s="50"/>
      <c r="AJE110" s="50"/>
      <c r="AJF110" s="50"/>
      <c r="AJG110" s="50"/>
      <c r="AJH110" s="50"/>
      <c r="AJI110" s="50"/>
      <c r="AJJ110" s="50"/>
      <c r="AJK110" s="50"/>
      <c r="AJL110" s="50"/>
      <c r="AJM110" s="50"/>
      <c r="AJN110" s="50"/>
      <c r="AJO110" s="50"/>
      <c r="AJP110" s="50"/>
      <c r="AJQ110" s="50"/>
      <c r="AJR110" s="50"/>
      <c r="AJS110" s="50"/>
      <c r="AJT110" s="50"/>
      <c r="AJU110" s="50"/>
      <c r="AJV110" s="50"/>
      <c r="AJW110" s="50"/>
      <c r="AJX110" s="50"/>
      <c r="AJY110" s="50"/>
      <c r="AJZ110" s="50"/>
      <c r="AKA110" s="50"/>
      <c r="AKB110" s="50"/>
      <c r="AKC110" s="50"/>
      <c r="AKD110" s="50"/>
      <c r="AKE110" s="50"/>
      <c r="AKF110" s="50"/>
      <c r="AKG110" s="50"/>
      <c r="AKH110" s="50"/>
      <c r="ANX110" s="50"/>
      <c r="ANY110" s="50"/>
      <c r="ANZ110" s="50"/>
      <c r="AOA110" s="50"/>
      <c r="AOB110" s="50"/>
      <c r="AOC110" s="50"/>
      <c r="AOD110" s="50"/>
      <c r="AOE110" s="50"/>
      <c r="AOF110" s="50"/>
      <c r="AOG110" s="50"/>
      <c r="AOH110" s="50"/>
      <c r="AOI110" s="50"/>
      <c r="AOJ110" s="50"/>
      <c r="AOK110" s="50"/>
      <c r="AOL110" s="50"/>
      <c r="AOM110" s="50"/>
      <c r="AON110" s="50"/>
      <c r="AOO110" s="50"/>
      <c r="AOP110" s="50"/>
      <c r="AOQ110" s="50"/>
      <c r="AOR110" s="50"/>
      <c r="AOS110" s="50"/>
      <c r="AOT110" s="50"/>
      <c r="AOU110" s="50"/>
      <c r="AOV110" s="50"/>
      <c r="AOW110" s="50"/>
      <c r="AOX110" s="50"/>
      <c r="AOY110" s="50"/>
      <c r="AOZ110" s="50"/>
      <c r="APA110" s="50"/>
      <c r="APB110" s="50"/>
      <c r="APC110" s="50"/>
      <c r="APD110" s="50"/>
      <c r="APE110" s="50"/>
      <c r="APF110" s="50"/>
      <c r="APG110" s="50"/>
      <c r="APH110" s="50"/>
      <c r="API110" s="50"/>
      <c r="APJ110" s="50"/>
      <c r="APK110" s="50"/>
      <c r="APL110" s="50"/>
      <c r="APM110" s="50"/>
      <c r="APN110" s="50"/>
      <c r="APO110" s="50"/>
      <c r="APP110" s="50"/>
      <c r="APQ110" s="50"/>
      <c r="APR110" s="50"/>
      <c r="APS110" s="50"/>
      <c r="APT110" s="50"/>
      <c r="APU110" s="50"/>
      <c r="APV110" s="50"/>
      <c r="APW110" s="50"/>
      <c r="APX110" s="50"/>
      <c r="APY110" s="50"/>
      <c r="APZ110" s="50"/>
      <c r="AQA110" s="50"/>
      <c r="AQB110" s="50"/>
      <c r="ARC110" s="50"/>
      <c r="ARD110" s="50"/>
      <c r="ARE110" s="50"/>
      <c r="ARF110" s="50"/>
      <c r="ARG110" s="50"/>
      <c r="ARH110" s="50"/>
      <c r="ARI110" s="50"/>
      <c r="ARJ110" s="50"/>
      <c r="ARK110" s="50"/>
      <c r="ARL110" s="50"/>
      <c r="ARM110" s="50"/>
      <c r="ARN110" s="50"/>
      <c r="ARO110" s="50"/>
      <c r="ARP110" s="50"/>
      <c r="ARQ110" s="50"/>
      <c r="ARR110" s="50"/>
      <c r="ARS110" s="50"/>
      <c r="ART110" s="50"/>
      <c r="ARU110" s="50"/>
      <c r="ARV110" s="50"/>
      <c r="ARW110" s="50"/>
      <c r="ARX110" s="50"/>
      <c r="ARY110" s="50"/>
      <c r="ARZ110" s="50"/>
      <c r="ASA110" s="50"/>
      <c r="ASB110" s="50"/>
      <c r="ASC110" s="50"/>
      <c r="ASD110" s="50"/>
      <c r="ASE110" s="50"/>
      <c r="ASF110" s="50"/>
      <c r="BFF110" s="50"/>
      <c r="BFG110" s="50"/>
      <c r="BFH110" s="50"/>
      <c r="BFI110" s="50"/>
      <c r="BFJ110" s="50"/>
      <c r="BYV110">
        <v>1</v>
      </c>
      <c r="BYY110" s="15">
        <v>999</v>
      </c>
      <c r="BYZ110">
        <v>999</v>
      </c>
      <c r="BZA110">
        <v>0</v>
      </c>
      <c r="BZB110">
        <v>1</v>
      </c>
      <c r="CBI110" s="50"/>
      <c r="CBJ110" s="50"/>
      <c r="CBK110" s="50"/>
      <c r="CEC110">
        <v>1</v>
      </c>
    </row>
    <row r="111" spans="1:1022 1025:2046 2049:3070 3073:3942 4381:5104 5180:5345" x14ac:dyDescent="0.25">
      <c r="A111" s="50">
        <v>9150676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MA111">
        <v>66</v>
      </c>
      <c r="OR111">
        <v>56</v>
      </c>
      <c r="PT111">
        <v>135</v>
      </c>
      <c r="QK111" s="50"/>
      <c r="QL111" s="50"/>
      <c r="QM111" s="50"/>
      <c r="QN111" s="50"/>
      <c r="QO111" s="50"/>
      <c r="QP111" s="50"/>
      <c r="QQ111" s="50"/>
      <c r="QR111" s="50"/>
      <c r="QS111" s="50"/>
      <c r="QT111" s="50">
        <v>47</v>
      </c>
      <c r="QU111" s="50"/>
      <c r="QV111" s="50"/>
      <c r="QW111" s="50"/>
      <c r="QX111" s="50"/>
      <c r="QY111" s="50"/>
      <c r="QZ111" s="50"/>
      <c r="RA111" s="50"/>
      <c r="RB111" s="50"/>
      <c r="RC111" s="50"/>
      <c r="RD111" s="50"/>
      <c r="RE111" s="50"/>
      <c r="RF111" s="50"/>
      <c r="RG111" s="50"/>
      <c r="RH111" s="50"/>
      <c r="RI111" s="50"/>
      <c r="RJ111" s="50"/>
      <c r="RK111" s="50"/>
      <c r="RL111" s="50"/>
      <c r="RM111" s="50"/>
      <c r="RN111" s="50"/>
      <c r="RO111" s="50"/>
      <c r="RP111" s="50"/>
      <c r="RQ111" s="50"/>
      <c r="RR111" s="50"/>
      <c r="RS111" s="50"/>
      <c r="RT111" s="50"/>
      <c r="RU111" s="50"/>
      <c r="RV111" s="50"/>
      <c r="RW111" s="50"/>
      <c r="RX111" s="50"/>
      <c r="RY111" s="50"/>
      <c r="RZ111" s="50"/>
      <c r="SA111" s="50"/>
      <c r="SB111" s="50">
        <v>75</v>
      </c>
      <c r="SR111">
        <v>170</v>
      </c>
      <c r="SW111">
        <v>410</v>
      </c>
      <c r="TM111" s="50"/>
      <c r="TN111" s="50"/>
      <c r="TO111" s="50"/>
      <c r="TP111" s="50"/>
      <c r="TQ111" s="50"/>
      <c r="TR111" s="50"/>
      <c r="TS111" s="50"/>
      <c r="TT111" s="50"/>
      <c r="TU111" s="50"/>
      <c r="TV111" s="50"/>
      <c r="TW111" s="50"/>
      <c r="TX111" s="50"/>
      <c r="TY111" s="50"/>
      <c r="TZ111" s="50"/>
      <c r="UA111" s="50"/>
      <c r="UB111" s="50"/>
      <c r="UC111" s="50"/>
      <c r="UD111" s="50"/>
      <c r="UE111" s="50"/>
      <c r="UF111" s="50"/>
      <c r="AJB111" s="50"/>
      <c r="AJC111" s="50"/>
      <c r="AJD111" s="50"/>
      <c r="AJE111" s="50"/>
      <c r="AJF111" s="50"/>
      <c r="AJG111" s="50"/>
      <c r="AJH111" s="50"/>
      <c r="AJI111" s="50"/>
      <c r="AJJ111" s="50"/>
      <c r="AJK111" s="50"/>
      <c r="AJL111" s="50"/>
      <c r="AJM111" s="50"/>
      <c r="AJN111" s="50"/>
      <c r="AJO111" s="50"/>
      <c r="AJP111" s="50"/>
      <c r="AJQ111" s="50"/>
      <c r="AJR111" s="50"/>
      <c r="AJS111" s="50"/>
      <c r="AJT111" s="50"/>
      <c r="AJU111" s="50"/>
      <c r="AJV111" s="50"/>
      <c r="AJW111" s="50"/>
      <c r="AJX111" s="50"/>
      <c r="AJY111" s="50"/>
      <c r="AJZ111" s="50"/>
      <c r="AKA111" s="50"/>
      <c r="AKB111" s="50"/>
      <c r="AKC111" s="50"/>
      <c r="AKD111" s="50"/>
      <c r="AKE111" s="50"/>
      <c r="AKF111" s="50"/>
      <c r="AKG111" s="50"/>
      <c r="AKH111" s="50"/>
      <c r="ANX111" s="50"/>
      <c r="ANY111" s="50"/>
      <c r="ANZ111" s="50"/>
      <c r="AOA111" s="50"/>
      <c r="AOB111" s="50"/>
      <c r="AOC111" s="50"/>
      <c r="AOD111" s="50"/>
      <c r="AOE111" s="50"/>
      <c r="AOF111" s="50"/>
      <c r="AOG111" s="50"/>
      <c r="AOH111" s="50"/>
      <c r="AOI111" s="50"/>
      <c r="AOJ111" s="50"/>
      <c r="AOK111" s="50"/>
      <c r="AOL111" s="50"/>
      <c r="AOM111" s="50"/>
      <c r="AON111" s="50"/>
      <c r="AOO111" s="50"/>
      <c r="AOP111" s="50"/>
      <c r="AOQ111" s="50"/>
      <c r="AOR111" s="50"/>
      <c r="AOS111" s="50"/>
      <c r="AOT111" s="50"/>
      <c r="AOU111" s="50"/>
      <c r="AOV111" s="50"/>
      <c r="AOW111" s="50"/>
      <c r="AOX111" s="50"/>
      <c r="AOY111" s="50"/>
      <c r="AOZ111" s="50"/>
      <c r="APA111" s="50"/>
      <c r="APB111" s="50"/>
      <c r="APC111" s="50"/>
      <c r="APD111" s="50"/>
      <c r="APE111" s="50"/>
      <c r="APF111" s="50"/>
      <c r="APG111" s="50"/>
      <c r="APH111" s="50"/>
      <c r="API111" s="50"/>
      <c r="APJ111" s="50"/>
      <c r="APK111" s="50"/>
      <c r="APL111" s="50"/>
      <c r="APM111" s="50"/>
      <c r="APN111" s="50"/>
      <c r="APO111" s="50"/>
      <c r="APP111" s="50"/>
      <c r="APQ111" s="50"/>
      <c r="APR111" s="50"/>
      <c r="APS111" s="50"/>
      <c r="APT111" s="50"/>
      <c r="APU111" s="50"/>
      <c r="APV111" s="50"/>
      <c r="APW111" s="50"/>
      <c r="APX111" s="50"/>
      <c r="APY111" s="50"/>
      <c r="APZ111" s="50"/>
      <c r="AQA111" s="50"/>
      <c r="AQB111" s="50"/>
      <c r="ARC111" s="50"/>
      <c r="ARD111" s="50"/>
      <c r="ARE111" s="50"/>
      <c r="ARF111" s="50"/>
      <c r="ARG111" s="50"/>
      <c r="ARH111" s="50"/>
      <c r="ARI111" s="50"/>
      <c r="ARJ111" s="50"/>
      <c r="ARK111" s="50"/>
      <c r="ARL111" s="50"/>
      <c r="ARM111" s="50"/>
      <c r="ARN111" s="50"/>
      <c r="ARO111" s="50"/>
      <c r="ARP111" s="50"/>
      <c r="ARQ111" s="50"/>
      <c r="ARR111" s="50"/>
      <c r="ARS111" s="50"/>
      <c r="ART111" s="50"/>
      <c r="ARU111" s="50"/>
      <c r="ARV111" s="50"/>
      <c r="ARW111" s="50"/>
      <c r="ARX111" s="50"/>
      <c r="ARY111" s="50"/>
      <c r="ARZ111" s="50"/>
      <c r="ASA111" s="50"/>
      <c r="ASB111" s="50"/>
      <c r="ASC111" s="50"/>
      <c r="ASD111" s="50"/>
      <c r="ASE111" s="50"/>
      <c r="ASF111" s="50"/>
      <c r="BFF111" s="50"/>
      <c r="BFG111" s="50"/>
      <c r="BFH111" s="50"/>
      <c r="BFI111" s="50"/>
      <c r="BFJ111" s="50"/>
      <c r="BYV111">
        <v>1</v>
      </c>
      <c r="BYY111">
        <v>122</v>
      </c>
      <c r="BYZ111">
        <v>46</v>
      </c>
      <c r="BZA111">
        <v>0</v>
      </c>
      <c r="BZB111">
        <v>83</v>
      </c>
    </row>
    <row r="112" spans="1:1022 1025:2046 2049:3070 3073:3942 4381:5104 5180:5345" x14ac:dyDescent="0.25">
      <c r="A112" s="50">
        <v>10010926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BC112">
        <v>84</v>
      </c>
      <c r="BE112">
        <v>83</v>
      </c>
      <c r="CM112">
        <v>1.1000000000000001</v>
      </c>
      <c r="CO112">
        <v>1.1100000000000001</v>
      </c>
      <c r="EG112">
        <v>28.2</v>
      </c>
      <c r="EI112">
        <v>27.2</v>
      </c>
      <c r="FU112">
        <v>177</v>
      </c>
      <c r="HQ112">
        <v>6880</v>
      </c>
      <c r="HS112">
        <v>6410</v>
      </c>
      <c r="IC112">
        <v>5480</v>
      </c>
      <c r="JQ112">
        <v>11.1</v>
      </c>
      <c r="JS112">
        <v>16.100000000000001</v>
      </c>
      <c r="NF112">
        <v>16.7</v>
      </c>
      <c r="NH112">
        <v>18.399999999999999</v>
      </c>
      <c r="QK112" s="50"/>
      <c r="QL112" s="50"/>
      <c r="QM112" s="50"/>
      <c r="QN112" s="50"/>
      <c r="QO112" s="50"/>
      <c r="QP112" s="50"/>
      <c r="QQ112" s="50"/>
      <c r="QR112" s="50"/>
      <c r="QS112" s="50"/>
      <c r="QT112" s="50"/>
      <c r="QU112" s="50"/>
      <c r="QV112" s="50"/>
      <c r="QW112" s="50"/>
      <c r="QX112" s="50"/>
      <c r="QY112" s="50"/>
      <c r="QZ112" s="50"/>
      <c r="RA112" s="50"/>
      <c r="RB112" s="50"/>
      <c r="RC112" s="50"/>
      <c r="RD112" s="50"/>
      <c r="RE112" s="50"/>
      <c r="RF112" s="50"/>
      <c r="RG112" s="50"/>
      <c r="RH112" s="50"/>
      <c r="RI112" s="50"/>
      <c r="RJ112" s="50"/>
      <c r="RK112" s="50"/>
      <c r="RL112" s="50"/>
      <c r="RM112" s="50"/>
      <c r="RN112" s="50"/>
      <c r="RO112" s="50"/>
      <c r="RP112" s="50"/>
      <c r="RQ112" s="50"/>
      <c r="RR112" s="50"/>
      <c r="RS112" s="50"/>
      <c r="RT112" s="50"/>
      <c r="RU112" s="50"/>
      <c r="RV112" s="50"/>
      <c r="RW112" s="50"/>
      <c r="RX112" s="50"/>
      <c r="RY112" s="50"/>
      <c r="RZ112" s="50"/>
      <c r="SA112" s="50"/>
      <c r="SB112" s="50"/>
      <c r="TL112">
        <v>181</v>
      </c>
      <c r="TM112" s="50"/>
      <c r="TN112" s="50"/>
      <c r="TO112" s="50"/>
      <c r="TP112" s="50">
        <v>361</v>
      </c>
      <c r="TQ112" s="50"/>
      <c r="TR112" s="50"/>
      <c r="TS112" s="50"/>
      <c r="TT112" s="50"/>
      <c r="TU112" s="50"/>
      <c r="TV112" s="50"/>
      <c r="TW112" s="50"/>
      <c r="TX112" s="50"/>
      <c r="TY112" s="50"/>
      <c r="TZ112" s="50"/>
      <c r="UA112" s="50"/>
      <c r="UB112" s="50"/>
      <c r="UC112" s="50"/>
      <c r="UD112" s="50"/>
      <c r="UE112" s="50"/>
      <c r="UF112" s="50"/>
      <c r="ZT112" s="3">
        <v>10.313000000000001</v>
      </c>
      <c r="ZU112" s="3">
        <v>9.3460999999999999</v>
      </c>
      <c r="ZV112" s="3">
        <v>9.3460999999999999</v>
      </c>
      <c r="AAB112" s="3">
        <v>8.2180999999999997</v>
      </c>
      <c r="AAF112" s="3">
        <v>10.9575</v>
      </c>
      <c r="AAH112">
        <v>9.8294999999999995</v>
      </c>
      <c r="ACI112">
        <v>0.2324</v>
      </c>
      <c r="ACK112">
        <v>0.36030000000000001</v>
      </c>
      <c r="AEJ112">
        <v>1.9800000000000002E-2</v>
      </c>
      <c r="AJB112" s="50"/>
      <c r="AJC112" s="50"/>
      <c r="AJD112" s="50"/>
      <c r="AJE112" s="50"/>
      <c r="AJF112" s="50"/>
      <c r="AJG112" s="50"/>
      <c r="AJH112" s="50"/>
      <c r="AJI112" s="50"/>
      <c r="AJJ112" s="50"/>
      <c r="AJK112" s="50"/>
      <c r="AJL112" s="50"/>
      <c r="AJM112" s="50"/>
      <c r="AJN112" s="50"/>
      <c r="AJO112" s="50"/>
      <c r="AJP112" s="50"/>
      <c r="AJQ112" s="50"/>
      <c r="AJR112" s="50"/>
      <c r="AJS112" s="50"/>
      <c r="AJT112" s="50"/>
      <c r="AJU112" s="50"/>
      <c r="AJV112" s="50"/>
      <c r="AJW112" s="50"/>
      <c r="AJX112" s="50"/>
      <c r="AJY112" s="50"/>
      <c r="AJZ112" s="50"/>
      <c r="AKA112" s="50"/>
      <c r="AKB112" s="50"/>
      <c r="AKC112" s="50"/>
      <c r="AKD112" s="50"/>
      <c r="AKE112" s="50"/>
      <c r="AKF112" s="59">
        <v>8.4388000000000005</v>
      </c>
      <c r="AKG112" s="59">
        <v>5.7690999999999999</v>
      </c>
      <c r="AKH112" s="50">
        <v>2.4773000000000001</v>
      </c>
      <c r="AKN112" s="3">
        <v>1.1991000000000001</v>
      </c>
      <c r="AKO112" s="3"/>
      <c r="AKR112" s="3">
        <v>1.2103999999999999</v>
      </c>
      <c r="AKS112" s="3"/>
      <c r="ANX112" s="50"/>
      <c r="ANY112" s="50"/>
      <c r="ANZ112" s="50"/>
      <c r="AOA112" s="50"/>
      <c r="AOB112" s="50"/>
      <c r="AOC112" s="50"/>
      <c r="AOD112" s="50"/>
      <c r="AOE112" s="50"/>
      <c r="AOF112" s="50"/>
      <c r="AOG112" s="50"/>
      <c r="AOH112" s="50"/>
      <c r="AOI112" s="50"/>
      <c r="AOJ112" s="50"/>
      <c r="AOK112" s="50"/>
      <c r="AOL112" s="50"/>
      <c r="AOM112" s="50"/>
      <c r="AON112" s="50"/>
      <c r="AOO112" s="50"/>
      <c r="AOP112" s="50"/>
      <c r="AOQ112" s="50"/>
      <c r="AOR112" s="50"/>
      <c r="AOS112" s="50"/>
      <c r="AOT112" s="50"/>
      <c r="AOU112" s="50"/>
      <c r="AOV112" s="50"/>
      <c r="AOW112" s="50"/>
      <c r="AOX112" s="50"/>
      <c r="AOY112" s="50"/>
      <c r="AOZ112" s="50"/>
      <c r="APA112" s="50"/>
      <c r="APB112" s="50"/>
      <c r="APC112" s="50"/>
      <c r="APD112" s="50"/>
      <c r="APE112" s="50"/>
      <c r="APF112" s="50"/>
      <c r="APG112" s="50"/>
      <c r="APH112" s="50"/>
      <c r="API112" s="50"/>
      <c r="APJ112" s="50"/>
      <c r="APK112" s="50"/>
      <c r="APL112" s="50"/>
      <c r="APM112" s="59">
        <v>324.32400000000001</v>
      </c>
      <c r="APN112" s="59">
        <v>180.78059999999999</v>
      </c>
      <c r="APO112" s="59"/>
      <c r="APP112" s="50"/>
      <c r="APQ112" s="50"/>
      <c r="APR112" s="59">
        <v>345.94600000000003</v>
      </c>
      <c r="APS112" s="59"/>
      <c r="APT112" s="50"/>
      <c r="APU112" s="59">
        <v>329.72899999999998</v>
      </c>
      <c r="APV112" s="50"/>
      <c r="APW112" s="50"/>
      <c r="APX112" s="50"/>
      <c r="APY112" s="50"/>
      <c r="APZ112" s="50"/>
      <c r="AQA112" s="50"/>
      <c r="AQB112" s="50"/>
      <c r="ARC112" s="50"/>
      <c r="ARD112" s="50"/>
      <c r="ARE112" s="50"/>
      <c r="ARF112" s="50"/>
      <c r="ARG112" s="50"/>
      <c r="ARH112" s="50"/>
      <c r="ARI112" s="50"/>
      <c r="ARJ112" s="50"/>
      <c r="ARK112" s="50">
        <v>3040000</v>
      </c>
      <c r="ARL112" s="50">
        <v>2770000</v>
      </c>
      <c r="ARM112" s="50">
        <v>2800000</v>
      </c>
      <c r="ARN112" s="50"/>
      <c r="ARO112" s="50"/>
      <c r="ARP112" s="50"/>
      <c r="ARQ112" s="50"/>
      <c r="ARR112" s="50"/>
      <c r="ARS112" s="59">
        <v>24300000000</v>
      </c>
      <c r="ART112" s="59"/>
      <c r="ARU112" s="59"/>
      <c r="ARV112" s="50"/>
      <c r="ARW112" s="50">
        <v>3460000</v>
      </c>
      <c r="ARX112" s="50"/>
      <c r="ARY112" s="59">
        <v>32000000000</v>
      </c>
      <c r="ARZ112" s="59"/>
      <c r="ASA112" s="50"/>
      <c r="ASB112" s="50"/>
      <c r="ASC112" s="50"/>
      <c r="ASD112" s="50"/>
      <c r="ASE112" s="50"/>
      <c r="ASF112" s="50"/>
      <c r="ASV112">
        <v>22000</v>
      </c>
      <c r="ASW112">
        <v>23000</v>
      </c>
      <c r="ASX112">
        <v>16000</v>
      </c>
      <c r="ATD112">
        <v>16000</v>
      </c>
      <c r="ATH112">
        <v>40000</v>
      </c>
      <c r="ATJ112">
        <v>32000</v>
      </c>
      <c r="AUG112">
        <v>280</v>
      </c>
      <c r="AYF112">
        <v>7.23</v>
      </c>
      <c r="AYG112">
        <v>7.33</v>
      </c>
      <c r="AYH112">
        <v>7.34</v>
      </c>
      <c r="AYI112">
        <v>7.36</v>
      </c>
      <c r="AYJ112">
        <v>7.45</v>
      </c>
      <c r="AYL112">
        <v>7.48</v>
      </c>
      <c r="AYN112">
        <v>7.74</v>
      </c>
      <c r="AYP112">
        <v>-16.399999999999999</v>
      </c>
      <c r="AYR112">
        <v>-5.9</v>
      </c>
      <c r="AYT112">
        <v>6.7</v>
      </c>
      <c r="AYV112">
        <v>12.1</v>
      </c>
      <c r="AYW112">
        <v>17.600000000000001</v>
      </c>
      <c r="AYX112">
        <v>19.3</v>
      </c>
      <c r="AYY112">
        <v>22.4</v>
      </c>
      <c r="AYZ112">
        <v>24.6</v>
      </c>
      <c r="AZB112">
        <v>30.6</v>
      </c>
      <c r="AZC112">
        <v>29.6</v>
      </c>
      <c r="AZJ112">
        <v>24.001999999999999</v>
      </c>
      <c r="AZK112">
        <v>31.502600000000001</v>
      </c>
      <c r="AZL112">
        <v>36.003</v>
      </c>
      <c r="AZM112">
        <v>41.253399999999999</v>
      </c>
      <c r="AZN112">
        <v>34.502800000000001</v>
      </c>
      <c r="AZP112">
        <v>40.503300000000003</v>
      </c>
      <c r="AZQ112">
        <v>42.003500000000003</v>
      </c>
      <c r="BAL112">
        <v>30</v>
      </c>
      <c r="BAM112">
        <v>27</v>
      </c>
      <c r="BAN112">
        <v>28</v>
      </c>
      <c r="BAT112">
        <v>24</v>
      </c>
      <c r="BAX112">
        <v>33</v>
      </c>
      <c r="BAY112">
        <v>30</v>
      </c>
      <c r="BDK112" s="3">
        <v>33.6783</v>
      </c>
      <c r="BDL112" s="3">
        <v>33.356000000000002</v>
      </c>
      <c r="BDM112" s="3"/>
      <c r="BDQ112" s="3">
        <v>33.839399999999998</v>
      </c>
      <c r="BDR112" s="3">
        <v>31.744599999999998</v>
      </c>
      <c r="BDS112" s="3"/>
      <c r="BDT112" s="3">
        <v>31.744599999999998</v>
      </c>
      <c r="BDU112" s="3">
        <v>30.777699999999999</v>
      </c>
      <c r="BDV112" s="3"/>
      <c r="BDW112" s="3"/>
      <c r="BDX112" s="3"/>
      <c r="BDY112" s="3"/>
      <c r="BDZ112" s="3"/>
      <c r="BEA112" s="3"/>
      <c r="BEB112" s="3"/>
      <c r="BEC112" s="3"/>
      <c r="BED112" s="3"/>
      <c r="BEE112" s="3"/>
      <c r="BEF112" s="3"/>
      <c r="BEG112" s="3"/>
      <c r="BEH112" s="3"/>
      <c r="BEI112" s="3"/>
      <c r="BEJ112" s="3"/>
      <c r="BEK112" s="3"/>
      <c r="BEN112" s="3">
        <v>34.161700000000003</v>
      </c>
      <c r="BEO112" s="3">
        <v>33.356000000000002</v>
      </c>
      <c r="BEP112" s="3"/>
      <c r="BET112">
        <v>34.000500000000002</v>
      </c>
      <c r="BEU112" s="3">
        <v>33.839399999999998</v>
      </c>
      <c r="BEV112" s="3"/>
      <c r="BEW112" s="3">
        <v>33.033700000000003</v>
      </c>
      <c r="BEX112" s="3">
        <v>32.228000000000002</v>
      </c>
      <c r="BEY112" s="3"/>
      <c r="BFF112" s="50"/>
      <c r="BFG112" s="50"/>
      <c r="BFH112" s="50"/>
      <c r="BFI112" s="61"/>
      <c r="BFJ112" s="50"/>
      <c r="BGQ112">
        <v>137</v>
      </c>
      <c r="BGR112">
        <v>146</v>
      </c>
      <c r="BGS112">
        <v>145</v>
      </c>
      <c r="BHE112">
        <v>138</v>
      </c>
      <c r="BHW112">
        <v>6.3</v>
      </c>
      <c r="BHX112">
        <v>4.4000000000000004</v>
      </c>
      <c r="BHY112">
        <v>4.5</v>
      </c>
      <c r="BIK112">
        <v>3.9</v>
      </c>
      <c r="BIZ112">
        <v>2.2999999999999998</v>
      </c>
      <c r="BJA112">
        <v>2.23</v>
      </c>
      <c r="BJB112">
        <v>2.25</v>
      </c>
      <c r="BJK112">
        <v>2.2200000000000002</v>
      </c>
      <c r="BLL112">
        <v>6.8</v>
      </c>
      <c r="BLM112">
        <v>6.2</v>
      </c>
      <c r="BLW112" s="3">
        <v>133.3184</v>
      </c>
      <c r="BLX112" s="3"/>
      <c r="BYR112">
        <v>50</v>
      </c>
      <c r="BYS112">
        <v>1</v>
      </c>
      <c r="BYV112">
        <v>1</v>
      </c>
      <c r="BYY112" s="15">
        <v>999</v>
      </c>
      <c r="BYZ112">
        <v>999</v>
      </c>
      <c r="BZA112">
        <v>0</v>
      </c>
      <c r="BZB112">
        <v>0</v>
      </c>
      <c r="CAC112">
        <v>100</v>
      </c>
      <c r="CAD112">
        <v>1</v>
      </c>
      <c r="CAG112">
        <v>1</v>
      </c>
      <c r="CAH112" s="15">
        <v>999</v>
      </c>
      <c r="CAI112">
        <v>999</v>
      </c>
      <c r="CAJ112">
        <v>0</v>
      </c>
      <c r="CAK112">
        <v>2</v>
      </c>
      <c r="DEN112">
        <v>25</v>
      </c>
      <c r="DEO112">
        <v>1</v>
      </c>
      <c r="DER112">
        <v>1</v>
      </c>
      <c r="DES112" s="15">
        <v>999</v>
      </c>
      <c r="DET112">
        <v>999</v>
      </c>
      <c r="DEU112">
        <v>0</v>
      </c>
      <c r="DEV112">
        <v>0</v>
      </c>
      <c r="DHF112">
        <v>4</v>
      </c>
      <c r="DHG112">
        <v>1</v>
      </c>
      <c r="DHJ112">
        <v>1</v>
      </c>
      <c r="DJS112">
        <v>1</v>
      </c>
      <c r="DJT112" s="15">
        <v>999</v>
      </c>
      <c r="DJU112">
        <v>999</v>
      </c>
      <c r="DJV112">
        <v>0</v>
      </c>
      <c r="DJW112">
        <v>0</v>
      </c>
      <c r="DMQ112">
        <v>10</v>
      </c>
      <c r="DMR112">
        <v>1</v>
      </c>
      <c r="DMU112">
        <v>1</v>
      </c>
      <c r="DMV112" s="15">
        <v>999</v>
      </c>
      <c r="DMW112">
        <v>999</v>
      </c>
      <c r="DMX112">
        <v>0</v>
      </c>
      <c r="DMY112">
        <v>0</v>
      </c>
      <c r="DQY112">
        <v>7.0000000000000007E-2</v>
      </c>
      <c r="DQZ112">
        <v>1</v>
      </c>
      <c r="DRC112">
        <v>1</v>
      </c>
      <c r="DWL112">
        <v>10</v>
      </c>
      <c r="DWM112">
        <v>1</v>
      </c>
      <c r="DWP112">
        <v>1</v>
      </c>
      <c r="DWQ112" s="15">
        <v>999</v>
      </c>
      <c r="DWR112">
        <v>999</v>
      </c>
      <c r="DWS112">
        <v>0</v>
      </c>
      <c r="DWT112">
        <v>1</v>
      </c>
      <c r="EFM112">
        <v>65</v>
      </c>
      <c r="EFN112">
        <v>3</v>
      </c>
      <c r="EGH112">
        <v>2000</v>
      </c>
      <c r="EGI112">
        <v>1</v>
      </c>
      <c r="EGL112">
        <v>1</v>
      </c>
      <c r="EGM112" s="15">
        <v>999</v>
      </c>
      <c r="EGN112">
        <v>999</v>
      </c>
      <c r="EGO112">
        <v>1</v>
      </c>
      <c r="EGP112">
        <v>0</v>
      </c>
      <c r="FPJ112">
        <v>75</v>
      </c>
      <c r="FPK112">
        <v>1</v>
      </c>
      <c r="FPN112">
        <v>1</v>
      </c>
      <c r="FPO112" s="15">
        <v>999</v>
      </c>
      <c r="FPP112">
        <v>999</v>
      </c>
      <c r="FPQ112">
        <v>0</v>
      </c>
      <c r="FPR112">
        <v>0</v>
      </c>
      <c r="GEU112">
        <v>1.5</v>
      </c>
      <c r="GEV112">
        <v>1</v>
      </c>
      <c r="GVB112">
        <v>1500</v>
      </c>
      <c r="GVC112">
        <v>1</v>
      </c>
      <c r="GVF112">
        <v>1</v>
      </c>
    </row>
    <row r="113" spans="1:1012 1028:2032 2057:3070 3073:3892 4102:5114 5142:5554" x14ac:dyDescent="0.25">
      <c r="A113" s="50">
        <v>10016588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QK113" s="50"/>
      <c r="QL113" s="50"/>
      <c r="QM113" s="50"/>
      <c r="QN113" s="50"/>
      <c r="QO113" s="50"/>
      <c r="QP113" s="50"/>
      <c r="QQ113" s="50"/>
      <c r="QR113" s="50"/>
      <c r="QS113" s="50"/>
      <c r="QT113" s="50"/>
      <c r="QU113" s="50"/>
      <c r="QV113" s="50"/>
      <c r="QW113" s="50"/>
      <c r="QX113" s="50"/>
      <c r="QY113" s="50"/>
      <c r="QZ113" s="50"/>
      <c r="RA113" s="50"/>
      <c r="RB113" s="50"/>
      <c r="RC113" s="50"/>
      <c r="RD113" s="50"/>
      <c r="RE113" s="50"/>
      <c r="RF113" s="50"/>
      <c r="RG113" s="50"/>
      <c r="RH113" s="50"/>
      <c r="RI113" s="50"/>
      <c r="RJ113" s="50"/>
      <c r="RK113" s="50"/>
      <c r="RL113" s="50"/>
      <c r="RM113" s="50"/>
      <c r="RN113" s="50"/>
      <c r="RO113" s="50"/>
      <c r="RP113" s="50"/>
      <c r="RQ113" s="50"/>
      <c r="RR113" s="50"/>
      <c r="RS113" s="50"/>
      <c r="RT113" s="50"/>
      <c r="RU113" s="50"/>
      <c r="RV113" s="50"/>
      <c r="RW113" s="50"/>
      <c r="RX113" s="50"/>
      <c r="RY113" s="50"/>
      <c r="RZ113" s="50"/>
      <c r="SA113" s="50"/>
      <c r="SB113" s="50"/>
      <c r="TM113" s="50"/>
      <c r="TN113" s="50"/>
      <c r="TO113" s="50"/>
      <c r="TP113" s="50"/>
      <c r="TQ113" s="50"/>
      <c r="TR113" s="50"/>
      <c r="TS113" s="50"/>
      <c r="TT113" s="50"/>
      <c r="TU113" s="50"/>
      <c r="TV113" s="50"/>
      <c r="TW113" s="50"/>
      <c r="TX113" s="50"/>
      <c r="TY113" s="50"/>
      <c r="TZ113" s="50"/>
      <c r="UA113" s="50"/>
      <c r="UB113" s="50"/>
      <c r="UC113" s="50"/>
      <c r="UD113" s="50"/>
      <c r="UE113" s="50"/>
      <c r="UF113" s="50"/>
      <c r="AAY113">
        <v>8.4</v>
      </c>
      <c r="AHC113" s="50"/>
      <c r="AHD113" s="50"/>
      <c r="AHE113" s="50"/>
      <c r="AHF113" s="50"/>
      <c r="AHG113" s="50"/>
      <c r="AHH113" s="50"/>
      <c r="AHI113" s="50"/>
      <c r="AHJ113" s="50"/>
      <c r="AHK113" s="50"/>
      <c r="AJB113" s="50"/>
      <c r="AJC113" s="50"/>
      <c r="AJD113" s="50"/>
      <c r="AJE113" s="50"/>
      <c r="AJF113" s="50"/>
      <c r="AJG113" s="50"/>
      <c r="AJH113" s="50"/>
      <c r="AJI113" s="50"/>
      <c r="AJJ113" s="50"/>
      <c r="AJK113" s="50"/>
      <c r="AJL113" s="50"/>
      <c r="AJM113" s="50"/>
      <c r="AJN113" s="50"/>
      <c r="AJO113" s="50"/>
      <c r="AJP113" s="50"/>
      <c r="AJQ113" s="50"/>
      <c r="AJR113" s="50"/>
      <c r="AJS113" s="50"/>
      <c r="AJT113" s="50"/>
      <c r="AJU113" s="50"/>
      <c r="AJV113" s="50"/>
      <c r="AJW113" s="50"/>
      <c r="AJX113" s="50"/>
      <c r="AJY113" s="50"/>
      <c r="AJZ113" s="50"/>
      <c r="AKA113" s="50"/>
      <c r="AKB113" s="50"/>
      <c r="AKC113" s="50"/>
      <c r="AKD113" s="50"/>
      <c r="AKE113" s="50"/>
      <c r="AKF113" s="50"/>
      <c r="AKG113" s="50"/>
      <c r="AKH113" s="50"/>
      <c r="ANX113" s="50"/>
      <c r="ANY113" s="50"/>
      <c r="ANZ113" s="50"/>
      <c r="AOA113" s="50"/>
      <c r="AOB113" s="50"/>
      <c r="AOC113" s="50"/>
      <c r="AOD113" s="50"/>
      <c r="AOE113" s="50"/>
      <c r="AOF113" s="50"/>
      <c r="AOG113" s="50"/>
      <c r="AOH113" s="50"/>
      <c r="AOI113" s="50"/>
      <c r="AOJ113" s="50"/>
      <c r="AOK113" s="50"/>
      <c r="AOL113" s="50"/>
      <c r="AOM113" s="50"/>
      <c r="AON113" s="50"/>
      <c r="AOO113" s="50"/>
      <c r="AOP113" s="50"/>
      <c r="AOQ113" s="50"/>
      <c r="AOR113" s="50"/>
      <c r="AOS113" s="50"/>
      <c r="AOT113" s="50"/>
      <c r="AOU113" s="50"/>
      <c r="AOV113" s="50"/>
      <c r="AOW113" s="50"/>
      <c r="AOX113" s="50"/>
      <c r="AOY113" s="50"/>
      <c r="AOZ113" s="50"/>
      <c r="APA113" s="50"/>
      <c r="APB113" s="50"/>
      <c r="APC113" s="50"/>
      <c r="APD113" s="50"/>
      <c r="APE113" s="50"/>
      <c r="APF113" s="50"/>
      <c r="APG113" s="50"/>
      <c r="APH113" s="50"/>
      <c r="API113" s="50"/>
      <c r="APJ113" s="50"/>
      <c r="APK113" s="50"/>
      <c r="APL113" s="50"/>
      <c r="APM113" s="50"/>
      <c r="APN113" s="50"/>
      <c r="APO113" s="50"/>
      <c r="APP113" s="50"/>
      <c r="APQ113" s="50"/>
      <c r="APR113" s="50"/>
      <c r="APS113" s="50"/>
      <c r="APT113" s="50"/>
      <c r="APU113" s="50"/>
      <c r="APV113" s="50"/>
      <c r="APW113" s="50"/>
      <c r="APX113" s="50"/>
      <c r="APY113" s="50"/>
      <c r="APZ113" s="50"/>
      <c r="AQA113" s="50"/>
      <c r="AQB113" s="50"/>
      <c r="ARC113" s="50"/>
      <c r="ARD113" s="50"/>
      <c r="ARE113" s="50"/>
      <c r="ARF113" s="50"/>
      <c r="ARG113" s="50"/>
      <c r="ARH113" s="50"/>
      <c r="ARI113" s="50"/>
      <c r="ARJ113" s="50"/>
      <c r="ARK113" s="50"/>
      <c r="ARL113" s="50"/>
      <c r="ARM113" s="50"/>
      <c r="ARN113" s="50"/>
      <c r="ARO113" s="50"/>
      <c r="ARP113" s="50"/>
      <c r="ARQ113" s="50"/>
      <c r="ARR113" s="50"/>
      <c r="ARS113" s="50"/>
      <c r="ART113" s="50"/>
      <c r="ARU113" s="50"/>
      <c r="ARV113" s="50"/>
      <c r="ARW113" s="50"/>
      <c r="ARX113" s="50"/>
      <c r="ARY113" s="50"/>
      <c r="ARZ113" s="50"/>
      <c r="ASA113" s="50"/>
      <c r="ASB113" s="50"/>
      <c r="ASC113" s="50"/>
      <c r="ASD113" s="50"/>
      <c r="ASE113" s="50"/>
      <c r="ASF113" s="50"/>
      <c r="BFF113" s="50"/>
      <c r="BFG113" s="50"/>
      <c r="BFH113" s="50"/>
      <c r="BFI113" s="50"/>
      <c r="BFJ113" s="50"/>
      <c r="BYV113">
        <v>1</v>
      </c>
      <c r="BYY113">
        <v>53</v>
      </c>
      <c r="BYZ113">
        <v>94</v>
      </c>
      <c r="BZA113">
        <v>41</v>
      </c>
      <c r="BZB113">
        <v>0</v>
      </c>
      <c r="FAT113">
        <v>34</v>
      </c>
      <c r="FAU113">
        <v>38</v>
      </c>
      <c r="FAV113">
        <v>5</v>
      </c>
      <c r="FAW113">
        <v>0</v>
      </c>
    </row>
    <row r="114" spans="1:1012 1028:2032 2057:3070 3073:3892 4102:5114 5142:5554" x14ac:dyDescent="0.25">
      <c r="A114" s="50">
        <v>10030897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CO114">
        <v>1.1499999999999999</v>
      </c>
      <c r="CR114">
        <v>1.1000000000000001</v>
      </c>
      <c r="CW114">
        <v>1.08</v>
      </c>
      <c r="JA114">
        <v>29</v>
      </c>
      <c r="JQ114">
        <v>366</v>
      </c>
      <c r="JV114">
        <v>57</v>
      </c>
      <c r="KD114">
        <v>44</v>
      </c>
      <c r="MP114">
        <v>24</v>
      </c>
      <c r="NF114">
        <v>224</v>
      </c>
      <c r="NK114">
        <v>118</v>
      </c>
      <c r="NS114">
        <v>68</v>
      </c>
      <c r="OI114">
        <v>136</v>
      </c>
      <c r="OO114">
        <v>36</v>
      </c>
      <c r="QE114">
        <v>282</v>
      </c>
      <c r="QK114" s="50"/>
      <c r="QL114" s="50"/>
      <c r="QM114" s="50"/>
      <c r="QN114" s="50"/>
      <c r="QO114" s="50"/>
      <c r="QP114" s="50"/>
      <c r="QQ114" s="50"/>
      <c r="QR114" s="50"/>
      <c r="QS114" s="50"/>
      <c r="QT114" s="50">
        <v>869</v>
      </c>
      <c r="QU114" s="50"/>
      <c r="QV114" s="50"/>
      <c r="QW114" s="50"/>
      <c r="QX114" s="50"/>
      <c r="QY114" s="50">
        <v>1016</v>
      </c>
      <c r="QZ114" s="50"/>
      <c r="RA114" s="50"/>
      <c r="RB114" s="50"/>
      <c r="RC114" s="50"/>
      <c r="RD114" s="50"/>
      <c r="RE114" s="50"/>
      <c r="RF114" s="50"/>
      <c r="RG114" s="50">
        <v>606</v>
      </c>
      <c r="RH114" s="50"/>
      <c r="RI114" s="50"/>
      <c r="RJ114" s="50"/>
      <c r="RK114" s="50"/>
      <c r="RL114" s="50"/>
      <c r="RM114" s="50"/>
      <c r="RN114" s="50">
        <v>344</v>
      </c>
      <c r="RO114" s="50"/>
      <c r="RP114" s="50"/>
      <c r="RQ114" s="50"/>
      <c r="RR114" s="50"/>
      <c r="RS114" s="50"/>
      <c r="RT114" s="50"/>
      <c r="RU114" s="50"/>
      <c r="RV114" s="50"/>
      <c r="RW114" s="50"/>
      <c r="RX114" s="50"/>
      <c r="RY114" s="50">
        <v>193</v>
      </c>
      <c r="RZ114" s="50"/>
      <c r="SA114" s="50"/>
      <c r="SB114" s="50"/>
      <c r="TM114" s="50"/>
      <c r="TN114" s="50"/>
      <c r="TO114" s="50"/>
      <c r="TP114" s="50"/>
      <c r="TQ114" s="50"/>
      <c r="TR114" s="50"/>
      <c r="TS114" s="50"/>
      <c r="TT114" s="50"/>
      <c r="TU114" s="50"/>
      <c r="TV114" s="50"/>
      <c r="TW114" s="50"/>
      <c r="TX114" s="50"/>
      <c r="TY114" s="50"/>
      <c r="TZ114" s="50"/>
      <c r="UA114" s="50"/>
      <c r="UB114" s="50"/>
      <c r="UC114" s="50"/>
      <c r="UD114" s="50"/>
      <c r="UE114" s="50"/>
      <c r="UF114" s="50"/>
      <c r="VJ114">
        <v>525</v>
      </c>
      <c r="VR114">
        <v>213</v>
      </c>
      <c r="VV114">
        <v>319</v>
      </c>
      <c r="VY114">
        <v>252</v>
      </c>
      <c r="XE114">
        <v>43.8</v>
      </c>
      <c r="XM114">
        <v>11.4</v>
      </c>
      <c r="XR114">
        <v>31.6</v>
      </c>
      <c r="XW114">
        <v>45.2</v>
      </c>
      <c r="XY114">
        <v>47.1</v>
      </c>
      <c r="YB114">
        <v>41.7</v>
      </c>
      <c r="YH114">
        <v>9</v>
      </c>
      <c r="YN114">
        <v>4.8</v>
      </c>
      <c r="YR114">
        <v>7.6</v>
      </c>
      <c r="YT114">
        <v>6.9</v>
      </c>
      <c r="ZF114">
        <v>12.9</v>
      </c>
      <c r="ZT114">
        <v>12.4</v>
      </c>
      <c r="ZY114">
        <v>13.1</v>
      </c>
      <c r="AAG114">
        <v>14</v>
      </c>
      <c r="ABU114">
        <v>0.36</v>
      </c>
      <c r="ACG114">
        <v>2.48</v>
      </c>
      <c r="ACI114">
        <v>5.09</v>
      </c>
      <c r="ACL114">
        <v>1.81</v>
      </c>
      <c r="ACT114">
        <v>1.23</v>
      </c>
      <c r="ADA114">
        <v>0.93</v>
      </c>
      <c r="ADL114">
        <v>1.0900000000000001</v>
      </c>
      <c r="AEJ114">
        <v>2.11</v>
      </c>
      <c r="AEL114">
        <v>4.72</v>
      </c>
      <c r="AGE114">
        <v>139</v>
      </c>
      <c r="AGU114">
        <v>528</v>
      </c>
      <c r="AGZ114">
        <v>516</v>
      </c>
      <c r="AHC114" s="50"/>
      <c r="AHD114" s="50"/>
      <c r="AHE114" s="50"/>
      <c r="AHF114" s="50"/>
      <c r="AHG114" s="50"/>
      <c r="AHH114" s="50">
        <v>284</v>
      </c>
      <c r="AHI114" s="50"/>
      <c r="AHJ114" s="50"/>
      <c r="AHK114" s="50"/>
      <c r="AHO114">
        <v>182</v>
      </c>
      <c r="AHX114">
        <v>132</v>
      </c>
      <c r="AJB114" s="50"/>
      <c r="AJC114" s="50"/>
      <c r="AJD114" s="50"/>
      <c r="AJE114" s="50"/>
      <c r="AJF114" s="50"/>
      <c r="AJG114" s="50"/>
      <c r="AJH114" s="50"/>
      <c r="AJI114" s="50"/>
      <c r="AJJ114" s="50"/>
      <c r="AJK114" s="50"/>
      <c r="AJL114" s="50"/>
      <c r="AJM114" s="50"/>
      <c r="AJN114" s="50"/>
      <c r="AJO114" s="50"/>
      <c r="AJP114" s="50"/>
      <c r="AJQ114" s="50"/>
      <c r="AJR114" s="50"/>
      <c r="AJS114" s="50"/>
      <c r="AJT114" s="50"/>
      <c r="AJU114" s="50"/>
      <c r="AJV114" s="50"/>
      <c r="AJW114" s="50"/>
      <c r="AJX114" s="50"/>
      <c r="AJY114" s="50"/>
      <c r="AJZ114" s="50"/>
      <c r="AKA114" s="50"/>
      <c r="AKB114" s="50"/>
      <c r="AKC114" s="50"/>
      <c r="AKD114" s="50"/>
      <c r="AKE114" s="50"/>
      <c r="AKF114" s="50"/>
      <c r="AKG114" s="50"/>
      <c r="AKH114" s="50"/>
      <c r="ANX114" s="50"/>
      <c r="ANY114" s="50">
        <v>153.91</v>
      </c>
      <c r="ANZ114" s="50"/>
      <c r="AOA114" s="50">
        <v>135.88</v>
      </c>
      <c r="AOB114" s="50"/>
      <c r="AOC114" s="50"/>
      <c r="AOD114" s="50">
        <v>34</v>
      </c>
      <c r="AOE114" s="50"/>
      <c r="AOF114" s="50"/>
      <c r="AOG114" s="50"/>
      <c r="AOH114" s="50"/>
      <c r="AOI114" s="50"/>
      <c r="AOJ114" s="50"/>
      <c r="AOK114" s="50"/>
      <c r="AOL114" s="50">
        <v>5.73</v>
      </c>
      <c r="AOM114" s="50"/>
      <c r="AON114" s="50"/>
      <c r="AOO114" s="50"/>
      <c r="AOP114" s="50"/>
      <c r="AOQ114" s="50"/>
      <c r="AOR114" s="50"/>
      <c r="AOS114" s="50"/>
      <c r="AOT114" s="50"/>
      <c r="AOU114" s="50"/>
      <c r="AOV114" s="50">
        <v>3.75</v>
      </c>
      <c r="AOW114" s="50">
        <v>4.29</v>
      </c>
      <c r="AOX114" s="50"/>
      <c r="AOY114" s="50"/>
      <c r="AOZ114" s="50"/>
      <c r="APA114" s="50"/>
      <c r="APB114" s="50"/>
      <c r="APC114" s="50"/>
      <c r="APD114" s="50"/>
      <c r="APE114" s="50"/>
      <c r="APF114" s="50"/>
      <c r="APG114" s="50"/>
      <c r="APH114" s="50"/>
      <c r="API114" s="50"/>
      <c r="APJ114" s="50"/>
      <c r="APK114" s="50"/>
      <c r="APL114" s="50"/>
      <c r="APM114" s="50"/>
      <c r="APN114" s="50"/>
      <c r="APO114" s="50"/>
      <c r="APP114" s="50"/>
      <c r="APQ114" s="50"/>
      <c r="APR114" s="50"/>
      <c r="APS114" s="50"/>
      <c r="APT114" s="50"/>
      <c r="APU114" s="50"/>
      <c r="APV114" s="50"/>
      <c r="APW114" s="50"/>
      <c r="APX114" s="50"/>
      <c r="APY114" s="50"/>
      <c r="APZ114" s="50"/>
      <c r="AQA114" s="50"/>
      <c r="AQB114" s="50"/>
      <c r="AQY114">
        <v>390000</v>
      </c>
      <c r="ARC114" s="50"/>
      <c r="ARD114" s="50"/>
      <c r="ARE114" s="50"/>
      <c r="ARF114" s="50"/>
      <c r="ARG114" s="50"/>
      <c r="ARH114" s="50"/>
      <c r="ARI114" s="50"/>
      <c r="ARJ114" s="50"/>
      <c r="ARK114" s="50">
        <v>415000</v>
      </c>
      <c r="ARL114" s="50"/>
      <c r="ARM114" s="50"/>
      <c r="ARN114" s="50"/>
      <c r="ARO114" s="50"/>
      <c r="ARP114" s="50">
        <v>406000</v>
      </c>
      <c r="ARQ114" s="50"/>
      <c r="ARR114" s="50"/>
      <c r="ARS114" s="50"/>
      <c r="ART114" s="50"/>
      <c r="ARU114" s="50"/>
      <c r="ARV114" s="50"/>
      <c r="ARW114" s="50"/>
      <c r="ARX114" s="50">
        <v>437000</v>
      </c>
      <c r="ARY114" s="50"/>
      <c r="ARZ114" s="50"/>
      <c r="ASA114" s="50"/>
      <c r="ASB114" s="50"/>
      <c r="ASC114" s="50"/>
      <c r="ASD114" s="50"/>
      <c r="ASE114" s="50"/>
      <c r="ASF114" s="50"/>
      <c r="AVP114">
        <v>44</v>
      </c>
      <c r="AVW114">
        <v>83</v>
      </c>
      <c r="AWA114">
        <v>60</v>
      </c>
      <c r="AWC114">
        <v>46</v>
      </c>
      <c r="AWE114">
        <v>42</v>
      </c>
      <c r="AWH114">
        <v>48</v>
      </c>
      <c r="BFF114" s="50"/>
      <c r="BFG114" s="50"/>
      <c r="BFH114" s="50"/>
      <c r="BFI114" s="50"/>
      <c r="BFJ114" s="50"/>
      <c r="BYS114">
        <v>50</v>
      </c>
      <c r="BYT114">
        <v>1</v>
      </c>
      <c r="BYV114">
        <v>1</v>
      </c>
      <c r="BYY114">
        <v>8</v>
      </c>
      <c r="BYZ114">
        <v>2</v>
      </c>
      <c r="BZA114">
        <v>0</v>
      </c>
      <c r="BZB114">
        <v>5</v>
      </c>
      <c r="CAC114">
        <v>100</v>
      </c>
      <c r="CAD114">
        <v>1</v>
      </c>
      <c r="CAG114">
        <v>1</v>
      </c>
      <c r="CKL114">
        <v>7.5</v>
      </c>
      <c r="CKM114">
        <v>1</v>
      </c>
      <c r="CKP114">
        <v>1</v>
      </c>
      <c r="CKQ114">
        <v>20</v>
      </c>
      <c r="CKR114">
        <v>14</v>
      </c>
      <c r="CKS114">
        <v>0</v>
      </c>
      <c r="CKT114">
        <v>5</v>
      </c>
      <c r="DEN114">
        <v>50</v>
      </c>
      <c r="DEO114">
        <v>1</v>
      </c>
      <c r="DER114">
        <v>1</v>
      </c>
      <c r="DNA114">
        <v>2.5</v>
      </c>
      <c r="DNB114">
        <v>1</v>
      </c>
      <c r="DNE114">
        <v>1</v>
      </c>
      <c r="DNF114">
        <v>999</v>
      </c>
      <c r="DNG114">
        <v>999</v>
      </c>
      <c r="DNH114">
        <v>0</v>
      </c>
      <c r="DNI114">
        <v>72</v>
      </c>
      <c r="DVR114">
        <v>47.5</v>
      </c>
      <c r="DVS114">
        <v>1</v>
      </c>
      <c r="DVV114">
        <v>1</v>
      </c>
      <c r="EGH114">
        <v>850</v>
      </c>
      <c r="EGI114">
        <v>1</v>
      </c>
      <c r="EGL114">
        <v>1</v>
      </c>
      <c r="EGM114">
        <v>999</v>
      </c>
      <c r="EGN114">
        <v>999</v>
      </c>
      <c r="EGO114">
        <v>0</v>
      </c>
      <c r="EGP114">
        <v>5</v>
      </c>
      <c r="EMC114">
        <v>20</v>
      </c>
      <c r="EMD114">
        <v>1</v>
      </c>
      <c r="EMG114">
        <v>1</v>
      </c>
      <c r="EMH114">
        <v>8</v>
      </c>
      <c r="EMI114">
        <v>2</v>
      </c>
      <c r="EMJ114">
        <v>0</v>
      </c>
      <c r="EMK114">
        <v>5</v>
      </c>
      <c r="FMR114">
        <v>40</v>
      </c>
      <c r="FMS114">
        <v>1</v>
      </c>
      <c r="FMV114">
        <v>1</v>
      </c>
      <c r="FMW114" s="35">
        <v>999</v>
      </c>
      <c r="FMX114">
        <v>32</v>
      </c>
      <c r="FMY114">
        <v>0</v>
      </c>
      <c r="FMZ114">
        <v>999</v>
      </c>
      <c r="FNL114">
        <v>15</v>
      </c>
      <c r="FNM114">
        <v>1</v>
      </c>
      <c r="FNP114">
        <v>1</v>
      </c>
      <c r="FNQ114">
        <v>11</v>
      </c>
      <c r="FNR114">
        <v>5</v>
      </c>
      <c r="FNS114">
        <v>0</v>
      </c>
      <c r="FNT114">
        <v>5</v>
      </c>
    </row>
    <row r="115" spans="1:1012 1028:2032 2057:3070 3073:3892 4102:5114 5142:5554" x14ac:dyDescent="0.25">
      <c r="A115" s="50">
        <v>324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HQ115">
        <v>4200</v>
      </c>
      <c r="JQ115">
        <v>29.2</v>
      </c>
      <c r="KR115">
        <v>11.6</v>
      </c>
      <c r="NF115">
        <v>33.5</v>
      </c>
      <c r="OG115">
        <v>14.5</v>
      </c>
      <c r="QK115" s="50"/>
      <c r="QL115" s="50"/>
      <c r="QM115" s="50"/>
      <c r="QN115" s="50"/>
      <c r="QO115" s="50"/>
      <c r="QP115" s="50"/>
      <c r="QQ115" s="50"/>
      <c r="QR115" s="50"/>
      <c r="QS115" s="50"/>
      <c r="QT115" s="50"/>
      <c r="QU115" s="50"/>
      <c r="QV115" s="50"/>
      <c r="QW115" s="50"/>
      <c r="QX115" s="50"/>
      <c r="QY115" s="50"/>
      <c r="QZ115" s="50"/>
      <c r="RA115" s="50"/>
      <c r="RB115" s="50"/>
      <c r="RC115" s="50"/>
      <c r="RD115" s="50"/>
      <c r="RE115" s="50"/>
      <c r="RF115" s="50"/>
      <c r="RG115" s="50"/>
      <c r="RH115" s="50"/>
      <c r="RI115" s="50"/>
      <c r="RJ115" s="50"/>
      <c r="RK115" s="50"/>
      <c r="RL115" s="50"/>
      <c r="RM115" s="50"/>
      <c r="RN115" s="50"/>
      <c r="RO115" s="50"/>
      <c r="RP115" s="50"/>
      <c r="RQ115" s="50"/>
      <c r="RR115" s="50"/>
      <c r="RS115" s="50">
        <v>10.3</v>
      </c>
      <c r="RT115" s="50"/>
      <c r="RU115" s="50"/>
      <c r="RV115" s="50"/>
      <c r="RW115" s="50"/>
      <c r="RX115" s="50"/>
      <c r="RY115" s="50"/>
      <c r="RZ115" s="50"/>
      <c r="SA115" s="50"/>
      <c r="SB115" s="50"/>
      <c r="TM115" s="50"/>
      <c r="TN115" s="50"/>
      <c r="TO115" s="50"/>
      <c r="TP115" s="50"/>
      <c r="TQ115" s="50"/>
      <c r="TR115" s="50"/>
      <c r="TS115" s="50"/>
      <c r="TT115" s="50"/>
      <c r="TU115" s="50"/>
      <c r="TV115" s="50"/>
      <c r="TW115" s="50"/>
      <c r="TX115" s="50"/>
      <c r="TY115" s="50"/>
      <c r="TZ115" s="50"/>
      <c r="UA115" s="50"/>
      <c r="UB115" s="50"/>
      <c r="UC115" s="50"/>
      <c r="UD115" s="50"/>
      <c r="UE115" s="50">
        <v>198</v>
      </c>
      <c r="UF115" s="50"/>
      <c r="VN115">
        <v>116</v>
      </c>
      <c r="VX115">
        <v>134</v>
      </c>
      <c r="WE115">
        <v>154</v>
      </c>
      <c r="WP115">
        <v>42.8</v>
      </c>
      <c r="WW115">
        <v>88</v>
      </c>
      <c r="XM115">
        <v>19.3</v>
      </c>
      <c r="ZT115">
        <v>15.3</v>
      </c>
      <c r="ADF115">
        <v>0.7</v>
      </c>
      <c r="AGU115">
        <v>135</v>
      </c>
      <c r="AHC115" s="50"/>
      <c r="AHD115" s="50"/>
      <c r="AHE115" s="50"/>
      <c r="AHF115" s="50"/>
      <c r="AHG115" s="50"/>
      <c r="AHH115" s="50"/>
      <c r="AHI115" s="50"/>
      <c r="AHJ115" s="50"/>
      <c r="AHK115" s="50"/>
      <c r="AHU115">
        <v>121</v>
      </c>
      <c r="AIY115">
        <v>66000</v>
      </c>
      <c r="AJB115" s="50"/>
      <c r="AJC115" s="50"/>
      <c r="AJD115" s="50"/>
      <c r="AJE115" s="50"/>
      <c r="AJF115" s="50"/>
      <c r="AJG115" s="50"/>
      <c r="AJH115" s="50"/>
      <c r="AJI115" s="50"/>
      <c r="AJJ115" s="50"/>
      <c r="AJK115" s="50"/>
      <c r="AJL115" s="50">
        <v>6.2</v>
      </c>
      <c r="AJM115" s="50"/>
      <c r="AJN115" s="50"/>
      <c r="AJO115" s="50"/>
      <c r="AJP115" s="50"/>
      <c r="AJQ115" s="50"/>
      <c r="AJR115" s="50"/>
      <c r="AJS115" s="50"/>
      <c r="AJT115" s="50"/>
      <c r="AJU115" s="50"/>
      <c r="AJV115" s="50"/>
      <c r="AJW115" s="50"/>
      <c r="AJX115" s="50"/>
      <c r="AJY115" s="50"/>
      <c r="AJZ115" s="50"/>
      <c r="AKA115" s="50"/>
      <c r="AKB115" s="50"/>
      <c r="AKC115" s="50"/>
      <c r="AKD115" s="50"/>
      <c r="AKE115" s="50"/>
      <c r="AKF115" s="50">
        <v>1.26</v>
      </c>
      <c r="AKG115" s="50"/>
      <c r="AKH115" s="50"/>
      <c r="ALA115">
        <v>1.08</v>
      </c>
      <c r="ALP115">
        <v>96</v>
      </c>
      <c r="AMN115">
        <v>30</v>
      </c>
      <c r="ANX115" s="50"/>
      <c r="ANY115" s="50"/>
      <c r="ANZ115" s="50"/>
      <c r="AOA115" s="50"/>
      <c r="AOB115" s="50"/>
      <c r="AOC115" s="50"/>
      <c r="AOD115" s="50"/>
      <c r="AOE115" s="50"/>
      <c r="AOF115" s="50"/>
      <c r="AOG115" s="50"/>
      <c r="AOH115" s="50"/>
      <c r="AOI115" s="50"/>
      <c r="AOJ115" s="50"/>
      <c r="AOK115" s="50"/>
      <c r="AOL115" s="50"/>
      <c r="AOM115" s="50"/>
      <c r="AON115" s="50"/>
      <c r="AOO115" s="50"/>
      <c r="AOP115" s="50"/>
      <c r="AOQ115" s="50"/>
      <c r="AOR115" s="50"/>
      <c r="AOS115" s="50"/>
      <c r="AOT115" s="50"/>
      <c r="AOU115" s="50"/>
      <c r="AOV115" s="50"/>
      <c r="AOW115" s="50"/>
      <c r="AOX115" s="50"/>
      <c r="AOY115" s="50"/>
      <c r="AOZ115" s="50"/>
      <c r="APA115" s="50"/>
      <c r="APB115" s="50"/>
      <c r="APC115" s="50"/>
      <c r="APD115" s="50"/>
      <c r="APE115" s="50"/>
      <c r="APF115" s="50"/>
      <c r="APG115" s="50"/>
      <c r="APH115" s="50"/>
      <c r="API115" s="50"/>
      <c r="APJ115" s="50"/>
      <c r="APK115" s="50"/>
      <c r="APL115" s="50">
        <v>33</v>
      </c>
      <c r="APM115" s="50"/>
      <c r="APN115" s="50"/>
      <c r="APO115" s="50"/>
      <c r="APP115" s="50"/>
      <c r="APQ115" s="50"/>
      <c r="APR115" s="50"/>
      <c r="APS115" s="50"/>
      <c r="APT115" s="50"/>
      <c r="APU115" s="50"/>
      <c r="APV115" s="50"/>
      <c r="APW115" s="50"/>
      <c r="APX115" s="50"/>
      <c r="APY115" s="50"/>
      <c r="APZ115" s="50"/>
      <c r="AQA115" s="50"/>
      <c r="AQB115" s="50">
        <v>30.7</v>
      </c>
      <c r="AQM115">
        <v>6.6</v>
      </c>
      <c r="AQW115">
        <v>6.3</v>
      </c>
      <c r="ARC115" s="50"/>
      <c r="ARD115" s="50"/>
      <c r="ARE115" s="50"/>
      <c r="ARF115" s="50"/>
      <c r="ARG115" s="50"/>
      <c r="ARH115" s="50"/>
      <c r="ARI115" s="50"/>
      <c r="ARJ115" s="50"/>
      <c r="ARK115" s="50">
        <v>5200000</v>
      </c>
      <c r="ARL115" s="50"/>
      <c r="ARM115" s="50"/>
      <c r="ARN115" s="50"/>
      <c r="ARO115" s="50"/>
      <c r="ARP115" s="50"/>
      <c r="ARQ115" s="50"/>
      <c r="ARR115" s="50"/>
      <c r="ARS115" s="50"/>
      <c r="ART115" s="50"/>
      <c r="ARU115" s="50"/>
      <c r="ARV115" s="50"/>
      <c r="ARW115" s="50"/>
      <c r="ARX115" s="50"/>
      <c r="ARY115" s="50"/>
      <c r="ARZ115" s="50"/>
      <c r="ASA115" s="50"/>
      <c r="ASB115" s="50"/>
      <c r="ASC115" s="50"/>
      <c r="ASD115" s="50"/>
      <c r="ASE115" s="50"/>
      <c r="ASF115" s="50"/>
      <c r="ASV115">
        <v>157000</v>
      </c>
      <c r="AUR115">
        <v>10.1</v>
      </c>
      <c r="AVC115">
        <v>6.8</v>
      </c>
      <c r="AVW115">
        <v>63.8</v>
      </c>
      <c r="AWS115">
        <v>0.1</v>
      </c>
      <c r="BAL115">
        <v>46</v>
      </c>
      <c r="BBK115">
        <v>34</v>
      </c>
      <c r="BFF115" s="50"/>
      <c r="BFG115" s="50"/>
      <c r="BFH115" s="50"/>
      <c r="BFI115" s="50"/>
      <c r="BFJ115" s="50"/>
      <c r="BGQ115">
        <v>146</v>
      </c>
      <c r="BHI115">
        <v>135</v>
      </c>
      <c r="BHW115">
        <v>5.07</v>
      </c>
      <c r="BLW115">
        <v>79</v>
      </c>
      <c r="BPE115">
        <v>41</v>
      </c>
      <c r="BPF115">
        <v>1</v>
      </c>
      <c r="BPH115">
        <v>29.6</v>
      </c>
      <c r="BPJ115">
        <v>1</v>
      </c>
      <c r="BPK115">
        <v>33</v>
      </c>
      <c r="BPL115">
        <v>1</v>
      </c>
      <c r="BQU115">
        <v>1</v>
      </c>
      <c r="BQW115">
        <v>1</v>
      </c>
      <c r="BYB115">
        <v>1</v>
      </c>
      <c r="BYS115">
        <v>2.5</v>
      </c>
      <c r="BYV115">
        <v>1</v>
      </c>
      <c r="BYY115">
        <v>8</v>
      </c>
      <c r="BYZ115">
        <v>7</v>
      </c>
      <c r="BZA115">
        <v>0</v>
      </c>
      <c r="BZB115">
        <v>0</v>
      </c>
      <c r="DFH115">
        <v>300</v>
      </c>
      <c r="DFI115">
        <v>1</v>
      </c>
      <c r="DFL115">
        <v>1</v>
      </c>
      <c r="DFM115">
        <v>9</v>
      </c>
      <c r="DFN115">
        <v>215</v>
      </c>
      <c r="DFO115">
        <v>183</v>
      </c>
      <c r="DFP115">
        <v>0</v>
      </c>
    </row>
    <row r="116" spans="1:1012 1028:2032 2057:3070 3073:3892 4102:5114 5142:5554" x14ac:dyDescent="0.25">
      <c r="A116" s="50">
        <v>3909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BH116">
        <v>50</v>
      </c>
      <c r="HU116">
        <v>12000</v>
      </c>
      <c r="JU116">
        <v>160</v>
      </c>
      <c r="LP116">
        <v>113</v>
      </c>
      <c r="NJ116">
        <v>570</v>
      </c>
      <c r="PF116">
        <v>158</v>
      </c>
      <c r="QK116" s="50"/>
      <c r="QL116" s="50"/>
      <c r="QM116" s="50"/>
      <c r="QN116" s="50"/>
      <c r="QO116" s="50"/>
      <c r="QP116" s="50"/>
      <c r="QQ116" s="50"/>
      <c r="QR116" s="50"/>
      <c r="QS116" s="50"/>
      <c r="QT116" s="50"/>
      <c r="QU116" s="50"/>
      <c r="QV116" s="50"/>
      <c r="QW116" s="50"/>
      <c r="QX116" s="50"/>
      <c r="QY116" s="50"/>
      <c r="QZ116" s="50"/>
      <c r="RA116" s="50"/>
      <c r="RB116" s="50"/>
      <c r="RC116" s="50"/>
      <c r="RD116" s="50"/>
      <c r="RE116" s="50"/>
      <c r="RF116" s="50"/>
      <c r="RG116" s="50"/>
      <c r="RH116" s="50"/>
      <c r="RI116" s="50"/>
      <c r="RJ116" s="50"/>
      <c r="RK116" s="50"/>
      <c r="RL116" s="50"/>
      <c r="RM116" s="50"/>
      <c r="RN116" s="50"/>
      <c r="RO116" s="50"/>
      <c r="RP116" s="50"/>
      <c r="RQ116" s="50"/>
      <c r="RR116" s="50"/>
      <c r="RS116" s="50"/>
      <c r="RT116" s="50"/>
      <c r="RU116" s="50"/>
      <c r="RV116" s="50"/>
      <c r="RW116" s="50"/>
      <c r="RX116" s="50"/>
      <c r="RY116" s="50"/>
      <c r="RZ116" s="50"/>
      <c r="SA116" s="50"/>
      <c r="SB116" s="50"/>
      <c r="SN116">
        <v>90</v>
      </c>
      <c r="TM116" s="50"/>
      <c r="TN116" s="50"/>
      <c r="TO116" s="50"/>
      <c r="TP116" s="50"/>
      <c r="TQ116" s="50"/>
      <c r="TR116" s="50"/>
      <c r="TS116" s="50"/>
      <c r="TT116" s="50"/>
      <c r="TU116" s="50"/>
      <c r="TV116" s="50"/>
      <c r="TW116" s="50"/>
      <c r="TX116" s="50"/>
      <c r="TY116" s="50"/>
      <c r="TZ116" s="50"/>
      <c r="UA116" s="50"/>
      <c r="UB116" s="50"/>
      <c r="UC116" s="50"/>
      <c r="UD116" s="50"/>
      <c r="UE116" s="50"/>
      <c r="UF116" s="50"/>
      <c r="WD116" s="50"/>
      <c r="WG116">
        <v>154</v>
      </c>
      <c r="YC116">
        <v>4.3</v>
      </c>
      <c r="ZX116">
        <v>12.9</v>
      </c>
      <c r="AAS116">
        <v>14.7</v>
      </c>
      <c r="ADY116">
        <v>4.2</v>
      </c>
      <c r="AFP116">
        <v>5.0999999999999996</v>
      </c>
      <c r="AFY116">
        <v>6.8</v>
      </c>
      <c r="AGG116" s="50"/>
      <c r="AHC116" s="50"/>
      <c r="AHD116" s="50"/>
      <c r="AHE116" s="50"/>
      <c r="AHF116" s="50"/>
      <c r="AHG116" s="50"/>
      <c r="AHH116" s="50"/>
      <c r="AHI116" s="50"/>
      <c r="AHJ116" s="50"/>
      <c r="AHK116" s="50"/>
      <c r="AJB116" s="50"/>
      <c r="AJC116" s="50"/>
      <c r="AJD116" s="50"/>
      <c r="AJE116" s="50"/>
      <c r="AJF116" s="50"/>
      <c r="AJG116" s="50"/>
      <c r="AJH116" s="50"/>
      <c r="AJI116" s="50"/>
      <c r="AJJ116" s="50"/>
      <c r="AJK116" s="50"/>
      <c r="AJL116" s="50"/>
      <c r="AJM116" s="50"/>
      <c r="AJN116" s="50"/>
      <c r="AJO116" s="50"/>
      <c r="AJP116" s="50"/>
      <c r="AJQ116" s="50"/>
      <c r="AJR116" s="50"/>
      <c r="AJS116" s="50"/>
      <c r="AJT116" s="50"/>
      <c r="AJU116" s="50"/>
      <c r="AJV116" s="50"/>
      <c r="AJW116" s="50"/>
      <c r="AJX116" s="50"/>
      <c r="AJY116" s="50"/>
      <c r="AJZ116" s="50"/>
      <c r="AKA116" s="50"/>
      <c r="AKB116" s="50"/>
      <c r="AKC116" s="50"/>
      <c r="AKD116" s="50"/>
      <c r="AKE116" s="50"/>
      <c r="AKF116" s="50"/>
      <c r="AKG116" s="50"/>
      <c r="AKH116" s="50"/>
      <c r="AKJ116">
        <v>0.6</v>
      </c>
      <c r="ANM116">
        <v>177</v>
      </c>
      <c r="ANX116" s="50"/>
      <c r="ANY116" s="50"/>
      <c r="ANZ116" s="50"/>
      <c r="AOA116" s="50"/>
      <c r="AOB116" s="50"/>
      <c r="AOC116" s="50"/>
      <c r="AOD116" s="50"/>
      <c r="AOE116" s="50"/>
      <c r="AOF116" s="50"/>
      <c r="AOG116" s="50"/>
      <c r="AOH116" s="50"/>
      <c r="AOI116" s="50"/>
      <c r="AOJ116" s="50"/>
      <c r="AOK116" s="50"/>
      <c r="AOL116" s="50"/>
      <c r="AOM116" s="50"/>
      <c r="AON116" s="50"/>
      <c r="AOO116" s="50"/>
      <c r="AOP116" s="50"/>
      <c r="AOQ116" s="50"/>
      <c r="AOR116" s="50"/>
      <c r="AOS116" s="50"/>
      <c r="AOT116" s="50"/>
      <c r="AOU116" s="50"/>
      <c r="AOV116" s="50"/>
      <c r="AOW116" s="50"/>
      <c r="AOX116" s="50"/>
      <c r="AOY116" s="50"/>
      <c r="AOZ116" s="50"/>
      <c r="APA116" s="50"/>
      <c r="AQF116">
        <v>49</v>
      </c>
      <c r="ARC116" s="50"/>
      <c r="ARD116" s="50"/>
      <c r="ARE116" s="50"/>
      <c r="ARF116" s="50"/>
      <c r="ARG116" s="50"/>
      <c r="ARH116" s="50"/>
      <c r="ARI116" s="50"/>
      <c r="ARJ116" s="50"/>
      <c r="ARK116" s="50"/>
      <c r="ARL116" s="50"/>
      <c r="ARM116" s="50"/>
      <c r="ARN116" s="50"/>
      <c r="ARO116" s="50"/>
      <c r="ARP116" s="50"/>
      <c r="ARQ116" s="50"/>
      <c r="ARR116" s="50"/>
      <c r="ARS116" s="50"/>
      <c r="ART116" s="50"/>
      <c r="ARU116" s="50"/>
      <c r="ARV116" s="50"/>
      <c r="ARW116" s="50"/>
      <c r="ARX116" s="50"/>
      <c r="ARY116" s="50"/>
      <c r="ARZ116" s="50"/>
      <c r="ASA116" s="50"/>
      <c r="ASB116" s="50"/>
      <c r="ASC116" s="50"/>
      <c r="ASD116" s="50"/>
      <c r="ASE116" s="50"/>
      <c r="ASF116" s="50"/>
      <c r="ASZ116">
        <v>132000</v>
      </c>
      <c r="ATW116">
        <v>160000</v>
      </c>
      <c r="AXK116">
        <v>56.8</v>
      </c>
      <c r="BBL116">
        <v>43</v>
      </c>
      <c r="BFF116" s="50"/>
      <c r="BFG116" s="50"/>
      <c r="BFH116" s="50"/>
      <c r="BFI116" s="50"/>
      <c r="BFJ116" s="50"/>
      <c r="BGU116">
        <v>139</v>
      </c>
      <c r="BHL116">
        <v>140</v>
      </c>
      <c r="BIA116">
        <v>3.5</v>
      </c>
      <c r="BIP116">
        <v>4.7</v>
      </c>
      <c r="BJD116">
        <v>2.15</v>
      </c>
      <c r="BLW116">
        <v>113</v>
      </c>
      <c r="BMP116">
        <v>98</v>
      </c>
      <c r="BPE116">
        <v>59</v>
      </c>
      <c r="BPG116">
        <v>1</v>
      </c>
      <c r="BPJ116">
        <v>1</v>
      </c>
      <c r="BVU116">
        <v>1</v>
      </c>
      <c r="BYR116">
        <v>50</v>
      </c>
      <c r="BYV116">
        <v>1</v>
      </c>
      <c r="CCX116">
        <v>12.5</v>
      </c>
      <c r="CCY116">
        <v>1</v>
      </c>
      <c r="CDB116">
        <v>1</v>
      </c>
      <c r="CDC116">
        <v>7</v>
      </c>
      <c r="CDD116">
        <v>6</v>
      </c>
      <c r="CDE116">
        <v>0</v>
      </c>
      <c r="CDF116">
        <v>0</v>
      </c>
      <c r="GXZ116">
        <v>1</v>
      </c>
      <c r="HBX116">
        <v>1</v>
      </c>
      <c r="HCB116">
        <v>1</v>
      </c>
      <c r="HCF116">
        <v>1</v>
      </c>
    </row>
    <row r="117" spans="1:1012 1028:2032 2057:3070 3073:3892 4102:5114 5142:5554" x14ac:dyDescent="0.25">
      <c r="A117" s="50">
        <v>4663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AV117">
        <v>103</v>
      </c>
      <c r="BQ117">
        <v>28</v>
      </c>
      <c r="CF117">
        <v>0.98</v>
      </c>
      <c r="CY117">
        <v>2.48</v>
      </c>
      <c r="DY117">
        <v>31</v>
      </c>
      <c r="ET117">
        <v>40</v>
      </c>
      <c r="GD117">
        <v>600</v>
      </c>
      <c r="GU117" s="3">
        <v>440</v>
      </c>
      <c r="JC117">
        <v>28.2</v>
      </c>
      <c r="KA117" s="50"/>
      <c r="KB117" s="50"/>
      <c r="KC117" s="50"/>
      <c r="KD117" s="50"/>
      <c r="KE117" s="50"/>
      <c r="KF117" s="50"/>
      <c r="MR117">
        <v>29.4</v>
      </c>
      <c r="NP117" s="50"/>
      <c r="NQ117" s="50"/>
      <c r="NR117" s="50"/>
      <c r="NS117" s="50"/>
      <c r="NT117" s="50"/>
      <c r="NU117" s="50"/>
      <c r="QG117">
        <v>36</v>
      </c>
      <c r="QK117" s="50"/>
      <c r="QL117" s="50"/>
      <c r="QM117" s="50"/>
      <c r="QN117" s="50"/>
      <c r="QO117" s="50"/>
      <c r="QP117" s="50"/>
      <c r="QQ117" s="50"/>
      <c r="QR117" s="50"/>
      <c r="QS117" s="50"/>
      <c r="QT117" s="50"/>
      <c r="QU117" s="50"/>
      <c r="QV117" s="50"/>
      <c r="QW117" s="50"/>
      <c r="QX117" s="50"/>
      <c r="QY117" s="50"/>
      <c r="QZ117" s="50"/>
      <c r="RA117" s="50"/>
      <c r="RB117" s="50"/>
      <c r="RC117" s="50"/>
      <c r="RD117" s="50"/>
      <c r="RE117" s="50"/>
      <c r="RF117" s="50"/>
      <c r="RG117" s="50"/>
      <c r="RH117" s="50"/>
      <c r="RI117" s="50"/>
      <c r="RJ117" s="50"/>
      <c r="RK117" s="50"/>
      <c r="RL117" s="50"/>
      <c r="RM117" s="50"/>
      <c r="RN117" s="50"/>
      <c r="RO117" s="50"/>
      <c r="RP117" s="50"/>
      <c r="RQ117" s="50"/>
      <c r="RR117" s="50"/>
      <c r="RS117" s="50"/>
      <c r="RT117" s="50"/>
      <c r="RU117" s="50"/>
      <c r="RV117" s="50"/>
      <c r="RW117" s="50"/>
      <c r="RX117" s="50"/>
      <c r="RY117" s="50"/>
      <c r="RZ117" s="50"/>
      <c r="SA117" s="50"/>
      <c r="SB117" s="50"/>
      <c r="TC117" s="50"/>
      <c r="TM117" s="50"/>
      <c r="TN117" s="50"/>
      <c r="TO117" s="50"/>
      <c r="TP117" s="50"/>
      <c r="TQ117" s="50"/>
      <c r="TR117" s="50"/>
      <c r="TS117" s="50"/>
      <c r="TT117" s="50"/>
      <c r="TU117" s="50"/>
      <c r="TV117" s="50"/>
      <c r="TW117" s="50"/>
      <c r="TX117" s="50"/>
      <c r="TY117" s="50"/>
      <c r="TZ117" s="50"/>
      <c r="UA117" s="50"/>
      <c r="UB117" s="50"/>
      <c r="UC117" s="50"/>
      <c r="UD117" s="50"/>
      <c r="UE117" s="50"/>
      <c r="UF117" s="50"/>
      <c r="AHC117" s="50"/>
      <c r="AHD117" s="50"/>
      <c r="AHE117" s="50"/>
      <c r="AHF117" s="50"/>
      <c r="AHG117" s="50"/>
      <c r="AHH117" s="50"/>
      <c r="AHI117" s="50"/>
      <c r="AHJ117" s="50"/>
      <c r="AHK117" s="50"/>
      <c r="AJB117" s="50"/>
      <c r="AJC117" s="50"/>
      <c r="AJD117" s="50"/>
      <c r="AJE117" s="50"/>
      <c r="AJF117" s="50"/>
      <c r="AJG117" s="50"/>
      <c r="AJH117" s="50"/>
      <c r="AJI117" s="50"/>
      <c r="AJJ117" s="50"/>
      <c r="AJK117" s="50"/>
      <c r="AJL117" s="50"/>
      <c r="AJM117" s="50"/>
      <c r="AJN117" s="50"/>
      <c r="AJO117" s="50"/>
      <c r="AJP117" s="50"/>
      <c r="AJQ117" s="50"/>
      <c r="AJR117" s="50"/>
      <c r="AJS117" s="50"/>
      <c r="AJT117" s="50"/>
      <c r="AJU117" s="50"/>
      <c r="AJV117" s="50"/>
      <c r="AJW117" s="50"/>
      <c r="AJX117" s="50"/>
      <c r="AJY117" s="50"/>
      <c r="AJZ117" s="50"/>
      <c r="AKA117" s="50"/>
      <c r="AKB117" s="50"/>
      <c r="AKC117" s="50"/>
      <c r="AKD117" s="50"/>
      <c r="AKE117" s="50"/>
      <c r="AKF117" s="50"/>
      <c r="AKG117" s="50"/>
      <c r="AKH117" s="50"/>
      <c r="ANX117" s="50"/>
      <c r="ANY117" s="50"/>
      <c r="ANZ117" s="50"/>
      <c r="AOA117" s="50"/>
      <c r="AOB117" s="50"/>
      <c r="AOC117" s="50"/>
      <c r="AOD117" s="50"/>
      <c r="AOE117" s="50"/>
      <c r="AOF117" s="50"/>
      <c r="AOG117" s="50"/>
      <c r="AOH117" s="50"/>
      <c r="AOI117" s="50"/>
      <c r="AOJ117" s="50"/>
      <c r="AOK117" s="50"/>
      <c r="AOL117" s="50"/>
      <c r="AOM117" s="50"/>
      <c r="AON117" s="50"/>
      <c r="AOO117" s="50"/>
      <c r="AOP117" s="50"/>
      <c r="AOQ117" s="50"/>
      <c r="AOR117" s="50"/>
      <c r="AOS117" s="50"/>
      <c r="AOT117" s="50"/>
      <c r="AOU117" s="50"/>
      <c r="AOV117" s="50"/>
      <c r="AOW117" s="50"/>
      <c r="AOX117" s="50"/>
      <c r="AOY117" s="50"/>
      <c r="AOZ117" s="50"/>
      <c r="APA117" s="50"/>
      <c r="ARC117" s="50"/>
      <c r="ARD117" s="50"/>
      <c r="ARE117" s="50"/>
      <c r="ARF117" s="50"/>
      <c r="ARG117" s="50"/>
      <c r="ARH117" s="50"/>
      <c r="ARI117" s="50"/>
      <c r="ARJ117" s="50"/>
      <c r="ARK117" s="50"/>
      <c r="ARL117" s="50"/>
      <c r="ARM117" s="50"/>
      <c r="ARN117" s="50"/>
      <c r="ARO117" s="50"/>
      <c r="ARP117" s="50"/>
      <c r="ARQ117" s="50"/>
      <c r="ARR117" s="50"/>
      <c r="ARS117" s="50"/>
      <c r="ART117" s="50"/>
      <c r="ARU117" s="50"/>
      <c r="ARV117" s="50"/>
      <c r="ARW117" s="50"/>
      <c r="ARX117" s="50"/>
      <c r="ARY117" s="50"/>
      <c r="ARZ117" s="50"/>
      <c r="ASA117" s="50"/>
      <c r="ASB117" s="50"/>
      <c r="ASC117" s="50"/>
      <c r="ASD117" s="50"/>
      <c r="ASE117" s="50"/>
      <c r="ASF117" s="50"/>
      <c r="BPE117">
        <v>59</v>
      </c>
      <c r="BPG117">
        <v>1</v>
      </c>
      <c r="BPI117">
        <v>1</v>
      </c>
      <c r="BQE117">
        <v>1</v>
      </c>
      <c r="BTP117">
        <v>1</v>
      </c>
      <c r="BVT117">
        <v>1</v>
      </c>
      <c r="BWD117">
        <v>1</v>
      </c>
      <c r="BYR117">
        <v>50</v>
      </c>
      <c r="BYS117">
        <v>1</v>
      </c>
      <c r="BYV117">
        <v>1</v>
      </c>
      <c r="BYY117">
        <v>244</v>
      </c>
      <c r="BYZ117">
        <v>200</v>
      </c>
      <c r="BZA117">
        <v>0</v>
      </c>
      <c r="BZB117">
        <v>21</v>
      </c>
      <c r="CIX117">
        <v>100</v>
      </c>
      <c r="CIY117">
        <v>1</v>
      </c>
      <c r="CJB117">
        <v>1</v>
      </c>
      <c r="CJC117">
        <v>458</v>
      </c>
      <c r="CJD117">
        <v>414</v>
      </c>
      <c r="CJE117">
        <v>0</v>
      </c>
      <c r="CJF117">
        <v>23</v>
      </c>
      <c r="DXK117">
        <v>1</v>
      </c>
      <c r="DXL117">
        <v>26</v>
      </c>
      <c r="DXM117">
        <v>11</v>
      </c>
      <c r="DXN117">
        <v>0</v>
      </c>
      <c r="DXO117">
        <v>14</v>
      </c>
      <c r="EMM117">
        <v>40</v>
      </c>
      <c r="EMN117">
        <v>1</v>
      </c>
      <c r="EMQ117">
        <v>1</v>
      </c>
      <c r="EMR117">
        <v>702</v>
      </c>
      <c r="EMS117">
        <v>671</v>
      </c>
      <c r="EMT117">
        <v>0</v>
      </c>
      <c r="EMU117">
        <v>23</v>
      </c>
      <c r="FDR117">
        <v>10</v>
      </c>
      <c r="FDS117">
        <v>1</v>
      </c>
      <c r="FDV117">
        <v>1</v>
      </c>
      <c r="FDW117">
        <v>153</v>
      </c>
      <c r="FDX117">
        <v>87</v>
      </c>
      <c r="FDY117">
        <v>0</v>
      </c>
      <c r="FDZ117">
        <v>21</v>
      </c>
      <c r="GNN117">
        <v>1</v>
      </c>
      <c r="GNO117">
        <v>92</v>
      </c>
      <c r="GNP117">
        <v>28</v>
      </c>
      <c r="GNQ117">
        <v>0</v>
      </c>
      <c r="GNR117">
        <v>23</v>
      </c>
      <c r="GOT117">
        <v>1</v>
      </c>
      <c r="GOU117">
        <v>702</v>
      </c>
      <c r="GOV117">
        <v>671</v>
      </c>
      <c r="GOW117">
        <v>0</v>
      </c>
      <c r="GOX117">
        <v>23</v>
      </c>
      <c r="GQG117">
        <v>15</v>
      </c>
      <c r="GQH117">
        <v>1</v>
      </c>
      <c r="GQK117">
        <v>1</v>
      </c>
      <c r="GQL117">
        <v>641</v>
      </c>
      <c r="GQM117">
        <v>619</v>
      </c>
      <c r="GQN117">
        <v>0</v>
      </c>
      <c r="GQO117">
        <v>23</v>
      </c>
      <c r="GXU117">
        <v>1</v>
      </c>
      <c r="GXZ117">
        <v>1</v>
      </c>
      <c r="GYA117">
        <v>1</v>
      </c>
      <c r="GZE117">
        <v>1</v>
      </c>
      <c r="HBB117">
        <v>1</v>
      </c>
      <c r="HBX117">
        <v>1</v>
      </c>
    </row>
    <row r="118" spans="1:1012 1028:2032 2057:3070 3073:3892 4102:5114 5142:5554" x14ac:dyDescent="0.25">
      <c r="A118" s="50">
        <v>1005522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HB118">
        <v>7700</v>
      </c>
      <c r="HD118">
        <v>8000</v>
      </c>
      <c r="HQ118">
        <v>5600</v>
      </c>
      <c r="HY118">
        <v>5200</v>
      </c>
      <c r="IE118">
        <v>7100</v>
      </c>
      <c r="IY118">
        <v>8</v>
      </c>
      <c r="JB118">
        <v>8</v>
      </c>
      <c r="JQ118">
        <v>28</v>
      </c>
      <c r="JY118">
        <v>8</v>
      </c>
      <c r="KE118">
        <v>9</v>
      </c>
      <c r="MM118">
        <v>10</v>
      </c>
      <c r="MQ118">
        <v>13</v>
      </c>
      <c r="NF118">
        <v>63</v>
      </c>
      <c r="NT118">
        <v>13</v>
      </c>
      <c r="QD118">
        <v>18</v>
      </c>
      <c r="QF118">
        <v>21</v>
      </c>
      <c r="QK118" s="50"/>
      <c r="QL118" s="50"/>
      <c r="QM118" s="50"/>
      <c r="QN118" s="50"/>
      <c r="QO118" s="50"/>
      <c r="QP118" s="50"/>
      <c r="QQ118" s="50"/>
      <c r="QR118" s="50"/>
      <c r="QS118" s="50"/>
      <c r="QT118" s="50">
        <v>244</v>
      </c>
      <c r="QU118" s="50"/>
      <c r="QV118" s="50"/>
      <c r="QW118" s="50"/>
      <c r="QX118" s="50"/>
      <c r="QY118" s="50"/>
      <c r="QZ118" s="50"/>
      <c r="RA118" s="50"/>
      <c r="RB118" s="50">
        <v>100</v>
      </c>
      <c r="RC118" s="50"/>
      <c r="RD118" s="50"/>
      <c r="RE118" s="50"/>
      <c r="RF118" s="50"/>
      <c r="RG118" s="50"/>
      <c r="RH118" s="50">
        <v>57</v>
      </c>
      <c r="RI118" s="50"/>
      <c r="RJ118" s="50"/>
      <c r="RK118" s="50"/>
      <c r="RL118" s="50"/>
      <c r="RM118" s="50"/>
      <c r="RN118" s="50"/>
      <c r="RO118" s="50"/>
      <c r="RP118" s="50"/>
      <c r="RQ118" s="50"/>
      <c r="RR118" s="50"/>
      <c r="RS118" s="50"/>
      <c r="RT118" s="50"/>
      <c r="RU118" s="50"/>
      <c r="RV118" s="50"/>
      <c r="RW118" s="50"/>
      <c r="RX118" s="50"/>
      <c r="RY118" s="50"/>
      <c r="RZ118" s="50"/>
      <c r="SA118" s="50"/>
      <c r="SB118" s="50"/>
      <c r="TM118" s="50"/>
      <c r="TN118" s="50"/>
      <c r="TO118" s="50"/>
      <c r="TP118" s="50"/>
      <c r="TQ118" s="50"/>
      <c r="TR118" s="50"/>
      <c r="TS118" s="50"/>
      <c r="TT118" s="50"/>
      <c r="TU118" s="50"/>
      <c r="TV118" s="50"/>
      <c r="TW118" s="50"/>
      <c r="TX118" s="50"/>
      <c r="TY118" s="50"/>
      <c r="TZ118" s="50"/>
      <c r="UA118" s="50"/>
      <c r="UB118" s="50"/>
      <c r="UC118" s="50"/>
      <c r="UD118" s="50"/>
      <c r="UE118" s="50"/>
      <c r="UF118" s="50"/>
      <c r="XD118">
        <v>16.399999999999999</v>
      </c>
      <c r="XF118">
        <v>12.8</v>
      </c>
      <c r="XM118">
        <v>19</v>
      </c>
      <c r="XT118">
        <v>18</v>
      </c>
      <c r="XX118">
        <v>13</v>
      </c>
      <c r="YG118">
        <v>9.4</v>
      </c>
      <c r="YI118">
        <v>5.9</v>
      </c>
      <c r="YN118">
        <v>9.4</v>
      </c>
      <c r="YS118">
        <v>5.9</v>
      </c>
      <c r="YU118">
        <v>6</v>
      </c>
      <c r="ZD118">
        <v>15.2</v>
      </c>
      <c r="ZH118">
        <v>15.2</v>
      </c>
      <c r="ZT118">
        <v>15.4</v>
      </c>
      <c r="AAB118">
        <v>15</v>
      </c>
      <c r="AAH118">
        <v>14.9</v>
      </c>
      <c r="ACO118">
        <v>0.3</v>
      </c>
      <c r="ACU118">
        <v>0.7</v>
      </c>
      <c r="AGC118">
        <v>97</v>
      </c>
      <c r="AGF118">
        <v>95</v>
      </c>
      <c r="AGT118">
        <v>198</v>
      </c>
      <c r="AHC118" s="50">
        <v>119</v>
      </c>
      <c r="AHD118" s="50"/>
      <c r="AHE118" s="50"/>
      <c r="AHF118" s="50"/>
      <c r="AHG118" s="50"/>
      <c r="AHH118" s="50"/>
      <c r="AHI118" s="50">
        <v>99</v>
      </c>
      <c r="AHJ118" s="50"/>
      <c r="AHK118" s="50"/>
      <c r="AJB118" s="50"/>
      <c r="AJC118" s="50"/>
      <c r="AJD118" s="50"/>
      <c r="AJE118" s="50"/>
      <c r="AJF118" s="50"/>
      <c r="AJG118" s="50"/>
      <c r="AJH118" s="50"/>
      <c r="AJI118" s="50"/>
      <c r="AJJ118" s="50"/>
      <c r="AJK118" s="50"/>
      <c r="AJL118" s="50"/>
      <c r="AJM118" s="50"/>
      <c r="AJN118" s="50"/>
      <c r="AJO118" s="50"/>
      <c r="AJP118" s="50"/>
      <c r="AJQ118" s="50"/>
      <c r="AJR118" s="50"/>
      <c r="AJS118" s="50">
        <v>0.73</v>
      </c>
      <c r="AJT118" s="50">
        <v>0.7</v>
      </c>
      <c r="AJU118" s="50"/>
      <c r="AJV118" s="50"/>
      <c r="AJW118" s="50"/>
      <c r="AJX118" s="50"/>
      <c r="AJY118" s="50"/>
      <c r="AJZ118" s="50"/>
      <c r="AKA118" s="50"/>
      <c r="AKB118" s="50"/>
      <c r="AKC118" s="50"/>
      <c r="AKD118" s="50"/>
      <c r="AKE118" s="50"/>
      <c r="AKF118" s="50">
        <v>0.62</v>
      </c>
      <c r="AKG118" s="50"/>
      <c r="AKH118" s="50"/>
      <c r="AKN118">
        <v>0.68</v>
      </c>
      <c r="AKT118">
        <v>0.77</v>
      </c>
      <c r="ANX118" s="50"/>
      <c r="ANY118" s="50"/>
      <c r="ANZ118" s="50"/>
      <c r="AOA118" s="50"/>
      <c r="AOB118" s="50"/>
      <c r="AOC118" s="50"/>
      <c r="AOD118" s="50"/>
      <c r="AOE118" s="50"/>
      <c r="AOF118" s="50"/>
      <c r="AOG118" s="50"/>
      <c r="AOH118" s="50"/>
      <c r="AOI118" s="50"/>
      <c r="AOJ118" s="50"/>
      <c r="AOK118" s="50"/>
      <c r="AOL118" s="50"/>
      <c r="AOM118" s="50"/>
      <c r="AON118" s="50"/>
      <c r="AOO118" s="50"/>
      <c r="AOP118" s="50"/>
      <c r="AOQ118" s="50"/>
      <c r="AOR118" s="50"/>
      <c r="AOS118" s="50"/>
      <c r="AOT118" s="50"/>
      <c r="AOU118" s="50"/>
      <c r="AOV118" s="50"/>
      <c r="AOW118" s="50"/>
      <c r="AOX118" s="50"/>
      <c r="AOY118" s="50"/>
      <c r="AOZ118" s="50"/>
      <c r="APA118" s="50"/>
      <c r="AQX118">
        <v>4780000</v>
      </c>
      <c r="AQZ118">
        <v>4350000</v>
      </c>
      <c r="ARC118" s="50"/>
      <c r="ARD118" s="50"/>
      <c r="ARE118" s="50"/>
      <c r="ARF118" s="50"/>
      <c r="ARG118" s="50"/>
      <c r="ARH118" s="50"/>
      <c r="ARI118" s="50"/>
      <c r="ARJ118" s="50"/>
      <c r="ARK118" s="50">
        <v>4560000</v>
      </c>
      <c r="ARL118" s="50"/>
      <c r="ARM118" s="50"/>
      <c r="ARN118" s="50"/>
      <c r="ARO118" s="50"/>
      <c r="ARP118" s="50"/>
      <c r="ARQ118" s="50"/>
      <c r="ARR118" s="50"/>
      <c r="ARS118" s="50">
        <v>4540000</v>
      </c>
      <c r="ART118" s="50"/>
      <c r="ARU118" s="50"/>
      <c r="ARV118" s="50"/>
      <c r="ARW118" s="50"/>
      <c r="ARX118" s="50"/>
      <c r="ARY118" s="50">
        <v>4690000</v>
      </c>
      <c r="ARZ118" s="50"/>
      <c r="ASA118" s="50"/>
      <c r="ASB118" s="50"/>
      <c r="ASC118" s="50"/>
      <c r="ASD118" s="50"/>
      <c r="ASE118" s="50"/>
      <c r="ASF118" s="50"/>
      <c r="ASI118">
        <v>212000</v>
      </c>
      <c r="ASJ118">
        <v>206000</v>
      </c>
      <c r="ASV118">
        <v>212000</v>
      </c>
      <c r="ATD118">
        <v>266000</v>
      </c>
      <c r="ATJ118">
        <v>259000</v>
      </c>
      <c r="AUV118">
        <v>1.4</v>
      </c>
      <c r="AUW118">
        <v>0.9</v>
      </c>
      <c r="AVC118">
        <v>1.3</v>
      </c>
      <c r="AVG118">
        <v>1.2</v>
      </c>
      <c r="AVH118">
        <v>2</v>
      </c>
      <c r="AVO118">
        <v>71.599999999999994</v>
      </c>
      <c r="AVQ118">
        <v>79.7</v>
      </c>
      <c r="AVW118">
        <v>69.400000000000006</v>
      </c>
      <c r="AWB118">
        <v>74.2</v>
      </c>
      <c r="AWL118">
        <v>0</v>
      </c>
      <c r="AWM118">
        <v>0.7</v>
      </c>
      <c r="AWS118">
        <v>0.9</v>
      </c>
      <c r="AWV118">
        <v>0.7</v>
      </c>
      <c r="AZX118">
        <v>43.8</v>
      </c>
      <c r="BAA118">
        <v>40.6</v>
      </c>
      <c r="BAL118">
        <v>44.1</v>
      </c>
      <c r="BAT118">
        <v>44.2</v>
      </c>
      <c r="BAY118">
        <v>45.4</v>
      </c>
      <c r="BBR118">
        <v>91.7</v>
      </c>
      <c r="BBS118">
        <v>73.400000000000006</v>
      </c>
      <c r="BCD118">
        <v>96.7</v>
      </c>
      <c r="BCK118">
        <v>97.2</v>
      </c>
      <c r="BCO118">
        <v>96.7</v>
      </c>
      <c r="BCY118">
        <v>31.8</v>
      </c>
      <c r="BCZ118">
        <v>34.9</v>
      </c>
      <c r="BDJ118">
        <v>33.799999999999997</v>
      </c>
      <c r="BDQ118">
        <v>33</v>
      </c>
      <c r="BDU118">
        <v>31.8</v>
      </c>
      <c r="BEB118">
        <v>34.700000000000003</v>
      </c>
      <c r="BEC118">
        <v>37.299999999999997</v>
      </c>
      <c r="BEM118">
        <v>35</v>
      </c>
      <c r="BET118">
        <v>33.9</v>
      </c>
      <c r="BEX118">
        <v>32.799999999999997</v>
      </c>
      <c r="BPE118">
        <v>30</v>
      </c>
      <c r="BPF118">
        <v>1</v>
      </c>
      <c r="BPJ118">
        <v>1</v>
      </c>
      <c r="BUH118">
        <v>1</v>
      </c>
      <c r="BXY118">
        <v>1</v>
      </c>
      <c r="BYS118">
        <v>2</v>
      </c>
      <c r="BYV118">
        <v>1</v>
      </c>
      <c r="BYY118">
        <v>3</v>
      </c>
      <c r="FYD118">
        <v>1</v>
      </c>
      <c r="FYG118">
        <v>1</v>
      </c>
    </row>
    <row r="119" spans="1:1012 1028:2032 2057:3070 3073:3892 4102:5114 5142:5554" x14ac:dyDescent="0.25">
      <c r="A119" s="50">
        <v>1007631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BD119">
        <v>95</v>
      </c>
      <c r="EH119">
        <v>34</v>
      </c>
      <c r="HR119">
        <v>8000</v>
      </c>
      <c r="JR119">
        <v>22</v>
      </c>
      <c r="KB119">
        <v>36</v>
      </c>
      <c r="KP119">
        <v>15</v>
      </c>
      <c r="NG119">
        <v>50</v>
      </c>
      <c r="NN119">
        <v>16</v>
      </c>
      <c r="NQ119">
        <v>71</v>
      </c>
      <c r="OE119">
        <v>27</v>
      </c>
      <c r="QK119" s="50"/>
      <c r="QL119" s="50"/>
      <c r="QM119" s="50"/>
      <c r="QN119" s="50"/>
      <c r="QO119" s="50"/>
      <c r="QP119" s="50"/>
      <c r="QQ119" s="50"/>
      <c r="QR119" s="50"/>
      <c r="QS119" s="50"/>
      <c r="QT119" s="50"/>
      <c r="QU119" s="50">
        <v>125</v>
      </c>
      <c r="QV119" s="50"/>
      <c r="QW119" s="50"/>
      <c r="QX119" s="50"/>
      <c r="QY119" s="50"/>
      <c r="QZ119" s="50"/>
      <c r="RA119" s="50"/>
      <c r="RB119" s="50"/>
      <c r="RC119" s="50"/>
      <c r="RD119" s="50"/>
      <c r="RE119" s="50"/>
      <c r="RF119" s="50"/>
      <c r="RG119" s="50"/>
      <c r="RH119" s="50"/>
      <c r="RI119" s="50"/>
      <c r="RJ119" s="50"/>
      <c r="RK119" s="50"/>
      <c r="RL119" s="50"/>
      <c r="RM119" s="50"/>
      <c r="RN119" s="50"/>
      <c r="RO119" s="50"/>
      <c r="RP119" s="50"/>
      <c r="RQ119" s="50"/>
      <c r="RR119" s="50">
        <v>30</v>
      </c>
      <c r="RS119" s="50"/>
      <c r="RT119" s="50"/>
      <c r="RU119" s="50"/>
      <c r="RV119" s="50"/>
      <c r="RW119" s="50"/>
      <c r="RX119" s="50"/>
      <c r="RY119" s="50"/>
      <c r="RZ119" s="50"/>
      <c r="SA119" s="50"/>
      <c r="SB119" s="50"/>
      <c r="TM119" s="50"/>
      <c r="TN119" s="50"/>
      <c r="TO119" s="50"/>
      <c r="TP119" s="50"/>
      <c r="TQ119" s="50"/>
      <c r="TR119" s="50"/>
      <c r="TS119" s="50"/>
      <c r="TT119" s="50"/>
      <c r="TU119" s="50"/>
      <c r="TV119" s="50"/>
      <c r="TW119" s="50"/>
      <c r="TX119" s="50"/>
      <c r="TY119" s="50"/>
      <c r="TZ119" s="50"/>
      <c r="UA119" s="50"/>
      <c r="UB119" s="50"/>
      <c r="UC119" s="50"/>
      <c r="UD119" s="50"/>
      <c r="UE119" s="50"/>
      <c r="UF119" s="50"/>
      <c r="ZU119">
        <v>14</v>
      </c>
      <c r="ACH119">
        <v>8.14</v>
      </c>
      <c r="ACK119">
        <v>8.14</v>
      </c>
      <c r="ACR119">
        <v>5.44</v>
      </c>
      <c r="ADE119">
        <v>1.96</v>
      </c>
      <c r="AEN119">
        <v>5.93</v>
      </c>
      <c r="AET119">
        <v>3.98</v>
      </c>
      <c r="AHC119" s="50"/>
      <c r="AHD119" s="50"/>
      <c r="AHE119" s="50"/>
      <c r="AHF119" s="50"/>
      <c r="AHG119" s="50"/>
      <c r="AHH119" s="50"/>
      <c r="AHI119" s="50"/>
      <c r="AHJ119" s="50"/>
      <c r="AHK119" s="50"/>
      <c r="AJB119" s="50"/>
      <c r="AJC119" s="50"/>
      <c r="AJD119" s="50"/>
      <c r="AJE119" s="50"/>
      <c r="AJF119" s="50"/>
      <c r="AJG119" s="50"/>
      <c r="AJH119" s="50"/>
      <c r="AJI119" s="50"/>
      <c r="AJJ119" s="50"/>
      <c r="AJK119" s="50"/>
      <c r="AJL119" s="50"/>
      <c r="AJM119" s="50"/>
      <c r="AJN119" s="50"/>
      <c r="AJO119" s="50"/>
      <c r="AJP119" s="50"/>
      <c r="AJQ119" s="50"/>
      <c r="AJR119" s="50"/>
      <c r="AJS119" s="50"/>
      <c r="AJT119" s="50"/>
      <c r="AJU119" s="50"/>
      <c r="AJV119" s="50"/>
      <c r="AJW119" s="50"/>
      <c r="AJX119" s="50"/>
      <c r="AJY119" s="50"/>
      <c r="AJZ119" s="50"/>
      <c r="AKA119" s="50"/>
      <c r="AKB119" s="50"/>
      <c r="AKC119" s="50"/>
      <c r="AKD119" s="50"/>
      <c r="AKE119" s="50"/>
      <c r="AKF119" s="50"/>
      <c r="AKG119" s="50">
        <v>1.7</v>
      </c>
      <c r="AKH119" s="50"/>
      <c r="AMO119">
        <v>39</v>
      </c>
      <c r="ANX119" s="50"/>
      <c r="ANY119" s="50"/>
      <c r="ANZ119" s="50">
        <v>17</v>
      </c>
      <c r="AOA119" s="50"/>
      <c r="AOB119" s="50"/>
      <c r="AOC119" s="50"/>
      <c r="AOD119" s="50"/>
      <c r="AOE119" s="50"/>
      <c r="AOF119" s="50"/>
      <c r="AOG119" s="50"/>
      <c r="AOH119" s="50"/>
      <c r="AOI119" s="50"/>
      <c r="AOJ119" s="50"/>
      <c r="AOK119" s="50"/>
      <c r="AOL119" s="50"/>
      <c r="AOM119" s="50"/>
      <c r="AON119" s="50"/>
      <c r="AOO119" s="50"/>
      <c r="AOP119" s="50"/>
      <c r="AOQ119" s="50"/>
      <c r="AOR119" s="50"/>
      <c r="AOS119" s="50"/>
      <c r="AOT119" s="50"/>
      <c r="AOU119" s="50"/>
      <c r="AOV119" s="50"/>
      <c r="AOW119" s="50"/>
      <c r="AOX119" s="50"/>
      <c r="AOY119" s="50"/>
      <c r="AOZ119" s="50"/>
      <c r="APA119" s="50"/>
      <c r="ARC119" s="50"/>
      <c r="ARD119" s="50"/>
      <c r="ARE119" s="50"/>
      <c r="ARF119" s="50"/>
      <c r="ARG119" s="50"/>
      <c r="ARH119" s="50"/>
      <c r="ARI119" s="50"/>
      <c r="ARJ119" s="50"/>
      <c r="ARK119" s="50"/>
      <c r="ARL119" s="50"/>
      <c r="ARM119" s="50"/>
      <c r="ARN119" s="50"/>
      <c r="ARO119" s="50"/>
      <c r="ARP119" s="50"/>
      <c r="ARQ119" s="50"/>
      <c r="ARR119" s="50"/>
      <c r="ARS119" s="50"/>
      <c r="ART119" s="50"/>
      <c r="ARU119" s="50"/>
      <c r="ARV119" s="50"/>
      <c r="ARW119" s="50"/>
      <c r="ARX119" s="50"/>
      <c r="ARY119" s="50"/>
      <c r="ARZ119" s="50"/>
      <c r="ASA119" s="50"/>
      <c r="ASB119" s="50"/>
      <c r="ASC119" s="50"/>
      <c r="ASD119" s="50"/>
      <c r="ASE119" s="50"/>
      <c r="ASF119" s="50"/>
      <c r="ASW119">
        <v>290000</v>
      </c>
      <c r="BLX119">
        <v>84</v>
      </c>
      <c r="BPE119">
        <v>14</v>
      </c>
      <c r="BPG119">
        <v>1</v>
      </c>
      <c r="BPH119">
        <v>27</v>
      </c>
      <c r="BPK119">
        <v>5</v>
      </c>
      <c r="BYV119">
        <v>1</v>
      </c>
      <c r="BYY119">
        <v>3</v>
      </c>
      <c r="BYZ119">
        <v>2</v>
      </c>
      <c r="BZA119">
        <v>0</v>
      </c>
      <c r="BZB119">
        <v>0</v>
      </c>
      <c r="CPS119">
        <v>3</v>
      </c>
      <c r="CPT119">
        <v>2</v>
      </c>
      <c r="CPU119">
        <v>0</v>
      </c>
      <c r="CPV119">
        <v>0</v>
      </c>
      <c r="EJE119">
        <v>3</v>
      </c>
      <c r="EJF119">
        <v>2</v>
      </c>
      <c r="EJG119">
        <v>0</v>
      </c>
      <c r="EJH119">
        <v>0</v>
      </c>
      <c r="ESO119">
        <v>3</v>
      </c>
      <c r="ESP119">
        <v>2</v>
      </c>
      <c r="ESQ119">
        <v>0</v>
      </c>
      <c r="ESR119">
        <v>0</v>
      </c>
      <c r="GWQ119">
        <v>1</v>
      </c>
      <c r="GXT119">
        <v>1</v>
      </c>
      <c r="GZF119">
        <v>1</v>
      </c>
      <c r="HCA119">
        <v>1</v>
      </c>
      <c r="HCB119">
        <v>1</v>
      </c>
      <c r="HDF119">
        <v>1</v>
      </c>
    </row>
    <row r="120" spans="1:1012 1028:2032 2057:3070 3073:3892 4102:5114 5142:5554" x14ac:dyDescent="0.25">
      <c r="A120" s="50">
        <v>1009760</v>
      </c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HT120">
        <v>6270</v>
      </c>
      <c r="HZ120">
        <v>8180</v>
      </c>
      <c r="IB120">
        <v>19000</v>
      </c>
      <c r="IF120">
        <v>6270</v>
      </c>
      <c r="JT120">
        <v>441.8</v>
      </c>
      <c r="JV120">
        <v>484.1</v>
      </c>
      <c r="JZ120">
        <v>584.5</v>
      </c>
      <c r="KB120">
        <v>445.5</v>
      </c>
      <c r="KF120">
        <v>350.9</v>
      </c>
      <c r="NI120">
        <v>976.6</v>
      </c>
      <c r="NK120">
        <v>794.2</v>
      </c>
      <c r="NO120">
        <v>755.4</v>
      </c>
      <c r="NQ120">
        <v>852.1</v>
      </c>
      <c r="NU120">
        <v>623.29999999999995</v>
      </c>
      <c r="QW120">
        <v>68.099999999999994</v>
      </c>
      <c r="QY120">
        <v>66.2</v>
      </c>
      <c r="RC120">
        <v>69.8</v>
      </c>
      <c r="RE120">
        <v>83.9</v>
      </c>
      <c r="RI120">
        <v>78.8</v>
      </c>
      <c r="TM120" s="50"/>
      <c r="TN120" s="50"/>
      <c r="TO120" s="50">
        <v>330</v>
      </c>
      <c r="TP120" s="50"/>
      <c r="TQ120" s="50">
        <v>296</v>
      </c>
      <c r="TR120" s="50"/>
      <c r="TS120" s="50"/>
      <c r="TT120" s="50"/>
      <c r="TU120" s="50">
        <v>327</v>
      </c>
      <c r="TV120" s="50"/>
      <c r="TW120" s="50"/>
      <c r="TX120" s="50"/>
      <c r="TY120" s="50"/>
      <c r="TZ120" s="50"/>
      <c r="UA120" s="50"/>
      <c r="UB120" s="50"/>
      <c r="UC120" s="50"/>
      <c r="UD120" s="50"/>
      <c r="UE120" s="50"/>
      <c r="UF120" s="50"/>
      <c r="VP120">
        <v>174</v>
      </c>
      <c r="WF120">
        <v>176</v>
      </c>
      <c r="WQ120">
        <v>192</v>
      </c>
      <c r="ZW120">
        <v>13.8</v>
      </c>
      <c r="AAC120">
        <v>13.6</v>
      </c>
      <c r="AAE120">
        <v>13.7</v>
      </c>
      <c r="AAI120">
        <v>13.9</v>
      </c>
      <c r="ACF120">
        <v>7.67</v>
      </c>
      <c r="AEI120">
        <v>7.27</v>
      </c>
      <c r="AFO120">
        <v>7</v>
      </c>
      <c r="AFQ120">
        <v>7</v>
      </c>
      <c r="AFS120">
        <v>6.5</v>
      </c>
      <c r="AFU120">
        <v>7.2</v>
      </c>
      <c r="AFW120">
        <v>7.3</v>
      </c>
      <c r="AGX120">
        <v>106</v>
      </c>
      <c r="AGZ120">
        <v>107</v>
      </c>
      <c r="AHD120">
        <v>97</v>
      </c>
      <c r="AHF120">
        <v>106</v>
      </c>
      <c r="AHJ120">
        <v>85</v>
      </c>
      <c r="AJB120" s="50"/>
      <c r="AJC120" s="50"/>
      <c r="AJD120" s="50"/>
      <c r="AJE120" s="50"/>
      <c r="AJF120" s="50"/>
      <c r="AJG120" s="50"/>
      <c r="AJH120" s="50"/>
      <c r="AJI120" s="50"/>
      <c r="AJJ120" s="50"/>
      <c r="AJK120" s="50">
        <v>40000</v>
      </c>
      <c r="AJL120" s="50"/>
      <c r="AJM120" s="50"/>
      <c r="AJN120" s="50"/>
      <c r="AJO120" s="50"/>
      <c r="AJP120" s="50"/>
      <c r="AJQ120" s="50"/>
      <c r="AJR120" s="50"/>
      <c r="AJS120" s="50"/>
      <c r="AJT120" s="50"/>
      <c r="AJU120" s="50"/>
      <c r="AJV120" s="50"/>
      <c r="AJW120" s="50"/>
      <c r="AJX120" s="50"/>
      <c r="AJY120" s="50"/>
      <c r="AJZ120" s="50"/>
      <c r="AKA120" s="50"/>
      <c r="AKB120" s="50"/>
      <c r="AKC120" s="50"/>
      <c r="AKD120" s="50"/>
      <c r="AKE120" s="50"/>
      <c r="AKF120" s="50"/>
      <c r="AKG120" s="50"/>
      <c r="AKH120" s="50"/>
      <c r="AKI120">
        <v>0.64</v>
      </c>
      <c r="ANX120" s="50"/>
      <c r="ANY120" s="50"/>
      <c r="ANZ120" s="50"/>
      <c r="AOA120" s="50"/>
      <c r="AOB120" s="50">
        <v>8.4</v>
      </c>
      <c r="AOC120" s="50"/>
      <c r="AOD120" s="50">
        <v>11.5</v>
      </c>
      <c r="AOE120" s="50"/>
      <c r="AOF120" s="50"/>
      <c r="AOG120" s="50"/>
      <c r="AOH120" s="50">
        <v>14.8</v>
      </c>
      <c r="AOI120" s="50"/>
      <c r="AOJ120" s="50"/>
      <c r="AOK120" s="50"/>
      <c r="AOL120" s="50"/>
      <c r="AOM120" s="50"/>
      <c r="AON120" s="50">
        <v>5.0999999999999996</v>
      </c>
      <c r="AOO120" s="50"/>
      <c r="AOP120" s="50"/>
      <c r="AOQ120" s="50"/>
      <c r="AOR120" s="50"/>
      <c r="AOS120" s="50"/>
      <c r="AOT120" s="50"/>
      <c r="AOU120" s="50"/>
      <c r="AOV120" s="50"/>
      <c r="AOW120" s="50"/>
      <c r="AOX120" s="50"/>
      <c r="AOY120" s="50"/>
      <c r="AOZ120" s="50"/>
      <c r="APA120" s="50"/>
      <c r="AQP120">
        <v>5.6</v>
      </c>
      <c r="ARC120" s="50"/>
      <c r="ARD120" s="50"/>
      <c r="ARE120" s="50"/>
      <c r="ARF120" s="50"/>
      <c r="ARG120" s="50"/>
      <c r="ARH120" s="50"/>
      <c r="ARI120" s="50"/>
      <c r="ARJ120" s="50"/>
      <c r="ARK120" s="50"/>
      <c r="ARL120" s="50"/>
      <c r="ARM120" s="50"/>
      <c r="ARN120" s="50">
        <v>4610000</v>
      </c>
      <c r="ARO120" s="50"/>
      <c r="ARP120" s="50"/>
      <c r="ARQ120" s="50"/>
      <c r="ARR120" s="50"/>
      <c r="ARS120" s="50"/>
      <c r="ART120" s="50">
        <v>4420000</v>
      </c>
      <c r="ARU120" s="50"/>
      <c r="ARV120" s="50">
        <v>4490000</v>
      </c>
      <c r="ARW120" s="50"/>
      <c r="ARX120" s="50"/>
      <c r="ARY120" s="50"/>
      <c r="ARZ120" s="50">
        <v>4720000</v>
      </c>
      <c r="ASA120" s="50"/>
      <c r="ASB120" s="50"/>
      <c r="ASC120" s="50"/>
      <c r="ASD120" s="50"/>
      <c r="ASE120" s="50"/>
      <c r="ASF120" s="50"/>
      <c r="ASY120">
        <v>387000</v>
      </c>
      <c r="ATE120">
        <v>371000</v>
      </c>
      <c r="ATG120">
        <v>464000</v>
      </c>
      <c r="ATK120">
        <v>561000</v>
      </c>
      <c r="BAO120">
        <v>43.5</v>
      </c>
      <c r="BAU120">
        <v>40.6</v>
      </c>
      <c r="BAW120">
        <v>42.9</v>
      </c>
      <c r="BAZ120">
        <v>42.8</v>
      </c>
      <c r="BCG120">
        <v>94.3</v>
      </c>
      <c r="BCL120">
        <v>91.9</v>
      </c>
      <c r="BCN120">
        <v>95.4</v>
      </c>
      <c r="BCP120">
        <v>90.7</v>
      </c>
      <c r="BDM120">
        <v>29.9</v>
      </c>
      <c r="BDR120">
        <v>30.7</v>
      </c>
      <c r="BDT120">
        <v>30.4</v>
      </c>
      <c r="BDV120">
        <v>29.6</v>
      </c>
      <c r="BEP120">
        <v>31.7</v>
      </c>
      <c r="BEU120">
        <v>33.4</v>
      </c>
      <c r="BEW120">
        <v>31.9</v>
      </c>
      <c r="BEY120">
        <v>32.6</v>
      </c>
      <c r="BGT120">
        <v>140</v>
      </c>
      <c r="BJC120">
        <v>2.2200000000000002</v>
      </c>
      <c r="BLZ120">
        <v>97</v>
      </c>
      <c r="BPE120">
        <v>48</v>
      </c>
      <c r="BPG120">
        <v>1</v>
      </c>
      <c r="BPJ120">
        <v>1</v>
      </c>
      <c r="BXD120">
        <v>1</v>
      </c>
      <c r="BYR120">
        <v>75</v>
      </c>
      <c r="BYS120">
        <v>1</v>
      </c>
      <c r="BYV120">
        <v>1</v>
      </c>
      <c r="BYY120">
        <v>11</v>
      </c>
      <c r="BYZ120">
        <v>25</v>
      </c>
      <c r="BZA120">
        <v>17</v>
      </c>
      <c r="BZB120">
        <v>0</v>
      </c>
      <c r="GWQ120">
        <v>1</v>
      </c>
      <c r="GXU120">
        <v>1</v>
      </c>
      <c r="GXX120">
        <v>1</v>
      </c>
      <c r="GXZ120">
        <v>1</v>
      </c>
      <c r="GYA120">
        <v>1</v>
      </c>
      <c r="HCA120">
        <v>1</v>
      </c>
      <c r="HCB120">
        <v>1</v>
      </c>
      <c r="HCC120">
        <v>1</v>
      </c>
      <c r="HCO120">
        <v>1</v>
      </c>
      <c r="HDF120">
        <v>1</v>
      </c>
    </row>
    <row r="121" spans="1:1012 1028:2032 2057:3070 3073:3892 4102:5114 5142:5554" x14ac:dyDescent="0.25">
      <c r="A121" s="50">
        <v>2000646</v>
      </c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>
        <v>1987</v>
      </c>
      <c r="M121" s="50">
        <v>5772</v>
      </c>
      <c r="N121" s="50"/>
      <c r="O121" s="50"/>
      <c r="P121" s="50"/>
      <c r="Q121" s="50"/>
      <c r="S121">
        <v>1366</v>
      </c>
      <c r="T121">
        <v>1330</v>
      </c>
      <c r="U121">
        <v>1190</v>
      </c>
      <c r="V121">
        <v>1001</v>
      </c>
      <c r="AF121">
        <v>104</v>
      </c>
      <c r="AG121">
        <v>94</v>
      </c>
      <c r="AL121">
        <v>27</v>
      </c>
      <c r="AM121">
        <v>37</v>
      </c>
      <c r="AN121">
        <v>26</v>
      </c>
      <c r="AO121">
        <v>73</v>
      </c>
      <c r="BC121">
        <v>84</v>
      </c>
      <c r="BD121">
        <v>82</v>
      </c>
      <c r="BK121">
        <v>91</v>
      </c>
      <c r="BL121">
        <v>100</v>
      </c>
      <c r="BM121">
        <v>95</v>
      </c>
      <c r="CM121">
        <v>1.1299999999999999</v>
      </c>
      <c r="CN121">
        <v>1.1499999999999999</v>
      </c>
      <c r="CU121">
        <v>1.06</v>
      </c>
      <c r="CV121">
        <v>0.99</v>
      </c>
      <c r="CW121">
        <v>1.04</v>
      </c>
      <c r="EG121">
        <v>31</v>
      </c>
      <c r="EH121">
        <v>33</v>
      </c>
      <c r="EO121">
        <v>27</v>
      </c>
      <c r="EP121">
        <v>26</v>
      </c>
      <c r="EQ121">
        <v>24</v>
      </c>
      <c r="FJ121">
        <v>16</v>
      </c>
      <c r="FK121">
        <v>16</v>
      </c>
      <c r="FL121">
        <v>17</v>
      </c>
      <c r="GJ121">
        <v>191</v>
      </c>
      <c r="GK121">
        <v>145</v>
      </c>
      <c r="GO121">
        <v>558</v>
      </c>
      <c r="GP121">
        <v>504</v>
      </c>
      <c r="GQ121">
        <v>525</v>
      </c>
      <c r="HQ121">
        <v>16000</v>
      </c>
      <c r="HR121">
        <v>13000</v>
      </c>
      <c r="HY121">
        <v>8200</v>
      </c>
      <c r="HZ121">
        <v>6700</v>
      </c>
      <c r="IA121">
        <v>6200</v>
      </c>
      <c r="JQ121">
        <v>216</v>
      </c>
      <c r="JR121">
        <v>293</v>
      </c>
      <c r="JX121">
        <v>52</v>
      </c>
      <c r="JY121">
        <v>52</v>
      </c>
      <c r="JZ121">
        <v>49</v>
      </c>
      <c r="KA121">
        <v>50</v>
      </c>
      <c r="NF121">
        <v>203</v>
      </c>
      <c r="NG121">
        <v>293</v>
      </c>
      <c r="NN121">
        <v>68</v>
      </c>
      <c r="NO121">
        <v>61</v>
      </c>
      <c r="NP121">
        <v>61</v>
      </c>
      <c r="TL121">
        <v>648</v>
      </c>
      <c r="TM121">
        <v>741</v>
      </c>
      <c r="TS121">
        <v>589</v>
      </c>
      <c r="TT121">
        <v>589</v>
      </c>
      <c r="TU121">
        <v>530</v>
      </c>
      <c r="TV121">
        <v>541</v>
      </c>
      <c r="WE121">
        <v>203</v>
      </c>
      <c r="ACG121">
        <v>0.7</v>
      </c>
      <c r="ACH121">
        <v>0.9</v>
      </c>
      <c r="ACP121">
        <v>0.7</v>
      </c>
      <c r="ACQ121">
        <v>1.1000000000000001</v>
      </c>
      <c r="AFN121">
        <v>4.0999999999999996</v>
      </c>
      <c r="AFR121">
        <v>6.8</v>
      </c>
      <c r="AKF121">
        <v>1.75</v>
      </c>
      <c r="AKG121">
        <v>1.6</v>
      </c>
      <c r="AKM121">
        <v>1.1000000000000001</v>
      </c>
      <c r="AKN121">
        <v>0.9</v>
      </c>
      <c r="AKO121">
        <v>1</v>
      </c>
      <c r="AKP121">
        <v>1</v>
      </c>
      <c r="ALP121">
        <v>23</v>
      </c>
      <c r="ALQ121">
        <v>39</v>
      </c>
      <c r="ALX121">
        <v>158</v>
      </c>
      <c r="ANY121">
        <v>6.5</v>
      </c>
      <c r="ANZ121">
        <v>20</v>
      </c>
      <c r="AOG121">
        <v>8</v>
      </c>
      <c r="AOH121">
        <v>5</v>
      </c>
      <c r="AOI121">
        <v>5</v>
      </c>
      <c r="APL121">
        <v>45.5</v>
      </c>
      <c r="APM121">
        <v>55</v>
      </c>
      <c r="APR121">
        <v>50</v>
      </c>
      <c r="APS121">
        <v>42</v>
      </c>
      <c r="APT121">
        <v>45</v>
      </c>
      <c r="ARK121">
        <v>5000000</v>
      </c>
      <c r="ARL121">
        <v>3750000</v>
      </c>
      <c r="ARS121">
        <v>4600000</v>
      </c>
      <c r="ART121">
        <v>4400000</v>
      </c>
      <c r="ARU121">
        <v>4700000</v>
      </c>
      <c r="ASV121">
        <v>242000</v>
      </c>
      <c r="ASW121">
        <v>142000</v>
      </c>
      <c r="ATD121">
        <v>366</v>
      </c>
      <c r="ATE121">
        <v>365</v>
      </c>
      <c r="ATF121">
        <v>466</v>
      </c>
      <c r="BAL121">
        <v>44.5</v>
      </c>
      <c r="BAM121">
        <v>32.5</v>
      </c>
      <c r="BAT121">
        <v>39</v>
      </c>
      <c r="BAU121">
        <v>38</v>
      </c>
      <c r="BAV121">
        <v>40</v>
      </c>
      <c r="BCD121">
        <v>89.5</v>
      </c>
      <c r="BCE121">
        <v>87.5</v>
      </c>
      <c r="BCK121">
        <v>85</v>
      </c>
      <c r="BCL121">
        <v>86</v>
      </c>
      <c r="BCM121">
        <v>86</v>
      </c>
      <c r="BDJ121">
        <v>30</v>
      </c>
      <c r="BDK121">
        <v>30</v>
      </c>
      <c r="BDQ121">
        <v>29</v>
      </c>
      <c r="BDR121">
        <v>29</v>
      </c>
      <c r="BDS121">
        <v>29</v>
      </c>
      <c r="BEM121">
        <v>33.5</v>
      </c>
      <c r="BEN121">
        <v>34.5</v>
      </c>
      <c r="BET121">
        <v>34</v>
      </c>
      <c r="BEU121">
        <v>34</v>
      </c>
      <c r="BEV121">
        <v>34</v>
      </c>
      <c r="BGQ121">
        <v>139</v>
      </c>
      <c r="BGR121">
        <v>138</v>
      </c>
      <c r="BGY121">
        <v>140</v>
      </c>
      <c r="BGZ121">
        <v>136</v>
      </c>
      <c r="BHA121">
        <v>138</v>
      </c>
      <c r="BHW121">
        <v>3.9</v>
      </c>
      <c r="BHX121">
        <v>4.05</v>
      </c>
      <c r="BID121">
        <v>4.7</v>
      </c>
      <c r="BIE121">
        <v>4.7</v>
      </c>
      <c r="BIF121">
        <v>4.5</v>
      </c>
      <c r="BIG121">
        <v>5.2</v>
      </c>
      <c r="BIZ121">
        <v>2.4</v>
      </c>
      <c r="BJA121">
        <v>2.19</v>
      </c>
      <c r="BJI121">
        <v>2.4700000000000002</v>
      </c>
      <c r="BPE121">
        <v>22</v>
      </c>
      <c r="BPF121">
        <v>1</v>
      </c>
      <c r="BYV121">
        <v>1</v>
      </c>
      <c r="HAM121">
        <v>1</v>
      </c>
      <c r="HAP121">
        <v>1</v>
      </c>
      <c r="HBO121">
        <v>1</v>
      </c>
    </row>
    <row r="122" spans="1:1012 1028:2032 2057:3070 3073:3892 4102:5114 5142:5554" x14ac:dyDescent="0.25">
      <c r="A122" s="50">
        <v>2003761</v>
      </c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AZ122">
        <v>6</v>
      </c>
      <c r="BC122">
        <v>6</v>
      </c>
      <c r="EG122">
        <v>124</v>
      </c>
      <c r="ZT122">
        <v>6</v>
      </c>
      <c r="AKC122">
        <v>7.2747000000000002</v>
      </c>
      <c r="AKF122" s="3">
        <v>7.2736000000000001</v>
      </c>
      <c r="AKG122" s="3">
        <v>7.6921999999999997</v>
      </c>
      <c r="BGQ122">
        <v>134</v>
      </c>
      <c r="BHW122">
        <v>6.7</v>
      </c>
      <c r="BHX122">
        <v>6.54</v>
      </c>
      <c r="BPE122">
        <v>78</v>
      </c>
      <c r="BPG122">
        <v>1</v>
      </c>
      <c r="BRG122">
        <v>1</v>
      </c>
      <c r="BSX122">
        <v>1</v>
      </c>
      <c r="BSZ122">
        <v>1</v>
      </c>
      <c r="BTP122">
        <v>1</v>
      </c>
      <c r="BVM122">
        <v>1</v>
      </c>
      <c r="BVX122">
        <v>1</v>
      </c>
      <c r="BYR122">
        <v>100</v>
      </c>
      <c r="BYS122">
        <v>2</v>
      </c>
      <c r="BYV122">
        <v>1</v>
      </c>
      <c r="BYY122">
        <v>182</v>
      </c>
      <c r="BYZ122">
        <v>182</v>
      </c>
      <c r="BZA122">
        <v>0</v>
      </c>
      <c r="BZB122">
        <v>1</v>
      </c>
      <c r="DCY122">
        <v>20</v>
      </c>
      <c r="DCZ122">
        <v>1</v>
      </c>
      <c r="DDC122">
        <v>1</v>
      </c>
      <c r="DDD122" s="35">
        <v>999</v>
      </c>
      <c r="DDE122">
        <v>183</v>
      </c>
      <c r="DDF122">
        <v>0</v>
      </c>
      <c r="DDG122">
        <v>999</v>
      </c>
      <c r="DFH122">
        <v>300</v>
      </c>
      <c r="DFI122">
        <v>1</v>
      </c>
      <c r="DFL122">
        <v>1</v>
      </c>
      <c r="DFM122" s="35">
        <v>999</v>
      </c>
      <c r="DFN122">
        <v>732</v>
      </c>
      <c r="DFO122">
        <v>0</v>
      </c>
      <c r="DFP122">
        <v>999</v>
      </c>
      <c r="DLM122">
        <v>0.4</v>
      </c>
      <c r="DLN122">
        <v>1</v>
      </c>
      <c r="DLQ122">
        <v>1</v>
      </c>
      <c r="DLR122">
        <v>999</v>
      </c>
      <c r="DLS122">
        <v>183</v>
      </c>
      <c r="DLT122">
        <v>0</v>
      </c>
      <c r="DLU122">
        <v>999</v>
      </c>
      <c r="DNK122">
        <v>10</v>
      </c>
      <c r="DNL122">
        <v>3</v>
      </c>
      <c r="DNO122">
        <v>1</v>
      </c>
      <c r="DNP122">
        <v>999</v>
      </c>
      <c r="DNQ122">
        <v>183</v>
      </c>
      <c r="DNR122">
        <v>0</v>
      </c>
      <c r="DNS122">
        <v>999</v>
      </c>
      <c r="DSN122">
        <v>20</v>
      </c>
      <c r="DSO122">
        <v>3</v>
      </c>
      <c r="DSR122">
        <v>1</v>
      </c>
      <c r="DSS122">
        <v>999</v>
      </c>
      <c r="DST122">
        <v>999</v>
      </c>
      <c r="DSU122">
        <v>0</v>
      </c>
      <c r="DSV122">
        <v>999</v>
      </c>
      <c r="DUW122">
        <v>2</v>
      </c>
      <c r="DUX122">
        <v>1</v>
      </c>
      <c r="DVA122">
        <v>1</v>
      </c>
      <c r="DVB122">
        <v>999</v>
      </c>
      <c r="DVC122">
        <v>999</v>
      </c>
      <c r="DVD122">
        <v>0</v>
      </c>
      <c r="DVE122">
        <v>999</v>
      </c>
      <c r="DXG122">
        <v>3</v>
      </c>
      <c r="DXH122">
        <v>5</v>
      </c>
      <c r="DXK122">
        <v>1</v>
      </c>
      <c r="DXL122">
        <v>183</v>
      </c>
      <c r="DXM122">
        <v>183</v>
      </c>
      <c r="DXN122">
        <v>2</v>
      </c>
      <c r="DXO122">
        <v>0</v>
      </c>
      <c r="EEP122">
        <v>30</v>
      </c>
      <c r="EEQ122">
        <v>1</v>
      </c>
      <c r="EET122">
        <v>1</v>
      </c>
      <c r="EEU122">
        <v>4</v>
      </c>
      <c r="EEV122">
        <v>2</v>
      </c>
      <c r="EEW122">
        <v>0</v>
      </c>
      <c r="EEX122">
        <v>1</v>
      </c>
      <c r="EPE122">
        <v>250</v>
      </c>
      <c r="EPF122">
        <v>1</v>
      </c>
      <c r="EPJ122">
        <v>1</v>
      </c>
      <c r="EPK122">
        <v>8</v>
      </c>
      <c r="EPL122">
        <v>9</v>
      </c>
      <c r="EPM122">
        <v>2</v>
      </c>
      <c r="EPN122">
        <v>0</v>
      </c>
      <c r="GXZ122">
        <v>1</v>
      </c>
      <c r="GYB122">
        <v>1</v>
      </c>
      <c r="HCK122">
        <v>1</v>
      </c>
      <c r="HCQ122">
        <v>1</v>
      </c>
      <c r="HCZ122">
        <v>1</v>
      </c>
      <c r="HDG122">
        <v>1</v>
      </c>
      <c r="HEP122">
        <v>1</v>
      </c>
    </row>
    <row r="123" spans="1:1012 1028:2032 2057:3070 3073:3892 4102:5114 5142:5554" x14ac:dyDescent="0.25">
      <c r="A123" s="50">
        <v>2004061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BC123" s="14">
        <v>64</v>
      </c>
      <c r="BD123">
        <v>82</v>
      </c>
      <c r="BE123">
        <v>96</v>
      </c>
      <c r="BF123">
        <v>110</v>
      </c>
      <c r="EG123" s="14">
        <v>125</v>
      </c>
      <c r="EH123">
        <v>29</v>
      </c>
      <c r="EI123">
        <v>28</v>
      </c>
      <c r="EJ123">
        <v>26</v>
      </c>
      <c r="HQ123" s="14">
        <v>20000</v>
      </c>
      <c r="HR123">
        <v>12700</v>
      </c>
      <c r="HS123">
        <v>10900</v>
      </c>
      <c r="HT123">
        <v>8400</v>
      </c>
      <c r="BHW123" s="14">
        <v>3.8</v>
      </c>
      <c r="BHX123">
        <v>3.7</v>
      </c>
      <c r="BHY123">
        <v>3.3</v>
      </c>
      <c r="BHZ123">
        <v>4</v>
      </c>
      <c r="BLW123" s="14">
        <v>160</v>
      </c>
      <c r="BLX123">
        <v>84</v>
      </c>
      <c r="BPE123">
        <v>60</v>
      </c>
      <c r="BPF123">
        <v>1</v>
      </c>
      <c r="BPH123">
        <v>23.4</v>
      </c>
      <c r="BPJ123">
        <v>1</v>
      </c>
      <c r="BPK123">
        <v>4</v>
      </c>
      <c r="BYR123">
        <v>50</v>
      </c>
      <c r="BYS123">
        <v>1</v>
      </c>
      <c r="BYV123">
        <v>1</v>
      </c>
      <c r="BYY123">
        <v>1</v>
      </c>
      <c r="BYZ123">
        <v>0</v>
      </c>
      <c r="BZA123">
        <v>0</v>
      </c>
      <c r="BZB123">
        <v>0</v>
      </c>
      <c r="GXM123">
        <v>1</v>
      </c>
      <c r="HAI123">
        <v>1</v>
      </c>
      <c r="HAK123">
        <v>1</v>
      </c>
      <c r="HAS123">
        <v>1</v>
      </c>
      <c r="HAV123">
        <v>1</v>
      </c>
      <c r="HAW123">
        <v>1</v>
      </c>
      <c r="HCX123">
        <v>1</v>
      </c>
    </row>
    <row r="124" spans="1:1012 1028:2032 2057:3070 3073:3892 4102:5114 5142:5554" x14ac:dyDescent="0.25">
      <c r="A124" s="50">
        <v>2006469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JP124">
        <v>254</v>
      </c>
      <c r="JQ124">
        <v>137</v>
      </c>
      <c r="NE124">
        <v>399</v>
      </c>
      <c r="NF124">
        <v>196</v>
      </c>
      <c r="BPE124">
        <v>59</v>
      </c>
      <c r="BPG124">
        <v>1</v>
      </c>
      <c r="BPJ124">
        <v>1</v>
      </c>
      <c r="BVT124">
        <v>1</v>
      </c>
      <c r="BWI124">
        <v>1</v>
      </c>
      <c r="BYS124">
        <v>3</v>
      </c>
      <c r="BYV124">
        <v>1</v>
      </c>
      <c r="BYZ124">
        <v>92</v>
      </c>
      <c r="BZD124">
        <v>1</v>
      </c>
      <c r="GWG124">
        <v>1</v>
      </c>
      <c r="GWJ124">
        <v>1</v>
      </c>
    </row>
    <row r="125" spans="1:1012 1028:2032 2057:3070 3073:3892 4102:5114 5142:5554" x14ac:dyDescent="0.25">
      <c r="A125" s="50">
        <v>3005132</v>
      </c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CM125">
        <v>1.78</v>
      </c>
      <c r="EG125">
        <v>91</v>
      </c>
      <c r="FN125">
        <v>36</v>
      </c>
      <c r="HQ125" s="50"/>
      <c r="QT125">
        <v>209</v>
      </c>
      <c r="TL125">
        <v>537</v>
      </c>
      <c r="ZT125">
        <v>11.5</v>
      </c>
      <c r="ACG125">
        <v>3.46</v>
      </c>
      <c r="AGU125">
        <v>517</v>
      </c>
      <c r="AKF125">
        <v>2.97</v>
      </c>
      <c r="ANY125">
        <v>247</v>
      </c>
      <c r="ASV125">
        <v>28000</v>
      </c>
      <c r="AYF125">
        <v>7.22</v>
      </c>
      <c r="AYP125">
        <v>-14</v>
      </c>
      <c r="BPE125">
        <v>56</v>
      </c>
      <c r="BPG125">
        <v>1</v>
      </c>
      <c r="BPI125">
        <v>1</v>
      </c>
      <c r="BPK125">
        <v>1</v>
      </c>
      <c r="BYQ125" s="50"/>
      <c r="BYR125" s="50">
        <v>50</v>
      </c>
      <c r="BYS125" s="50">
        <v>1</v>
      </c>
      <c r="BYT125" s="50"/>
      <c r="BYU125" s="50">
        <v>1</v>
      </c>
      <c r="BYV125" s="50"/>
      <c r="BYZ125">
        <v>1</v>
      </c>
      <c r="GYJ125">
        <v>1</v>
      </c>
      <c r="GZL125">
        <v>1</v>
      </c>
      <c r="GZT125">
        <v>1</v>
      </c>
      <c r="GZZ125">
        <v>1</v>
      </c>
      <c r="HAH125">
        <v>1</v>
      </c>
      <c r="HAJ125">
        <v>1</v>
      </c>
      <c r="HBH125">
        <v>1</v>
      </c>
      <c r="HDA125">
        <v>1</v>
      </c>
      <c r="HDB125">
        <v>1</v>
      </c>
    </row>
    <row r="126" spans="1:1012 1028:2032 2057:3070 3073:3892 4102:5114 5142:5554" x14ac:dyDescent="0.25">
      <c r="A126" s="50">
        <v>3009119</v>
      </c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>
        <v>250</v>
      </c>
      <c r="M126" s="50"/>
      <c r="N126" s="50"/>
      <c r="O126" s="50"/>
      <c r="P126" s="50"/>
      <c r="Q126" s="50"/>
      <c r="NF126">
        <v>150</v>
      </c>
      <c r="BPG126">
        <v>1</v>
      </c>
      <c r="BSS126">
        <v>1</v>
      </c>
      <c r="BVK126">
        <v>1</v>
      </c>
      <c r="BYQ126" s="50"/>
      <c r="BYR126" s="50"/>
      <c r="BYS126" s="50"/>
      <c r="BYT126" s="50"/>
      <c r="BYU126" s="50"/>
      <c r="BYV126" s="50"/>
      <c r="BYY126">
        <v>3</v>
      </c>
      <c r="BYZ126">
        <v>2</v>
      </c>
      <c r="BZA126">
        <v>0</v>
      </c>
      <c r="BZB126">
        <v>0</v>
      </c>
      <c r="EPP126">
        <v>1</v>
      </c>
    </row>
    <row r="127" spans="1:1012 1028:2032 2057:3070 3073:3892 4102:5114 5142:5554" x14ac:dyDescent="0.25">
      <c r="A127" s="50">
        <v>3009936</v>
      </c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BPE127">
        <v>49</v>
      </c>
      <c r="BPF127">
        <v>1</v>
      </c>
      <c r="BPH127">
        <v>23</v>
      </c>
      <c r="BVU127">
        <v>1</v>
      </c>
      <c r="BYQ127" s="50"/>
      <c r="BYR127" s="50">
        <v>50</v>
      </c>
      <c r="BYS127" s="50">
        <v>4</v>
      </c>
      <c r="BYT127" s="50"/>
      <c r="BYU127" s="50"/>
      <c r="BYV127" s="50">
        <v>1</v>
      </c>
      <c r="BZA127">
        <v>0</v>
      </c>
      <c r="HBY127">
        <v>1</v>
      </c>
      <c r="HCA127">
        <v>1</v>
      </c>
    </row>
    <row r="128" spans="1:1012 1028:2032 2057:3070 3073:3892 4102:5114 5142:5554" x14ac:dyDescent="0.25">
      <c r="A128" s="50">
        <v>3011094</v>
      </c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BC128">
        <v>93</v>
      </c>
      <c r="BE128">
        <v>64</v>
      </c>
      <c r="HQ128">
        <v>13600</v>
      </c>
      <c r="HS128">
        <v>12000</v>
      </c>
      <c r="ZT128">
        <v>18.2</v>
      </c>
      <c r="ZV128">
        <v>15.9</v>
      </c>
      <c r="AIE128">
        <v>64</v>
      </c>
      <c r="ANQ128" s="50"/>
      <c r="ANR128" s="50"/>
      <c r="ANS128" s="50"/>
      <c r="ANT128" s="50"/>
      <c r="ANU128" s="50"/>
      <c r="ANV128" s="50"/>
      <c r="ANW128" s="50"/>
      <c r="ANX128" s="50"/>
      <c r="ANY128" s="50"/>
      <c r="ANZ128" s="50"/>
      <c r="AOA128" s="50"/>
      <c r="BPE128">
        <v>22</v>
      </c>
      <c r="BPF128">
        <v>1</v>
      </c>
      <c r="BPH128">
        <v>23.9</v>
      </c>
      <c r="BPJ128">
        <v>1</v>
      </c>
      <c r="BPK128">
        <v>1</v>
      </c>
      <c r="BPN128">
        <v>1</v>
      </c>
      <c r="BYQ128" s="50"/>
      <c r="BYR128" s="50">
        <v>50</v>
      </c>
      <c r="BYS128" s="50">
        <v>20</v>
      </c>
      <c r="BYT128" s="50"/>
      <c r="BYU128" s="50"/>
      <c r="BYV128" s="50">
        <v>1</v>
      </c>
      <c r="BYY128">
        <v>1</v>
      </c>
      <c r="BYZ128">
        <v>0</v>
      </c>
      <c r="BZA128">
        <v>0</v>
      </c>
      <c r="BZB128">
        <v>0</v>
      </c>
      <c r="CAC128">
        <v>500</v>
      </c>
      <c r="CAD128">
        <v>20</v>
      </c>
      <c r="CAG128">
        <v>1</v>
      </c>
      <c r="CAH128">
        <v>1</v>
      </c>
      <c r="CAI128">
        <v>0</v>
      </c>
      <c r="CAJ128">
        <v>0</v>
      </c>
      <c r="CAK128">
        <v>0</v>
      </c>
      <c r="GWF128">
        <v>1</v>
      </c>
      <c r="GYP128">
        <v>1</v>
      </c>
    </row>
    <row r="129" spans="1:1020 1028:2030 2057:3057 3443:3852 4351:5114 5337:5522" x14ac:dyDescent="0.25">
      <c r="A129" s="50">
        <v>3014643</v>
      </c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JQ129">
        <v>134</v>
      </c>
      <c r="KH129">
        <v>34</v>
      </c>
      <c r="LC129">
        <v>17.5</v>
      </c>
      <c r="NF129">
        <v>143</v>
      </c>
      <c r="NW129">
        <v>43</v>
      </c>
      <c r="OS129">
        <v>15.7</v>
      </c>
      <c r="QT129">
        <v>499</v>
      </c>
      <c r="RJ129">
        <v>255</v>
      </c>
      <c r="SC129">
        <v>72.7</v>
      </c>
      <c r="AGU129">
        <v>138</v>
      </c>
      <c r="ANQ129" s="50"/>
      <c r="ANR129" s="50"/>
      <c r="ANS129" s="50"/>
      <c r="ANT129" s="50"/>
      <c r="ANU129" s="50"/>
      <c r="ANV129" s="50"/>
      <c r="ANW129" s="50"/>
      <c r="ANX129" s="50"/>
      <c r="ANY129" s="50"/>
      <c r="ANZ129" s="50"/>
      <c r="AOA129" s="50"/>
      <c r="ASV129">
        <v>132000</v>
      </c>
      <c r="BPE129">
        <v>46</v>
      </c>
      <c r="BPF129">
        <v>1</v>
      </c>
      <c r="BPJ129">
        <v>1</v>
      </c>
      <c r="BPK129">
        <v>12</v>
      </c>
      <c r="BYQ129" s="50"/>
      <c r="BYR129" s="50">
        <v>10</v>
      </c>
      <c r="BYS129" s="50">
        <v>1</v>
      </c>
      <c r="BYT129" s="50"/>
      <c r="BYU129" s="50"/>
      <c r="BYV129" s="50">
        <v>1</v>
      </c>
      <c r="BYY129">
        <v>353</v>
      </c>
      <c r="BYZ129">
        <v>353</v>
      </c>
      <c r="BZA129">
        <v>0</v>
      </c>
      <c r="BZB129">
        <v>0</v>
      </c>
      <c r="EBK129">
        <v>10</v>
      </c>
      <c r="EBL129">
        <v>1</v>
      </c>
      <c r="EBO129">
        <v>1</v>
      </c>
      <c r="EBP129">
        <v>353</v>
      </c>
      <c r="EBQ129">
        <v>353</v>
      </c>
      <c r="EBR129">
        <v>0</v>
      </c>
      <c r="EBS129">
        <v>0</v>
      </c>
      <c r="GYD129">
        <v>1</v>
      </c>
    </row>
    <row r="130" spans="1:1020 1028:2030 2057:3057 3443:3852 4351:5114 5337:5522" x14ac:dyDescent="0.25">
      <c r="A130" s="50">
        <v>3016056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CC130">
        <v>100</v>
      </c>
      <c r="DG130">
        <v>1</v>
      </c>
      <c r="HQ130">
        <v>6000</v>
      </c>
      <c r="JQ130">
        <v>85</v>
      </c>
      <c r="LX130">
        <v>100</v>
      </c>
      <c r="LY130">
        <v>82</v>
      </c>
      <c r="NF130">
        <v>147</v>
      </c>
      <c r="PO130">
        <v>213</v>
      </c>
      <c r="PP130">
        <v>180</v>
      </c>
      <c r="QT130">
        <v>284</v>
      </c>
      <c r="SU130">
        <v>405</v>
      </c>
      <c r="SV130">
        <v>406</v>
      </c>
      <c r="WA130">
        <v>166</v>
      </c>
      <c r="WE130">
        <v>296</v>
      </c>
      <c r="WN130">
        <v>286</v>
      </c>
      <c r="WP130">
        <v>86</v>
      </c>
      <c r="WU130">
        <v>82</v>
      </c>
      <c r="WW130">
        <v>180</v>
      </c>
      <c r="XA130">
        <v>171</v>
      </c>
      <c r="XM130">
        <v>39.799999999999997</v>
      </c>
      <c r="YF130">
        <v>39.9</v>
      </c>
      <c r="ZT130">
        <v>13.3</v>
      </c>
      <c r="AED130">
        <v>0.9</v>
      </c>
      <c r="AFH130">
        <v>0.26</v>
      </c>
      <c r="AGU130">
        <v>131</v>
      </c>
      <c r="AIS130">
        <v>189</v>
      </c>
      <c r="AIT130">
        <v>177</v>
      </c>
      <c r="ALH130">
        <v>0.8</v>
      </c>
      <c r="ANQ130" s="50"/>
      <c r="ANR130" s="50"/>
      <c r="ANS130" s="50"/>
      <c r="ANT130" s="50"/>
      <c r="ANU130" s="50"/>
      <c r="ANV130" s="50"/>
      <c r="ANW130" s="50"/>
      <c r="ANX130" s="50"/>
      <c r="ANY130" s="50"/>
      <c r="ANZ130" s="50"/>
      <c r="AOA130" s="50"/>
      <c r="ARK130" s="50"/>
      <c r="ASV130" s="50"/>
      <c r="AUB130">
        <v>240</v>
      </c>
      <c r="AUR130">
        <v>3.7</v>
      </c>
      <c r="AUU130">
        <v>4.5</v>
      </c>
      <c r="AVC130">
        <v>1.4</v>
      </c>
      <c r="AVH130">
        <v>1</v>
      </c>
      <c r="AVW130">
        <v>51</v>
      </c>
      <c r="AWK130">
        <v>50.2</v>
      </c>
      <c r="AWS130">
        <v>1.1000000000000001</v>
      </c>
      <c r="AXA130">
        <v>0.9</v>
      </c>
      <c r="AXV130">
        <v>66.7</v>
      </c>
      <c r="BAL130">
        <v>40.5</v>
      </c>
      <c r="BBP130">
        <v>42.3</v>
      </c>
      <c r="BCD130">
        <v>89</v>
      </c>
      <c r="BCX130">
        <v>89.7</v>
      </c>
      <c r="BDJ130">
        <v>29.2</v>
      </c>
      <c r="BEA130">
        <v>30.3</v>
      </c>
      <c r="BEM130">
        <v>32.799999999999997</v>
      </c>
      <c r="BFE130">
        <v>33.799999999999997</v>
      </c>
      <c r="BPE130">
        <v>47</v>
      </c>
      <c r="BPG130">
        <v>1</v>
      </c>
      <c r="BYQ130" s="50"/>
      <c r="BYR130" s="50">
        <v>150</v>
      </c>
      <c r="BYS130" s="50">
        <v>1</v>
      </c>
      <c r="BYT130" s="50"/>
      <c r="BYU130" s="50"/>
      <c r="BYV130" s="50">
        <v>1</v>
      </c>
      <c r="BYY130" s="35">
        <v>999</v>
      </c>
      <c r="BYZ130">
        <v>999</v>
      </c>
      <c r="BZA130">
        <v>0</v>
      </c>
      <c r="BZB130">
        <v>999</v>
      </c>
    </row>
    <row r="131" spans="1:1020 1028:2030 2057:3057 3443:3852 4351:5114 5337:5522" x14ac:dyDescent="0.25">
      <c r="A131" s="50">
        <v>3900219</v>
      </c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HG131">
        <v>11300</v>
      </c>
      <c r="JG131">
        <v>18</v>
      </c>
      <c r="JI131">
        <v>16</v>
      </c>
      <c r="JQ131">
        <v>20</v>
      </c>
      <c r="KF131">
        <v>17</v>
      </c>
      <c r="MV131">
        <v>19</v>
      </c>
      <c r="MX131">
        <v>19</v>
      </c>
      <c r="NF131">
        <v>24</v>
      </c>
      <c r="NU131">
        <v>28</v>
      </c>
      <c r="QL131">
        <v>73</v>
      </c>
      <c r="QT131">
        <v>116</v>
      </c>
      <c r="RI131">
        <v>244</v>
      </c>
      <c r="ANQ131" s="50"/>
      <c r="ANR131" s="50">
        <v>0.2</v>
      </c>
      <c r="ANS131" s="50"/>
      <c r="ANT131" s="50"/>
      <c r="ANU131" s="50"/>
      <c r="ANV131" s="50"/>
      <c r="ANW131" s="50"/>
      <c r="ANX131" s="50"/>
      <c r="ANY131" s="50"/>
      <c r="ANZ131" s="50"/>
      <c r="AOA131" s="50"/>
      <c r="ASM131">
        <v>254000</v>
      </c>
      <c r="BGI131">
        <v>141</v>
      </c>
      <c r="BHO131">
        <v>5.0999999999999996</v>
      </c>
      <c r="BPE131">
        <v>83</v>
      </c>
      <c r="BPG131">
        <v>1</v>
      </c>
      <c r="BPJ131">
        <v>1</v>
      </c>
      <c r="BPK131">
        <v>16</v>
      </c>
      <c r="BSH131">
        <v>1</v>
      </c>
      <c r="BSZ131">
        <v>1</v>
      </c>
      <c r="BWD131">
        <v>1</v>
      </c>
      <c r="BYQ131" s="50"/>
      <c r="BYR131" s="50">
        <v>150</v>
      </c>
      <c r="BYS131" s="50">
        <v>1</v>
      </c>
      <c r="BYT131" s="50"/>
      <c r="BYU131" s="50"/>
      <c r="BYV131" s="50">
        <v>1</v>
      </c>
      <c r="BYY131">
        <v>999</v>
      </c>
      <c r="BYZ131">
        <v>9</v>
      </c>
      <c r="BZA131">
        <v>0</v>
      </c>
      <c r="BZB131">
        <v>999</v>
      </c>
      <c r="CIX131">
        <v>200</v>
      </c>
      <c r="CIY131">
        <v>1</v>
      </c>
      <c r="CJB131">
        <v>1</v>
      </c>
      <c r="CJC131">
        <v>999</v>
      </c>
      <c r="CJD131">
        <v>7</v>
      </c>
      <c r="CJE131">
        <v>0</v>
      </c>
      <c r="CJF131">
        <v>999</v>
      </c>
      <c r="DMG131">
        <v>25</v>
      </c>
      <c r="DMH131">
        <v>1</v>
      </c>
      <c r="DMK131">
        <v>1</v>
      </c>
      <c r="DML131" s="36">
        <v>999</v>
      </c>
      <c r="DMM131">
        <v>999</v>
      </c>
      <c r="DMN131">
        <v>0</v>
      </c>
      <c r="DMO131">
        <v>999</v>
      </c>
      <c r="EJJ131">
        <v>450</v>
      </c>
      <c r="EJK131">
        <v>1</v>
      </c>
      <c r="EJN131">
        <v>1</v>
      </c>
      <c r="EJO131" s="35">
        <v>999</v>
      </c>
      <c r="EJP131">
        <v>9</v>
      </c>
      <c r="EJQ131">
        <v>0</v>
      </c>
      <c r="EJR131">
        <v>999</v>
      </c>
      <c r="FNL131" s="50">
        <v>45</v>
      </c>
      <c r="FNM131">
        <v>1</v>
      </c>
      <c r="FNP131">
        <v>1</v>
      </c>
      <c r="FNQ131" s="35">
        <v>999</v>
      </c>
      <c r="FNR131">
        <v>9</v>
      </c>
      <c r="FNS131">
        <v>0</v>
      </c>
      <c r="FNT131">
        <v>999</v>
      </c>
      <c r="FYW131">
        <v>75</v>
      </c>
      <c r="FYX131">
        <v>1</v>
      </c>
      <c r="FZA131">
        <v>1</v>
      </c>
      <c r="FZB131" s="36">
        <v>999</v>
      </c>
      <c r="FZC131">
        <v>999</v>
      </c>
      <c r="FZD131">
        <v>0</v>
      </c>
      <c r="FZE131">
        <v>999</v>
      </c>
      <c r="GNJ131">
        <v>250</v>
      </c>
      <c r="GNK131">
        <v>1</v>
      </c>
      <c r="GNN131">
        <v>1</v>
      </c>
      <c r="GNO131" s="36">
        <v>999</v>
      </c>
      <c r="GNP131">
        <v>999</v>
      </c>
      <c r="GNQ131">
        <v>0</v>
      </c>
      <c r="GNR131">
        <v>999</v>
      </c>
    </row>
    <row r="132" spans="1:1020 1028:2030 2057:3057 3443:3852 4351:5114 5337:5522" x14ac:dyDescent="0.25">
      <c r="A132" s="50">
        <v>4000158</v>
      </c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BD132">
        <v>115</v>
      </c>
      <c r="EH132">
        <v>27.6</v>
      </c>
      <c r="GK132">
        <v>250</v>
      </c>
      <c r="JR132">
        <v>48</v>
      </c>
      <c r="JS132">
        <v>39.6</v>
      </c>
      <c r="KA132">
        <v>22.8</v>
      </c>
      <c r="NG132">
        <v>83.4</v>
      </c>
      <c r="NH132">
        <v>76.8</v>
      </c>
      <c r="NP132">
        <v>24</v>
      </c>
      <c r="QU132" s="3">
        <v>79.8</v>
      </c>
      <c r="AGV132">
        <v>174</v>
      </c>
      <c r="AKG132" s="3">
        <v>1.1662999999999999</v>
      </c>
      <c r="ANQ132" s="50"/>
      <c r="ANR132" s="50"/>
      <c r="ANS132" s="50"/>
      <c r="ANT132" s="50"/>
      <c r="ANU132" s="50"/>
      <c r="ANV132" s="50"/>
      <c r="ANW132" s="50"/>
      <c r="ANX132" s="50"/>
      <c r="ANY132" s="50"/>
      <c r="ANZ132" s="50"/>
      <c r="AOA132" s="50"/>
      <c r="BGR132">
        <v>141</v>
      </c>
      <c r="BHX132">
        <v>4.7699999999999996</v>
      </c>
      <c r="BPE132">
        <v>44</v>
      </c>
      <c r="BPF132">
        <v>1</v>
      </c>
      <c r="BPH132">
        <v>24.2</v>
      </c>
      <c r="BPJ132">
        <v>1</v>
      </c>
      <c r="BPK132">
        <v>11</v>
      </c>
      <c r="BPL132">
        <v>1</v>
      </c>
      <c r="BPM132">
        <v>1</v>
      </c>
      <c r="BQQ132">
        <v>1</v>
      </c>
      <c r="BVO132">
        <v>1</v>
      </c>
      <c r="BXP132">
        <v>1</v>
      </c>
      <c r="BYQ132" s="50"/>
      <c r="BYR132" s="50">
        <v>50</v>
      </c>
      <c r="BYS132" s="50">
        <v>1</v>
      </c>
      <c r="BYT132" s="50"/>
      <c r="BYU132" s="50"/>
      <c r="BYV132" s="50">
        <v>1</v>
      </c>
      <c r="BYY132">
        <v>275</v>
      </c>
      <c r="BYZ132">
        <v>275</v>
      </c>
      <c r="BZA132">
        <v>0</v>
      </c>
      <c r="BZB132">
        <v>2</v>
      </c>
      <c r="CCX132">
        <v>25</v>
      </c>
      <c r="CCY132">
        <v>1</v>
      </c>
      <c r="CDB132">
        <v>1</v>
      </c>
      <c r="CDC132">
        <v>183</v>
      </c>
      <c r="CDD132">
        <v>181</v>
      </c>
      <c r="CDE132">
        <v>0</v>
      </c>
      <c r="CDF132">
        <v>2</v>
      </c>
      <c r="CZT132">
        <v>50</v>
      </c>
      <c r="CZU132">
        <v>1</v>
      </c>
      <c r="CZX132">
        <v>1</v>
      </c>
      <c r="DAA132">
        <v>183</v>
      </c>
      <c r="DAB132">
        <v>181</v>
      </c>
      <c r="DAC132">
        <v>0</v>
      </c>
      <c r="DAY132">
        <v>2</v>
      </c>
      <c r="ECE132">
        <v>40</v>
      </c>
      <c r="ECF132">
        <v>1</v>
      </c>
      <c r="ECI132">
        <v>1</v>
      </c>
      <c r="ECJ132">
        <v>999</v>
      </c>
      <c r="ECK132">
        <v>360</v>
      </c>
      <c r="ECL132">
        <v>0</v>
      </c>
      <c r="ECM132">
        <v>999</v>
      </c>
    </row>
    <row r="133" spans="1:1020 1028:2030 2057:3057 3443:3852 4351:5114 5337:5522" x14ac:dyDescent="0.25">
      <c r="A133" s="50">
        <v>4000304</v>
      </c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BC133">
        <v>100</v>
      </c>
      <c r="HQ133">
        <v>11900</v>
      </c>
      <c r="JQ133">
        <v>455</v>
      </c>
      <c r="NF133">
        <v>1104</v>
      </c>
      <c r="QT133">
        <v>1026</v>
      </c>
      <c r="ACG133" s="3">
        <v>2.5667</v>
      </c>
      <c r="AGU133">
        <v>243</v>
      </c>
      <c r="AKF133" s="3">
        <v>1.2556</v>
      </c>
      <c r="ANQ133" s="50"/>
      <c r="ANR133" s="50"/>
      <c r="ANS133" s="50"/>
      <c r="ANT133" s="50"/>
      <c r="ANU133" s="50"/>
      <c r="ANV133" s="50"/>
      <c r="ANW133" s="50"/>
      <c r="ANX133" s="50"/>
      <c r="ANY133" s="50"/>
      <c r="ANZ133" s="50"/>
      <c r="AOA133" s="50"/>
      <c r="BPE133">
        <v>68</v>
      </c>
      <c r="BPF133">
        <v>1</v>
      </c>
      <c r="BPH133">
        <v>25.2</v>
      </c>
      <c r="BQY133">
        <v>1</v>
      </c>
      <c r="BRB133">
        <v>1</v>
      </c>
      <c r="BSS133">
        <v>1</v>
      </c>
      <c r="BXO133">
        <v>1</v>
      </c>
      <c r="BXR133">
        <v>1</v>
      </c>
      <c r="BYQ133" s="50"/>
      <c r="BYR133" s="50">
        <v>50</v>
      </c>
      <c r="BYS133" s="50">
        <v>1</v>
      </c>
      <c r="BYT133" s="50"/>
      <c r="BYU133" s="50"/>
      <c r="BYV133" s="50">
        <v>1</v>
      </c>
      <c r="BYY133">
        <v>244</v>
      </c>
      <c r="BYZ133">
        <v>244</v>
      </c>
      <c r="BZA133">
        <v>0</v>
      </c>
      <c r="BZB133">
        <v>0</v>
      </c>
      <c r="CAD133">
        <v>2</v>
      </c>
      <c r="CAG133">
        <v>1</v>
      </c>
      <c r="CAH133">
        <v>275</v>
      </c>
      <c r="CAI133">
        <v>275</v>
      </c>
      <c r="CAJ133">
        <v>0</v>
      </c>
      <c r="CAK133">
        <v>0</v>
      </c>
      <c r="DCY133">
        <v>25</v>
      </c>
      <c r="DCZ133">
        <v>1</v>
      </c>
      <c r="DDC133">
        <v>1</v>
      </c>
      <c r="DDD133">
        <v>360</v>
      </c>
      <c r="DDE133">
        <v>360</v>
      </c>
      <c r="DDF133">
        <v>0</v>
      </c>
      <c r="DDG133">
        <v>0</v>
      </c>
      <c r="DJY133">
        <v>20</v>
      </c>
      <c r="DJZ133">
        <v>1</v>
      </c>
      <c r="DKC133">
        <v>1</v>
      </c>
      <c r="DKD133">
        <v>360</v>
      </c>
      <c r="DKE133">
        <v>360</v>
      </c>
      <c r="DKF133">
        <v>0</v>
      </c>
      <c r="DKG133">
        <v>0</v>
      </c>
      <c r="ECP133">
        <v>40</v>
      </c>
      <c r="ECQ133">
        <v>1</v>
      </c>
      <c r="ECT133">
        <v>1</v>
      </c>
      <c r="ECU133">
        <v>244</v>
      </c>
      <c r="ECV133">
        <v>244</v>
      </c>
      <c r="ECW133">
        <v>0</v>
      </c>
      <c r="ECX133">
        <v>0</v>
      </c>
      <c r="EFM133">
        <v>40</v>
      </c>
      <c r="EFN133">
        <v>1</v>
      </c>
      <c r="EFQ133">
        <v>1</v>
      </c>
      <c r="EFS133">
        <v>999</v>
      </c>
      <c r="EFT133">
        <v>999</v>
      </c>
      <c r="EFU133">
        <v>0</v>
      </c>
      <c r="EFV133">
        <v>9</v>
      </c>
      <c r="EFX133">
        <v>1.5</v>
      </c>
      <c r="EFY133">
        <v>1</v>
      </c>
      <c r="EGB133">
        <v>1</v>
      </c>
      <c r="EGC133">
        <v>488</v>
      </c>
      <c r="EGD133">
        <v>488</v>
      </c>
      <c r="EGE133">
        <v>0</v>
      </c>
      <c r="EGF133">
        <v>0</v>
      </c>
      <c r="HCA133">
        <v>1</v>
      </c>
    </row>
    <row r="134" spans="1:1020 1028:2030 2057:3057 3443:3852 4351:5114 5337:5522" x14ac:dyDescent="0.25">
      <c r="A134" s="50">
        <v>4001905</v>
      </c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>
        <v>8209</v>
      </c>
      <c r="M134" s="50">
        <v>8047</v>
      </c>
      <c r="N134" s="50">
        <v>3881</v>
      </c>
      <c r="O134" s="50">
        <v>1505</v>
      </c>
      <c r="P134" s="50">
        <v>782</v>
      </c>
      <c r="Q134" s="50"/>
      <c r="S134">
        <v>261</v>
      </c>
      <c r="JQ134">
        <v>217</v>
      </c>
      <c r="JR134">
        <v>185</v>
      </c>
      <c r="JS134">
        <v>122</v>
      </c>
      <c r="JT134">
        <v>95</v>
      </c>
      <c r="JU134">
        <v>75</v>
      </c>
      <c r="JX134">
        <v>47</v>
      </c>
      <c r="AKE134">
        <v>0.9</v>
      </c>
      <c r="ANQ134" s="50"/>
      <c r="ANR134" s="50"/>
      <c r="ANS134" s="50"/>
      <c r="ANT134" s="50"/>
      <c r="ANU134" s="50"/>
      <c r="ANV134" s="50"/>
      <c r="ANW134" s="50"/>
      <c r="ANX134" s="50"/>
      <c r="ANY134" s="50"/>
      <c r="ANZ134" s="50"/>
      <c r="AOA134" s="50"/>
      <c r="BPE134">
        <v>20</v>
      </c>
      <c r="BPF134">
        <v>1</v>
      </c>
      <c r="BPH134">
        <v>20.5</v>
      </c>
      <c r="BPJ134">
        <v>1</v>
      </c>
      <c r="BPK134">
        <v>8</v>
      </c>
      <c r="BQS134">
        <v>1</v>
      </c>
      <c r="BYQ134" s="50"/>
      <c r="BYR134" s="50">
        <v>75</v>
      </c>
      <c r="BYS134" s="50">
        <v>1</v>
      </c>
      <c r="BYT134" s="50"/>
      <c r="BYU134" s="50"/>
      <c r="BYV134" s="50">
        <v>1</v>
      </c>
      <c r="BYX134">
        <v>1</v>
      </c>
      <c r="BYY134">
        <v>43</v>
      </c>
      <c r="BYZ134">
        <v>42</v>
      </c>
      <c r="BZA134">
        <v>0</v>
      </c>
      <c r="BZB134">
        <v>0</v>
      </c>
      <c r="FLM134">
        <v>5</v>
      </c>
      <c r="FLN134">
        <v>1</v>
      </c>
      <c r="FLQ134">
        <v>1</v>
      </c>
      <c r="FLR134">
        <v>999</v>
      </c>
      <c r="FLS134">
        <v>999</v>
      </c>
      <c r="FLT134">
        <v>0</v>
      </c>
      <c r="FLU134">
        <v>0</v>
      </c>
      <c r="FMG134">
        <v>20</v>
      </c>
      <c r="FMH134">
        <v>1</v>
      </c>
      <c r="FMK134">
        <v>1</v>
      </c>
      <c r="FML134">
        <v>732</v>
      </c>
      <c r="FMM134">
        <v>732</v>
      </c>
      <c r="FMN134">
        <v>0</v>
      </c>
      <c r="FMO134">
        <v>0</v>
      </c>
      <c r="GWU134">
        <v>1</v>
      </c>
      <c r="GZF134">
        <v>1</v>
      </c>
      <c r="HAG134">
        <v>1</v>
      </c>
    </row>
    <row r="135" spans="1:1020 1028:2030 2057:3057 3443:3852 4351:5114 5337:5522" x14ac:dyDescent="0.25">
      <c r="A135" s="50">
        <v>4002206</v>
      </c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BC135">
        <v>110</v>
      </c>
      <c r="EG135">
        <v>26.4</v>
      </c>
      <c r="HQ135">
        <v>7200</v>
      </c>
      <c r="HX135">
        <v>6700</v>
      </c>
      <c r="JQ135" s="3">
        <v>20.399999999999999</v>
      </c>
      <c r="NF135">
        <v>25.8</v>
      </c>
      <c r="QT135">
        <v>180.6</v>
      </c>
      <c r="ZT135" s="3">
        <v>16.500699999999998</v>
      </c>
      <c r="ZY135" s="3">
        <v>14.696</v>
      </c>
      <c r="ZZ135" s="3"/>
      <c r="AAA135" s="3"/>
      <c r="AGU135">
        <v>148.80000000000001</v>
      </c>
      <c r="AKF135">
        <v>0.86650000000000005</v>
      </c>
      <c r="ANQ135" s="50"/>
      <c r="ANR135" s="50"/>
      <c r="ANS135" s="50"/>
      <c r="ANT135" s="50"/>
      <c r="ANU135" s="50"/>
      <c r="ANV135" s="50"/>
      <c r="ANW135" s="50"/>
      <c r="ANX135" s="50"/>
      <c r="ANY135" s="50"/>
      <c r="ANZ135" s="50"/>
      <c r="AOA135" s="50"/>
      <c r="ASV135">
        <v>209000</v>
      </c>
      <c r="ATC135">
        <v>203000</v>
      </c>
      <c r="BAL135">
        <v>50</v>
      </c>
      <c r="BAQ135">
        <v>44</v>
      </c>
      <c r="BCD135">
        <v>92.8</v>
      </c>
      <c r="BCI135">
        <v>95.2</v>
      </c>
      <c r="BGQ135">
        <v>135</v>
      </c>
      <c r="BHW135">
        <v>5.0599999999999996</v>
      </c>
      <c r="BIZ135">
        <v>2.35</v>
      </c>
      <c r="BPE135">
        <v>36</v>
      </c>
      <c r="BPF135">
        <v>1</v>
      </c>
      <c r="BPH135">
        <v>26.7</v>
      </c>
      <c r="BPJ135">
        <v>1</v>
      </c>
      <c r="BPK135">
        <v>8</v>
      </c>
      <c r="BVW135">
        <v>1</v>
      </c>
      <c r="BYQ135" s="50"/>
      <c r="BYR135" s="50">
        <v>75</v>
      </c>
      <c r="BYS135" s="50">
        <v>2</v>
      </c>
      <c r="BYT135" s="50"/>
      <c r="BYU135" s="50"/>
      <c r="BYV135" s="50">
        <v>1</v>
      </c>
      <c r="BYY135">
        <v>305</v>
      </c>
      <c r="BYZ135">
        <v>305</v>
      </c>
      <c r="BZA135">
        <v>0</v>
      </c>
      <c r="BZB135">
        <v>0</v>
      </c>
      <c r="GXZ135">
        <v>1</v>
      </c>
      <c r="GZD135">
        <v>1</v>
      </c>
      <c r="HCR135">
        <v>1</v>
      </c>
    </row>
    <row r="136" spans="1:1020 1028:2030 2057:3057 3443:3852 4351:5114 5337:5522" x14ac:dyDescent="0.25">
      <c r="A136" s="50">
        <v>4002715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KA136">
        <v>96</v>
      </c>
      <c r="KJ136">
        <v>40</v>
      </c>
      <c r="KT136">
        <v>27</v>
      </c>
      <c r="RD136">
        <v>57</v>
      </c>
      <c r="RM136">
        <v>54</v>
      </c>
      <c r="RU136">
        <v>27</v>
      </c>
      <c r="UT136">
        <v>11</v>
      </c>
      <c r="UY136">
        <v>4.9000000000000004</v>
      </c>
      <c r="VA136">
        <v>3.6</v>
      </c>
      <c r="ANQ136" s="50"/>
      <c r="ANR136" s="50"/>
      <c r="ANS136" s="50"/>
      <c r="ANT136" s="50"/>
      <c r="ANU136" s="50"/>
      <c r="ANV136" s="50"/>
      <c r="ANW136" s="50"/>
      <c r="ANX136" s="50"/>
      <c r="ANY136" s="50"/>
      <c r="ANZ136" s="50"/>
      <c r="AOA136" s="50"/>
      <c r="BPE136">
        <v>60</v>
      </c>
      <c r="BPG136">
        <v>1</v>
      </c>
      <c r="BPH136">
        <v>22.1</v>
      </c>
      <c r="BYQ136" s="50"/>
      <c r="BYR136" s="50">
        <v>50</v>
      </c>
      <c r="BYS136" s="50">
        <v>2</v>
      </c>
      <c r="BYT136" s="50"/>
      <c r="BYU136" s="50"/>
      <c r="BYV136" s="50">
        <v>1</v>
      </c>
      <c r="BYY136" s="35">
        <v>999</v>
      </c>
      <c r="BYZ136">
        <v>214</v>
      </c>
      <c r="BZA136">
        <v>0</v>
      </c>
      <c r="BZB136">
        <v>999</v>
      </c>
      <c r="GWG136">
        <v>1</v>
      </c>
    </row>
    <row r="137" spans="1:1020 1028:2030 2057:3057 3443:3852 4351:5114 5337:5522" x14ac:dyDescent="0.25">
      <c r="A137" s="50">
        <v>4003924</v>
      </c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BF137">
        <v>71</v>
      </c>
      <c r="HQ137">
        <v>3200</v>
      </c>
      <c r="JR137">
        <v>692</v>
      </c>
      <c r="NG137">
        <v>1276</v>
      </c>
      <c r="QU137">
        <v>220</v>
      </c>
      <c r="ACH137" s="3"/>
      <c r="ANQ137" s="50"/>
      <c r="ANR137" s="50"/>
      <c r="ANS137" s="50"/>
      <c r="ANT137" s="50"/>
      <c r="ANU137" s="50"/>
      <c r="ANV137" s="50"/>
      <c r="ANW137" s="50"/>
      <c r="ANX137" s="50"/>
      <c r="ANY137" s="50"/>
      <c r="ANZ137" s="50"/>
      <c r="AOA137" s="50"/>
      <c r="BPE137">
        <v>53</v>
      </c>
      <c r="BPF137">
        <v>1</v>
      </c>
      <c r="BPH137">
        <v>23.4</v>
      </c>
      <c r="BPM137">
        <v>1</v>
      </c>
      <c r="BQD137">
        <v>1</v>
      </c>
      <c r="BRJ137">
        <v>1</v>
      </c>
      <c r="BYF137">
        <v>1</v>
      </c>
      <c r="BYQ137" s="50"/>
      <c r="BYR137" s="50">
        <v>50</v>
      </c>
      <c r="BYS137" s="50">
        <v>1</v>
      </c>
      <c r="BYT137" s="50"/>
      <c r="BYU137" s="50"/>
      <c r="BYV137" s="50">
        <v>1</v>
      </c>
      <c r="BYY137">
        <v>31</v>
      </c>
      <c r="BYZ137">
        <v>39</v>
      </c>
      <c r="BZA137">
        <v>9</v>
      </c>
      <c r="BZB137">
        <v>0</v>
      </c>
      <c r="CAC137">
        <v>500</v>
      </c>
      <c r="CAG137">
        <v>1</v>
      </c>
      <c r="CAH137">
        <v>999</v>
      </c>
      <c r="CAI137">
        <v>999</v>
      </c>
      <c r="CAJ137">
        <v>0</v>
      </c>
      <c r="CAK137">
        <v>0</v>
      </c>
      <c r="GWG137">
        <v>1</v>
      </c>
      <c r="GWH137">
        <v>1</v>
      </c>
      <c r="HCA137">
        <v>1</v>
      </c>
    </row>
    <row r="138" spans="1:1020 1028:2030 2057:3057 3443:3852 4351:5114 5337:5522" x14ac:dyDescent="0.25">
      <c r="A138" s="50">
        <v>4006051</v>
      </c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TL138">
        <v>2028</v>
      </c>
      <c r="ZT138">
        <v>11.6</v>
      </c>
      <c r="ZZ138">
        <v>3.3</v>
      </c>
      <c r="AKF138">
        <v>2.2999999999999998</v>
      </c>
      <c r="ANQ138" s="50"/>
      <c r="ANR138" s="50"/>
      <c r="ANS138" s="50"/>
      <c r="ANT138" s="50"/>
      <c r="ANU138" s="50"/>
      <c r="ANV138" s="50"/>
      <c r="ANW138" s="50"/>
      <c r="ANX138" s="50"/>
      <c r="ANY138" s="50"/>
      <c r="ANZ138" s="50"/>
      <c r="AOA138" s="50"/>
      <c r="AUD138">
        <v>6</v>
      </c>
      <c r="BPE138">
        <v>66</v>
      </c>
      <c r="BPG138">
        <v>1</v>
      </c>
      <c r="BPJ138">
        <v>1</v>
      </c>
      <c r="BPK138">
        <v>49</v>
      </c>
      <c r="BPX138">
        <v>1</v>
      </c>
      <c r="BQF138">
        <v>1</v>
      </c>
      <c r="BSZ138">
        <v>1</v>
      </c>
      <c r="BYQ138" s="50"/>
      <c r="BYR138" s="50">
        <v>75</v>
      </c>
      <c r="BYS138" s="50">
        <v>1</v>
      </c>
      <c r="BYT138" s="50"/>
      <c r="BYU138" s="50">
        <v>1</v>
      </c>
      <c r="BYV138" s="50"/>
      <c r="GXZ138">
        <v>1</v>
      </c>
      <c r="HBD138">
        <v>1</v>
      </c>
      <c r="HCB138">
        <v>1</v>
      </c>
      <c r="HDA138">
        <v>1</v>
      </c>
    </row>
    <row r="139" spans="1:1020 1028:2030 2057:3057 3443:3852 4351:5114 5337:5522" x14ac:dyDescent="0.25">
      <c r="A139" s="50">
        <v>4008140</v>
      </c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HP139">
        <v>5900</v>
      </c>
      <c r="JP139">
        <v>243</v>
      </c>
      <c r="NE139">
        <v>291</v>
      </c>
      <c r="QS139">
        <v>88</v>
      </c>
      <c r="TK139">
        <v>302</v>
      </c>
      <c r="ZS139">
        <v>12</v>
      </c>
      <c r="AAY139">
        <v>11</v>
      </c>
      <c r="ABP139">
        <v>7.3</v>
      </c>
      <c r="ACF139">
        <v>5.5</v>
      </c>
      <c r="AEI139">
        <v>4.5999999999999996</v>
      </c>
      <c r="ANQ139" s="50"/>
      <c r="ANR139" s="50"/>
      <c r="ANS139" s="50"/>
      <c r="ANT139" s="50"/>
      <c r="ANU139" s="50"/>
      <c r="ANV139" s="50"/>
      <c r="ANW139" s="50"/>
      <c r="ANX139" s="50">
        <v>8</v>
      </c>
      <c r="ANY139" s="50"/>
      <c r="ANZ139" s="50"/>
      <c r="AOA139" s="50"/>
      <c r="ASU139">
        <v>409000</v>
      </c>
      <c r="BPE139">
        <v>57</v>
      </c>
      <c r="BPG139">
        <v>1</v>
      </c>
      <c r="BYK139">
        <v>1</v>
      </c>
      <c r="BYQ139" s="50"/>
      <c r="BYR139" s="50"/>
      <c r="BYS139" s="50"/>
      <c r="BYT139" s="50"/>
      <c r="BYU139" s="50"/>
      <c r="BYV139" s="50">
        <v>1</v>
      </c>
      <c r="BYY139">
        <v>2</v>
      </c>
      <c r="BYZ139">
        <v>17</v>
      </c>
      <c r="BZA139">
        <v>16</v>
      </c>
      <c r="BZB139">
        <v>0</v>
      </c>
      <c r="CDC139">
        <v>2</v>
      </c>
      <c r="CDD139">
        <v>18</v>
      </c>
      <c r="CDE139">
        <v>17</v>
      </c>
      <c r="CDF139">
        <v>0</v>
      </c>
      <c r="CJC139">
        <v>17</v>
      </c>
      <c r="CJD139">
        <v>15</v>
      </c>
      <c r="CJE139">
        <v>0</v>
      </c>
      <c r="CJF139">
        <v>1</v>
      </c>
      <c r="CUJ139">
        <v>1</v>
      </c>
      <c r="CUK139">
        <v>10</v>
      </c>
      <c r="CUL139">
        <v>10</v>
      </c>
      <c r="CUM139">
        <v>1</v>
      </c>
      <c r="CUN139">
        <v>0</v>
      </c>
      <c r="GWU139">
        <v>1</v>
      </c>
      <c r="GYD139">
        <v>1</v>
      </c>
      <c r="HCB139">
        <v>1</v>
      </c>
      <c r="HDJ139">
        <v>1</v>
      </c>
    </row>
    <row r="140" spans="1:1020 1028:2030 2057:3057 3443:3852 4351:5114 5337:5522" x14ac:dyDescent="0.25">
      <c r="A140" s="50">
        <v>4009906</v>
      </c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HR140">
        <v>6300</v>
      </c>
      <c r="IN140">
        <v>7100</v>
      </c>
      <c r="IQ140">
        <v>5300</v>
      </c>
      <c r="JR140">
        <v>37</v>
      </c>
      <c r="KS140">
        <v>31</v>
      </c>
      <c r="LQ140">
        <v>26</v>
      </c>
      <c r="LW140">
        <v>41</v>
      </c>
      <c r="NG140">
        <v>32</v>
      </c>
      <c r="OH140">
        <v>26</v>
      </c>
      <c r="PG140">
        <v>24</v>
      </c>
      <c r="PN140">
        <v>46</v>
      </c>
      <c r="QU140">
        <v>57</v>
      </c>
      <c r="RT140">
        <v>51</v>
      </c>
      <c r="SO140">
        <v>83</v>
      </c>
      <c r="ST140">
        <v>81</v>
      </c>
      <c r="UO140">
        <v>19.100000000000001</v>
      </c>
      <c r="UZ140">
        <v>3.7</v>
      </c>
      <c r="VE140">
        <v>4.3</v>
      </c>
      <c r="VH140">
        <v>25</v>
      </c>
      <c r="XN140">
        <v>34.5</v>
      </c>
      <c r="XZ140">
        <v>21</v>
      </c>
      <c r="YD140">
        <v>37.9</v>
      </c>
      <c r="YE140">
        <v>31.4</v>
      </c>
      <c r="YO140">
        <v>4.5999999999999996</v>
      </c>
      <c r="YV140">
        <v>4.2</v>
      </c>
      <c r="YW140">
        <v>3.6</v>
      </c>
      <c r="YX140">
        <v>4.8</v>
      </c>
      <c r="ZU140">
        <v>13.4</v>
      </c>
      <c r="AAP140">
        <v>12.1</v>
      </c>
      <c r="AAT140">
        <v>12.9</v>
      </c>
      <c r="ACH140">
        <v>0.5</v>
      </c>
      <c r="ADG140">
        <v>1</v>
      </c>
      <c r="ADZ140">
        <v>0.7</v>
      </c>
      <c r="AEC140">
        <v>0.6</v>
      </c>
      <c r="AGV140">
        <v>65</v>
      </c>
      <c r="AHY140">
        <v>56</v>
      </c>
      <c r="AIO140">
        <v>73</v>
      </c>
      <c r="AIR140">
        <v>67</v>
      </c>
      <c r="ALQ140">
        <v>64</v>
      </c>
      <c r="ALZ140">
        <v>56</v>
      </c>
      <c r="AMD140">
        <v>63</v>
      </c>
      <c r="AMF140">
        <v>33</v>
      </c>
      <c r="AMO140">
        <v>82</v>
      </c>
      <c r="ANF140">
        <v>43</v>
      </c>
      <c r="ANL140">
        <v>74</v>
      </c>
      <c r="ANN140">
        <v>29</v>
      </c>
      <c r="ANQ140" s="50"/>
      <c r="ANR140" s="50"/>
      <c r="ANS140" s="50"/>
      <c r="ANT140" s="50"/>
      <c r="ANU140" s="50"/>
      <c r="ANV140" s="50"/>
      <c r="ANW140" s="50"/>
      <c r="ANX140" s="50"/>
      <c r="ANY140" s="50"/>
      <c r="ANZ140" s="50">
        <v>1</v>
      </c>
      <c r="AOA140" s="50"/>
      <c r="ARL140">
        <v>4270000</v>
      </c>
      <c r="ASC140">
        <v>3.96</v>
      </c>
      <c r="ASE140">
        <v>4.17</v>
      </c>
      <c r="ASW140">
        <v>226000</v>
      </c>
      <c r="ATT140">
        <v>223000</v>
      </c>
      <c r="ATX140">
        <v>248000</v>
      </c>
      <c r="AUA140">
        <v>225000</v>
      </c>
      <c r="AVD140">
        <v>4.5999999999999996</v>
      </c>
      <c r="AVI140">
        <v>3.3</v>
      </c>
      <c r="AVK140">
        <v>4.8</v>
      </c>
      <c r="AVL140">
        <v>3.3</v>
      </c>
      <c r="AVX140">
        <v>53.6</v>
      </c>
      <c r="AWF140">
        <v>69.5</v>
      </c>
      <c r="AWI140">
        <v>50.9</v>
      </c>
      <c r="AWJ140">
        <v>58</v>
      </c>
      <c r="AWT140">
        <v>0.8</v>
      </c>
      <c r="AWX140">
        <v>3.3</v>
      </c>
      <c r="AWY140">
        <v>4.8</v>
      </c>
      <c r="AWZ140">
        <v>0.8</v>
      </c>
      <c r="BAM140">
        <v>40.5</v>
      </c>
      <c r="BBH140">
        <v>37.1</v>
      </c>
      <c r="BBM140">
        <v>38.1</v>
      </c>
      <c r="BBO140">
        <v>38.9</v>
      </c>
      <c r="BCE140">
        <v>94.8</v>
      </c>
      <c r="BCT140">
        <v>93.8</v>
      </c>
      <c r="BCV140">
        <v>91.3</v>
      </c>
      <c r="BCW140">
        <v>90.3</v>
      </c>
      <c r="BDK140">
        <v>31.4</v>
      </c>
      <c r="BDX140">
        <v>30.5</v>
      </c>
      <c r="BDY140">
        <v>31</v>
      </c>
      <c r="BDZ140">
        <v>30.2</v>
      </c>
      <c r="BEN140">
        <v>33.1</v>
      </c>
      <c r="BFB140">
        <v>32.5</v>
      </c>
      <c r="BFC140">
        <v>33.9</v>
      </c>
      <c r="BFD140">
        <v>33.4</v>
      </c>
      <c r="BPE140">
        <v>51</v>
      </c>
      <c r="BPG140">
        <v>1</v>
      </c>
      <c r="BPH140">
        <v>20.5</v>
      </c>
      <c r="BPX140">
        <v>1</v>
      </c>
      <c r="BYN140">
        <v>1</v>
      </c>
      <c r="BYQ140" s="50"/>
      <c r="BYR140" s="62"/>
      <c r="BYS140" s="50"/>
      <c r="BYT140" s="50"/>
      <c r="BYU140" s="50"/>
      <c r="BYV140" s="50"/>
      <c r="BYX140">
        <v>1</v>
      </c>
      <c r="BYY140">
        <v>519</v>
      </c>
      <c r="BYZ140">
        <v>519</v>
      </c>
      <c r="BZA140">
        <v>0</v>
      </c>
      <c r="GCT140">
        <v>50</v>
      </c>
      <c r="GCY140">
        <v>1</v>
      </c>
      <c r="GCZ140">
        <v>999</v>
      </c>
      <c r="GDA140">
        <v>999</v>
      </c>
      <c r="GDB140">
        <v>0</v>
      </c>
      <c r="GDC140">
        <v>90</v>
      </c>
      <c r="GZD140">
        <v>1</v>
      </c>
    </row>
    <row r="141" spans="1:1020 1028:2030 2057:3057 3443:3852 4351:5114 5337:5522" x14ac:dyDescent="0.25">
      <c r="A141" s="50">
        <v>4011027</v>
      </c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BD141">
        <v>28</v>
      </c>
      <c r="BE141">
        <v>37</v>
      </c>
      <c r="BJ141">
        <v>81</v>
      </c>
      <c r="BK141">
        <v>82</v>
      </c>
      <c r="CN141">
        <v>2.5</v>
      </c>
      <c r="CO141">
        <v>2</v>
      </c>
      <c r="CT141">
        <v>1.1000000000000001</v>
      </c>
      <c r="CU141">
        <v>1.1000000000000001</v>
      </c>
      <c r="EH141">
        <v>35.6</v>
      </c>
      <c r="EI141">
        <v>33.799999999999997</v>
      </c>
      <c r="EN141">
        <v>33.5</v>
      </c>
      <c r="EO141">
        <v>34.200000000000003</v>
      </c>
      <c r="FF141">
        <v>18.3</v>
      </c>
      <c r="FG141">
        <v>6.8</v>
      </c>
      <c r="FI141">
        <v>19.7</v>
      </c>
      <c r="FJ141">
        <v>17.7</v>
      </c>
      <c r="HR141">
        <v>8900</v>
      </c>
      <c r="JR141">
        <v>37.200000000000003</v>
      </c>
      <c r="JS141">
        <v>31.8</v>
      </c>
      <c r="NG141" s="3">
        <v>23.4</v>
      </c>
      <c r="NH141">
        <v>24</v>
      </c>
      <c r="ZU141" s="3">
        <v>8.0570000000000004</v>
      </c>
      <c r="ZV141" s="3">
        <v>9.5073000000000008</v>
      </c>
      <c r="ZW141" s="3">
        <v>10.635199999999999</v>
      </c>
      <c r="AAA141" s="3">
        <v>10.9575</v>
      </c>
      <c r="AAH141" s="3">
        <v>11.440899999999999</v>
      </c>
      <c r="ACH141">
        <v>0.2631</v>
      </c>
      <c r="AGV141">
        <v>84</v>
      </c>
      <c r="AKG141" s="3">
        <v>1.1312</v>
      </c>
      <c r="AKH141">
        <v>1.2556</v>
      </c>
      <c r="ALQ141" s="3">
        <v>108.6</v>
      </c>
      <c r="ANQ141" s="50"/>
      <c r="ANR141" s="50"/>
      <c r="ANS141" s="50"/>
      <c r="ANT141" s="50"/>
      <c r="ANU141" s="50"/>
      <c r="ANV141" s="50"/>
      <c r="ANW141" s="50"/>
      <c r="ANX141" s="50"/>
      <c r="ANY141" s="50"/>
      <c r="ANZ141" s="50"/>
      <c r="AOA141" s="50">
        <v>14</v>
      </c>
      <c r="APN141" s="3">
        <v>67.872</v>
      </c>
      <c r="APO141" s="3"/>
      <c r="AQO141" s="3">
        <v>2.5720999999999998</v>
      </c>
      <c r="ASW141">
        <v>400000</v>
      </c>
      <c r="BAM141">
        <v>24</v>
      </c>
      <c r="BAN141">
        <v>28</v>
      </c>
      <c r="BAO141">
        <v>32</v>
      </c>
      <c r="BAS141">
        <v>34</v>
      </c>
      <c r="BAY141">
        <v>36</v>
      </c>
      <c r="BGR141">
        <v>147</v>
      </c>
      <c r="BGS141">
        <v>144</v>
      </c>
      <c r="BHX141">
        <v>3.4</v>
      </c>
      <c r="BHY141">
        <v>2.7</v>
      </c>
      <c r="BJB141">
        <v>1.3</v>
      </c>
      <c r="BJW141">
        <v>0.23</v>
      </c>
      <c r="BKI141" s="3">
        <v>84.325999999999993</v>
      </c>
      <c r="BKJ141" s="3"/>
      <c r="BKK141" s="3"/>
      <c r="BKT141" s="50"/>
      <c r="BKU141" s="50"/>
      <c r="BKV141" s="50">
        <v>72</v>
      </c>
      <c r="BKW141" s="50"/>
      <c r="BKX141" s="50"/>
      <c r="BKY141" s="50"/>
      <c r="BKZ141" s="50"/>
      <c r="BLA141" s="50"/>
      <c r="BLB141" s="50"/>
      <c r="BLX141" s="3">
        <v>100.8896</v>
      </c>
      <c r="BMW141">
        <v>4700</v>
      </c>
      <c r="BPE141">
        <v>45</v>
      </c>
      <c r="BPF141">
        <v>1</v>
      </c>
      <c r="BPH141">
        <v>17.899999999999999</v>
      </c>
      <c r="BPJ141">
        <v>1</v>
      </c>
      <c r="BPK141">
        <v>19</v>
      </c>
      <c r="BRP141">
        <v>1</v>
      </c>
      <c r="BRQ141">
        <v>1</v>
      </c>
      <c r="BVV141">
        <v>1</v>
      </c>
      <c r="BYQ141" s="50"/>
      <c r="BYR141" s="50">
        <v>50</v>
      </c>
      <c r="BYS141" s="50">
        <v>2</v>
      </c>
      <c r="BYT141" s="50"/>
      <c r="BYU141" s="50"/>
      <c r="BYV141" s="50">
        <v>1</v>
      </c>
      <c r="BYY141">
        <v>3</v>
      </c>
      <c r="BYZ141">
        <v>13</v>
      </c>
      <c r="BZA141">
        <v>11</v>
      </c>
      <c r="BZB141">
        <v>0</v>
      </c>
      <c r="CJH141">
        <v>4</v>
      </c>
      <c r="CJI141">
        <v>2</v>
      </c>
      <c r="CJL141">
        <v>1</v>
      </c>
      <c r="CJM141">
        <v>3</v>
      </c>
      <c r="CJN141">
        <v>13</v>
      </c>
      <c r="CJO141">
        <v>11</v>
      </c>
      <c r="CJP141">
        <v>0</v>
      </c>
      <c r="GWG141">
        <v>1</v>
      </c>
      <c r="GXP141">
        <v>1</v>
      </c>
      <c r="HCK141">
        <v>1</v>
      </c>
      <c r="HCN141">
        <v>1</v>
      </c>
    </row>
    <row r="142" spans="1:1020 1028:2030 2057:3057 3443:3852 4351:5114 5337:5522" x14ac:dyDescent="0.25">
      <c r="A142" s="50">
        <v>4011920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JR142">
        <v>259</v>
      </c>
      <c r="KB142">
        <v>25</v>
      </c>
      <c r="KL142">
        <v>23</v>
      </c>
      <c r="NF142">
        <v>625</v>
      </c>
      <c r="NQ142">
        <v>76</v>
      </c>
      <c r="OA142">
        <v>17</v>
      </c>
      <c r="QT142">
        <v>473</v>
      </c>
      <c r="RE142">
        <v>234</v>
      </c>
      <c r="RO142">
        <v>16</v>
      </c>
      <c r="AGU142">
        <v>426</v>
      </c>
      <c r="AHF142">
        <v>166</v>
      </c>
      <c r="AHP142">
        <v>47</v>
      </c>
      <c r="ANQ142" s="50"/>
      <c r="ANR142" s="50"/>
      <c r="ANS142" s="50"/>
      <c r="ANT142" s="50"/>
      <c r="ANU142" s="50"/>
      <c r="ANV142" s="50"/>
      <c r="ANW142" s="50"/>
      <c r="ANX142" s="50"/>
      <c r="ANY142" s="50"/>
      <c r="ANZ142" s="50"/>
      <c r="AOA142" s="50"/>
      <c r="BKT142" s="50"/>
      <c r="BKU142" s="50"/>
      <c r="BKV142" s="50"/>
      <c r="BKW142" s="50"/>
      <c r="BKX142" s="50"/>
      <c r="BKY142" s="50"/>
      <c r="BKZ142" s="50"/>
      <c r="BLA142" s="50"/>
      <c r="BLB142" s="50"/>
      <c r="BPE142">
        <v>61</v>
      </c>
      <c r="BPG142">
        <v>1</v>
      </c>
      <c r="BPH142">
        <v>23.2</v>
      </c>
      <c r="BPK142">
        <v>14</v>
      </c>
      <c r="BVT142">
        <v>1</v>
      </c>
      <c r="BYQ142" s="50"/>
      <c r="BYR142" s="50">
        <v>50</v>
      </c>
      <c r="BYS142" s="50">
        <v>1</v>
      </c>
      <c r="BYT142" s="50"/>
      <c r="BYU142" s="50"/>
      <c r="BYV142" s="50">
        <v>1</v>
      </c>
      <c r="BYY142">
        <v>54</v>
      </c>
      <c r="BYZ142">
        <v>53</v>
      </c>
      <c r="BZA142">
        <v>0</v>
      </c>
      <c r="BZB142">
        <v>0</v>
      </c>
      <c r="EQB142">
        <v>3</v>
      </c>
      <c r="EQE142">
        <v>1</v>
      </c>
      <c r="EQF142">
        <v>54</v>
      </c>
      <c r="EQG142">
        <v>53</v>
      </c>
      <c r="EQH142">
        <v>0</v>
      </c>
      <c r="EQI142">
        <v>0</v>
      </c>
      <c r="EQV142">
        <v>20</v>
      </c>
      <c r="EQW142">
        <v>1</v>
      </c>
      <c r="EQZ142">
        <v>1</v>
      </c>
      <c r="ERA142" s="35">
        <v>999</v>
      </c>
      <c r="ERB142">
        <v>35</v>
      </c>
      <c r="ERC142">
        <v>0</v>
      </c>
      <c r="ERD142">
        <v>999</v>
      </c>
    </row>
    <row r="143" spans="1:1020 1028:2030 2057:3057 3443:3852 4351:5114 5337:5522" x14ac:dyDescent="0.25">
      <c r="A143" s="50">
        <v>4012248</v>
      </c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JQ143">
        <v>79</v>
      </c>
      <c r="JR143">
        <v>67</v>
      </c>
      <c r="JT143">
        <v>52</v>
      </c>
      <c r="JY143">
        <v>75</v>
      </c>
      <c r="KD143">
        <v>29</v>
      </c>
      <c r="KK143">
        <v>19</v>
      </c>
      <c r="KV143">
        <v>17</v>
      </c>
      <c r="NF143">
        <v>285</v>
      </c>
      <c r="NG143">
        <v>256</v>
      </c>
      <c r="NI143">
        <v>180</v>
      </c>
      <c r="NN143">
        <v>171</v>
      </c>
      <c r="NS143">
        <v>86</v>
      </c>
      <c r="NZ143">
        <v>45</v>
      </c>
      <c r="OJ143">
        <v>33</v>
      </c>
      <c r="QT143">
        <v>380</v>
      </c>
      <c r="QU143">
        <v>392</v>
      </c>
      <c r="QW143">
        <v>390</v>
      </c>
      <c r="RB143">
        <v>417</v>
      </c>
      <c r="RG143">
        <v>403</v>
      </c>
      <c r="RN143">
        <v>331</v>
      </c>
      <c r="RW143">
        <v>220</v>
      </c>
      <c r="AGV143">
        <v>554</v>
      </c>
      <c r="AGX143">
        <v>516</v>
      </c>
      <c r="AHC143">
        <v>637</v>
      </c>
      <c r="AHH143">
        <v>438</v>
      </c>
      <c r="AHO143">
        <v>335</v>
      </c>
      <c r="AHW143">
        <v>259</v>
      </c>
      <c r="ANQ143" s="50"/>
      <c r="ANR143" s="50"/>
      <c r="ANS143" s="50"/>
      <c r="ANT143" s="50"/>
      <c r="ANU143" s="50"/>
      <c r="ANV143" s="50"/>
      <c r="ANW143" s="50"/>
      <c r="ANX143" s="50"/>
      <c r="ANY143" s="50"/>
      <c r="ANZ143" s="50"/>
      <c r="AOA143" s="50"/>
      <c r="BKT143" s="50"/>
      <c r="BKU143" s="50"/>
      <c r="BKV143" s="50"/>
      <c r="BKW143" s="50"/>
      <c r="BKX143" s="50"/>
      <c r="BKY143" s="50"/>
      <c r="BKZ143" s="50"/>
      <c r="BLA143" s="50"/>
      <c r="BLB143" s="50"/>
      <c r="BPE143">
        <v>45</v>
      </c>
      <c r="BPF143">
        <v>1</v>
      </c>
      <c r="BPJ143">
        <v>1</v>
      </c>
      <c r="BPK143">
        <v>32</v>
      </c>
      <c r="BQY143">
        <v>1</v>
      </c>
      <c r="BYA143">
        <v>1</v>
      </c>
      <c r="BYQ143" s="50"/>
      <c r="BYR143" s="50"/>
      <c r="BYS143" s="50"/>
      <c r="BYT143" s="50"/>
      <c r="BYU143" s="50"/>
      <c r="BYV143" s="50"/>
      <c r="DBS143">
        <v>150</v>
      </c>
      <c r="DBT143">
        <v>1</v>
      </c>
      <c r="DBW143">
        <v>1</v>
      </c>
      <c r="DBX143">
        <v>29</v>
      </c>
      <c r="DBY143">
        <v>28</v>
      </c>
      <c r="DBZ143">
        <v>0</v>
      </c>
      <c r="DCA143">
        <v>0</v>
      </c>
      <c r="FKI143">
        <v>3</v>
      </c>
      <c r="FKJ143">
        <v>1</v>
      </c>
      <c r="FKM143">
        <v>1</v>
      </c>
      <c r="FKN143">
        <v>26</v>
      </c>
      <c r="FKO143">
        <v>25</v>
      </c>
      <c r="FKP143">
        <v>0</v>
      </c>
      <c r="FKQ143">
        <v>0</v>
      </c>
      <c r="FOP143">
        <v>1200</v>
      </c>
      <c r="FOQ143">
        <v>1</v>
      </c>
      <c r="FOT143">
        <v>1</v>
      </c>
      <c r="FOU143" s="35">
        <v>999</v>
      </c>
      <c r="FOV143">
        <v>28</v>
      </c>
      <c r="FOW143">
        <v>0</v>
      </c>
      <c r="FOX143">
        <v>999</v>
      </c>
      <c r="HBV143">
        <v>1</v>
      </c>
    </row>
    <row r="144" spans="1:1020 1028:2030 2057:3057 3443:3852 4351:5114 5337:5522" x14ac:dyDescent="0.25">
      <c r="A144" s="50">
        <v>4013603</v>
      </c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JQ144">
        <v>134</v>
      </c>
      <c r="NF144">
        <v>120</v>
      </c>
      <c r="QT144">
        <v>558</v>
      </c>
      <c r="AGU144">
        <v>547</v>
      </c>
      <c r="AMN144">
        <v>84</v>
      </c>
      <c r="ANQ144" s="50"/>
      <c r="ANR144" s="50"/>
      <c r="ANS144" s="50"/>
      <c r="ANT144" s="50"/>
      <c r="ANU144" s="50"/>
      <c r="ANV144" s="50"/>
      <c r="ANW144" s="50"/>
      <c r="ANX144" s="50"/>
      <c r="ANY144" s="50"/>
      <c r="ANZ144" s="50"/>
      <c r="AOA144" s="50"/>
      <c r="BKT144" s="50"/>
      <c r="BKU144" s="50"/>
      <c r="BKV144" s="50"/>
      <c r="BKW144" s="50"/>
      <c r="BKX144" s="50"/>
      <c r="BKY144" s="50"/>
      <c r="BKZ144" s="50"/>
      <c r="BLA144" s="50"/>
      <c r="BLB144" s="50"/>
      <c r="BPE144">
        <v>38</v>
      </c>
      <c r="BPG144">
        <v>1</v>
      </c>
      <c r="BPH144">
        <v>30.1</v>
      </c>
      <c r="BYQ144" s="50"/>
      <c r="BYR144" s="50"/>
      <c r="BYS144" s="50"/>
      <c r="BYT144" s="50"/>
      <c r="BYU144" s="50">
        <v>1</v>
      </c>
      <c r="BYV144" s="50"/>
      <c r="BYY144">
        <v>2</v>
      </c>
      <c r="BYZ144">
        <v>2</v>
      </c>
      <c r="BZA144">
        <v>1</v>
      </c>
      <c r="BZB144">
        <v>0</v>
      </c>
      <c r="FKV144">
        <v>1</v>
      </c>
      <c r="FKX144" s="35">
        <v>999</v>
      </c>
      <c r="FKY144">
        <v>2</v>
      </c>
      <c r="FKZ144">
        <v>0</v>
      </c>
      <c r="FLA144">
        <v>999</v>
      </c>
      <c r="GXZ144">
        <v>1</v>
      </c>
      <c r="GYA144">
        <v>1</v>
      </c>
      <c r="GZE144">
        <v>1</v>
      </c>
      <c r="HBW144">
        <v>1</v>
      </c>
      <c r="HDD144">
        <v>1</v>
      </c>
      <c r="HDJ144">
        <v>1</v>
      </c>
    </row>
    <row r="145" spans="1:1016 1028:2046 2049:2993 3283:3739 4229:4933 5285:5766" x14ac:dyDescent="0.25">
      <c r="A145" s="50">
        <v>5004654</v>
      </c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>
        <v>186</v>
      </c>
      <c r="N145" s="50"/>
      <c r="O145" s="50"/>
      <c r="P145" s="50"/>
      <c r="Q145" s="50"/>
      <c r="AG145">
        <v>6.6</v>
      </c>
      <c r="BF145">
        <v>81</v>
      </c>
      <c r="BG145">
        <v>78</v>
      </c>
      <c r="BH145">
        <v>82</v>
      </c>
      <c r="BK145">
        <v>91</v>
      </c>
      <c r="CP145">
        <v>1.1299999999999999</v>
      </c>
      <c r="CQ145">
        <v>1.1499999999999999</v>
      </c>
      <c r="CR145">
        <v>1.1200000000000001</v>
      </c>
      <c r="CU145">
        <v>1.05</v>
      </c>
      <c r="HR145">
        <v>2420</v>
      </c>
      <c r="HT145">
        <v>2310</v>
      </c>
      <c r="HU145">
        <v>3110</v>
      </c>
      <c r="HV145">
        <v>3780</v>
      </c>
      <c r="HW145">
        <v>4290</v>
      </c>
      <c r="HY145">
        <v>5040</v>
      </c>
      <c r="IA145">
        <v>4070</v>
      </c>
      <c r="IE145">
        <v>4030</v>
      </c>
      <c r="JR145">
        <v>2465</v>
      </c>
      <c r="JS145">
        <v>2456</v>
      </c>
      <c r="JT145">
        <v>1673</v>
      </c>
      <c r="JU145">
        <v>1836</v>
      </c>
      <c r="JV145">
        <v>2072</v>
      </c>
      <c r="JW145">
        <v>1527</v>
      </c>
      <c r="JY145">
        <v>493</v>
      </c>
      <c r="KA145">
        <v>177</v>
      </c>
      <c r="KE145">
        <v>65</v>
      </c>
      <c r="KG145">
        <v>52</v>
      </c>
      <c r="NG145">
        <v>2002</v>
      </c>
      <c r="NH145">
        <v>2444</v>
      </c>
      <c r="NI145">
        <v>2265</v>
      </c>
      <c r="NJ145">
        <v>3468</v>
      </c>
      <c r="NK145">
        <v>2847</v>
      </c>
      <c r="NL145">
        <v>2301</v>
      </c>
      <c r="NN145">
        <v>1462</v>
      </c>
      <c r="NP145">
        <v>764</v>
      </c>
      <c r="NT145">
        <v>294</v>
      </c>
      <c r="NV145">
        <v>181</v>
      </c>
      <c r="QU145">
        <v>317</v>
      </c>
      <c r="QV145">
        <v>441</v>
      </c>
      <c r="QW145">
        <v>411</v>
      </c>
      <c r="QX145">
        <v>439</v>
      </c>
      <c r="QY145">
        <v>529</v>
      </c>
      <c r="QZ145">
        <v>547</v>
      </c>
      <c r="RB145">
        <v>672</v>
      </c>
      <c r="RD145">
        <v>634</v>
      </c>
      <c r="RH145">
        <v>607</v>
      </c>
      <c r="RJ145">
        <v>546</v>
      </c>
      <c r="XN145">
        <v>22.8</v>
      </c>
      <c r="YO145">
        <v>18.8</v>
      </c>
      <c r="ZU145" s="3">
        <v>11.6988</v>
      </c>
      <c r="ZW145">
        <v>10.200200000000001</v>
      </c>
      <c r="ZX145" s="3">
        <v>9.2655999999999992</v>
      </c>
      <c r="ZY145" s="3">
        <v>12.101599999999999</v>
      </c>
      <c r="ZZ145" s="3">
        <v>11.2959</v>
      </c>
      <c r="AAB145" s="3">
        <v>11.6988</v>
      </c>
      <c r="AAD145" s="3">
        <v>11.3926</v>
      </c>
      <c r="AAH145" s="3">
        <v>11.5054</v>
      </c>
      <c r="ACH145">
        <v>8.5300000000000001E-2</v>
      </c>
      <c r="ACJ145">
        <v>0.26490000000000002</v>
      </c>
      <c r="ACK145">
        <v>0.33090000000000003</v>
      </c>
      <c r="ACL145">
        <v>0.44019999999999998</v>
      </c>
      <c r="ACM145">
        <v>0.47570000000000001</v>
      </c>
      <c r="ACQ145">
        <v>0.38919999999999999</v>
      </c>
      <c r="ACU145">
        <v>0.24379999999999999</v>
      </c>
      <c r="ACW145">
        <v>0.1988</v>
      </c>
      <c r="AGW145">
        <v>181</v>
      </c>
      <c r="AGX145">
        <v>165</v>
      </c>
      <c r="AGY145">
        <v>191</v>
      </c>
      <c r="AGZ145">
        <v>258</v>
      </c>
      <c r="AHA145">
        <v>248</v>
      </c>
      <c r="AHC145">
        <v>279</v>
      </c>
      <c r="AHE145">
        <v>239</v>
      </c>
      <c r="AHI145">
        <v>227</v>
      </c>
      <c r="AHK145">
        <v>212</v>
      </c>
      <c r="AKL145">
        <v>0.61080000000000001</v>
      </c>
      <c r="AMO145">
        <v>220</v>
      </c>
      <c r="AMU145">
        <v>215</v>
      </c>
      <c r="ANB145">
        <v>188</v>
      </c>
      <c r="ANQ145" s="50"/>
      <c r="ANR145" s="50"/>
      <c r="ANS145" s="50"/>
      <c r="ANT145" s="50"/>
      <c r="ANU145" s="50"/>
      <c r="ANV145" s="50"/>
      <c r="ANW145" s="50"/>
      <c r="ANX145" s="50"/>
      <c r="ANY145" s="50"/>
      <c r="ANZ145" s="50">
        <v>17.8</v>
      </c>
      <c r="AOA145" s="50"/>
      <c r="AOE145">
        <v>14.5</v>
      </c>
      <c r="AOG145">
        <v>11.4</v>
      </c>
      <c r="AOM145">
        <v>8.5</v>
      </c>
      <c r="APM145" s="3">
        <v>3.6684999999999999</v>
      </c>
      <c r="APR145" s="3">
        <v>34.234200000000001</v>
      </c>
      <c r="AQN145" s="3">
        <v>3.2372000000000001</v>
      </c>
      <c r="ARL145">
        <v>4050000</v>
      </c>
      <c r="ARN145">
        <v>3500000</v>
      </c>
      <c r="ARO145" s="3">
        <v>39500000000</v>
      </c>
      <c r="ARP145" s="3">
        <v>41100000000</v>
      </c>
      <c r="ARQ145" s="3"/>
      <c r="ARS145">
        <v>4000000</v>
      </c>
      <c r="ARU145" s="3">
        <v>39300000000</v>
      </c>
      <c r="ARY145" s="3">
        <v>39100000000</v>
      </c>
      <c r="ASW145">
        <v>138000</v>
      </c>
      <c r="ASY145">
        <v>137000</v>
      </c>
      <c r="ASZ145">
        <v>141000</v>
      </c>
      <c r="ATA145">
        <v>218000</v>
      </c>
      <c r="ATB145">
        <v>218000</v>
      </c>
      <c r="ATD145">
        <v>294000</v>
      </c>
      <c r="ATF145">
        <v>303000</v>
      </c>
      <c r="ATJ145">
        <v>311000</v>
      </c>
      <c r="AVC145">
        <v>5.9</v>
      </c>
      <c r="AVX145">
        <v>45.3</v>
      </c>
      <c r="AWT145">
        <v>1.2</v>
      </c>
      <c r="AXJ145">
        <v>28</v>
      </c>
      <c r="AXL145">
        <v>33</v>
      </c>
      <c r="AYM145">
        <v>7.4020000000000001</v>
      </c>
      <c r="BAM145">
        <v>37.700000000000003</v>
      </c>
      <c r="BAO145">
        <v>34.200000000000003</v>
      </c>
      <c r="BAP145">
        <v>36.700000000000003</v>
      </c>
      <c r="BAQ145">
        <v>38.6</v>
      </c>
      <c r="BAR145">
        <v>35.9</v>
      </c>
      <c r="BAT145">
        <v>37.700000000000003</v>
      </c>
      <c r="BAV145">
        <v>36.700000000000003</v>
      </c>
      <c r="BAY145">
        <v>37.1</v>
      </c>
      <c r="BCE145">
        <v>92.8</v>
      </c>
      <c r="BCG145">
        <v>93.1</v>
      </c>
      <c r="BCH145">
        <v>93</v>
      </c>
      <c r="BCI145">
        <v>93.9</v>
      </c>
      <c r="BCK145">
        <v>94.4</v>
      </c>
      <c r="BCM145">
        <v>93.4</v>
      </c>
      <c r="BCO145">
        <v>94.8</v>
      </c>
      <c r="BDK145" s="3">
        <v>28.844100000000001</v>
      </c>
      <c r="BDM145" s="3">
        <v>27.716100000000001</v>
      </c>
      <c r="BDN145" s="3">
        <v>27.716100000000001</v>
      </c>
      <c r="BDO145" s="3">
        <v>29.488600000000002</v>
      </c>
      <c r="BDP145" s="3"/>
      <c r="BDQ145" s="3">
        <v>29.327500000000001</v>
      </c>
      <c r="BDS145" s="3">
        <v>29.1663</v>
      </c>
      <c r="BDU145" s="3">
        <v>29.327500000000001</v>
      </c>
      <c r="BEN145" s="3">
        <v>30.9389</v>
      </c>
      <c r="BEP145" s="3">
        <v>29.8109</v>
      </c>
      <c r="BEQ145" s="3">
        <v>29.8109</v>
      </c>
      <c r="BER145" s="3">
        <v>31.4223</v>
      </c>
      <c r="BES145" s="3"/>
      <c r="BET145" s="3">
        <v>30.9389</v>
      </c>
      <c r="BEV145" s="3">
        <v>31.1</v>
      </c>
      <c r="BEX145" s="3">
        <v>30.9389</v>
      </c>
      <c r="BGQ145">
        <v>141</v>
      </c>
      <c r="BGW145">
        <v>143</v>
      </c>
      <c r="BGY145">
        <v>143</v>
      </c>
      <c r="BHF145">
        <v>143</v>
      </c>
      <c r="BHX145">
        <v>4.1399999999999997</v>
      </c>
      <c r="BIC145">
        <v>4.43</v>
      </c>
      <c r="BIE145">
        <v>4.68</v>
      </c>
      <c r="BIK145">
        <v>5.42</v>
      </c>
      <c r="BJA145">
        <v>2.21</v>
      </c>
      <c r="BJF145">
        <v>2.25</v>
      </c>
      <c r="BJH145">
        <v>2.2799999999999998</v>
      </c>
      <c r="BJK145">
        <v>2.35</v>
      </c>
      <c r="BKI145" s="3">
        <v>45.792900000000003</v>
      </c>
      <c r="BKJ145" s="3"/>
      <c r="BKK145" s="3"/>
      <c r="BKT145" s="50"/>
      <c r="BKU145" s="59">
        <v>1999</v>
      </c>
      <c r="BKV145" s="50"/>
      <c r="BKW145" s="50"/>
      <c r="BKX145" s="50"/>
      <c r="BKY145" s="50"/>
      <c r="BKZ145" s="50"/>
      <c r="BLA145" s="50"/>
      <c r="BLB145" s="50"/>
      <c r="BLN145">
        <v>7.4</v>
      </c>
      <c r="BLX145" s="3">
        <v>100.8896</v>
      </c>
      <c r="BLZ145" s="3">
        <v>136.92160000000001</v>
      </c>
      <c r="BMA145" s="3">
        <v>99.087999999999994</v>
      </c>
      <c r="BMB145" s="3">
        <v>138.72319999999999</v>
      </c>
      <c r="BMC145" s="3">
        <v>100.8896</v>
      </c>
      <c r="BMD145" s="3"/>
      <c r="BME145" s="3">
        <v>153.136</v>
      </c>
      <c r="BMF145" s="3">
        <v>180.16</v>
      </c>
      <c r="BMG145" s="3">
        <v>167.5488</v>
      </c>
      <c r="BMH145" s="3">
        <v>165.74719999999999</v>
      </c>
      <c r="BMI145" s="3">
        <v>111.51900000000001</v>
      </c>
      <c r="BMJ145" s="3">
        <v>129.71520000000001</v>
      </c>
      <c r="BMK145" s="3">
        <v>104.4928</v>
      </c>
      <c r="BML145" s="3">
        <v>122.50879999999999</v>
      </c>
      <c r="BMM145" s="3">
        <v>113.5008</v>
      </c>
      <c r="BMN145" s="3"/>
      <c r="BMO145" s="3"/>
      <c r="BMQ145" s="3"/>
      <c r="BMR145" s="3"/>
      <c r="BMS145" s="3"/>
      <c r="BMT145" s="3"/>
      <c r="BMX145">
        <v>5500</v>
      </c>
      <c r="BMZ145">
        <v>6400</v>
      </c>
      <c r="BPE145">
        <v>64</v>
      </c>
      <c r="BPG145">
        <v>1</v>
      </c>
      <c r="BPS145">
        <v>1</v>
      </c>
      <c r="BQY145">
        <v>1</v>
      </c>
      <c r="BSZ145">
        <v>1</v>
      </c>
      <c r="BTD145">
        <v>1</v>
      </c>
      <c r="BVP145">
        <v>1</v>
      </c>
      <c r="BVQ145">
        <v>1</v>
      </c>
      <c r="BXP145">
        <v>1</v>
      </c>
      <c r="BYQ145" s="50"/>
      <c r="BYR145" s="50"/>
      <c r="BYS145" s="50"/>
      <c r="BYT145" s="50"/>
      <c r="BYU145" s="50"/>
      <c r="BYV145" s="50">
        <v>1</v>
      </c>
      <c r="BYY145" s="35">
        <v>999</v>
      </c>
      <c r="BZA145">
        <v>0</v>
      </c>
      <c r="BZB145">
        <v>999</v>
      </c>
      <c r="DGP145">
        <v>1</v>
      </c>
      <c r="DJS145">
        <v>1</v>
      </c>
      <c r="DJY145">
        <v>10</v>
      </c>
      <c r="DKC145">
        <v>1</v>
      </c>
      <c r="EBU145">
        <v>10</v>
      </c>
      <c r="EBY145">
        <v>1</v>
      </c>
      <c r="HCA145">
        <v>1</v>
      </c>
    </row>
    <row r="146" spans="1:1016 1028:2046 2049:2993 3283:3739 4229:4933 5285:5766" x14ac:dyDescent="0.25">
      <c r="A146" s="56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ANQ146" s="50"/>
      <c r="ANR146" s="50"/>
      <c r="ANS146" s="50"/>
      <c r="ANT146" s="50"/>
      <c r="ANU146" s="50"/>
      <c r="ANV146" s="50"/>
      <c r="ANW146" s="50"/>
      <c r="ANX146" s="50"/>
      <c r="ANY146" s="50"/>
      <c r="ANZ146" s="50"/>
      <c r="AOA146" s="50"/>
      <c r="BKT146" s="50"/>
      <c r="BKU146" s="50"/>
      <c r="BKV146" s="50"/>
      <c r="BKW146" s="50"/>
      <c r="BKX146" s="50"/>
      <c r="BKY146" s="50"/>
      <c r="BKZ146" s="50"/>
      <c r="BLA146" s="50"/>
      <c r="BLB146" s="50"/>
      <c r="BYQ146" s="50"/>
      <c r="BYR146" s="50"/>
      <c r="BYS146" s="50"/>
      <c r="BYT146" s="50"/>
      <c r="BYU146" s="50"/>
      <c r="BYV146" s="50"/>
    </row>
    <row r="147" spans="1:1016 1028:2046 2049:2993 3283:3739 4229:4933 5285:5766" x14ac:dyDescent="0.25">
      <c r="A147" s="53" t="s">
        <v>157</v>
      </c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ANQ147" s="50"/>
      <c r="ANR147" s="50"/>
      <c r="ANS147" s="50"/>
      <c r="ANT147" s="50"/>
      <c r="ANU147" s="50"/>
      <c r="ANV147" s="50"/>
      <c r="ANW147" s="50"/>
      <c r="ANX147" s="50"/>
      <c r="ANY147" s="50"/>
      <c r="ANZ147" s="50"/>
      <c r="AOA147" s="50"/>
      <c r="BKT147" s="50"/>
      <c r="BKU147" s="50"/>
      <c r="BKV147" s="50"/>
      <c r="BKW147" s="50"/>
      <c r="BKX147" s="50"/>
      <c r="BKY147" s="50"/>
      <c r="BKZ147" s="50"/>
      <c r="BLA147" s="50"/>
      <c r="BLB147" s="50"/>
      <c r="BYQ147" s="50"/>
      <c r="BYR147" s="50"/>
      <c r="BYS147" s="50"/>
      <c r="BYT147" s="50"/>
      <c r="BYU147" s="50"/>
      <c r="BYV147" s="50"/>
    </row>
    <row r="148" spans="1:1016 1028:2046 2049:2993 3283:3739 4229:4933 5285:5766" x14ac:dyDescent="0.25">
      <c r="A148" s="50">
        <v>4289</v>
      </c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>
        <v>18780</v>
      </c>
      <c r="N148" s="50">
        <v>67895</v>
      </c>
      <c r="O148" s="50"/>
      <c r="P148" s="50"/>
      <c r="Q148" s="50"/>
      <c r="AG148">
        <v>280</v>
      </c>
      <c r="BC148">
        <v>93</v>
      </c>
      <c r="BD148">
        <v>20</v>
      </c>
      <c r="BE148">
        <v>17</v>
      </c>
      <c r="CM148">
        <v>1.02</v>
      </c>
      <c r="CN148">
        <v>1.4</v>
      </c>
      <c r="CO148">
        <v>2.37</v>
      </c>
      <c r="CP148">
        <v>2.72</v>
      </c>
      <c r="HQ148">
        <v>27500</v>
      </c>
      <c r="HR148" s="14">
        <v>15000</v>
      </c>
      <c r="HS148">
        <v>23800</v>
      </c>
      <c r="JR148">
        <v>197</v>
      </c>
      <c r="JS148">
        <v>1015</v>
      </c>
      <c r="NG148">
        <v>72</v>
      </c>
      <c r="NH148">
        <v>1242</v>
      </c>
      <c r="AKG148">
        <v>2.7</v>
      </c>
      <c r="AKH148">
        <v>5</v>
      </c>
      <c r="ANQ148" s="50"/>
      <c r="ANR148" s="50"/>
      <c r="ANS148" s="50"/>
      <c r="ANT148" s="50"/>
      <c r="ANU148" s="50"/>
      <c r="ANV148" s="50"/>
      <c r="ANW148" s="50"/>
      <c r="ANX148" s="50"/>
      <c r="ANY148" s="50"/>
      <c r="ANZ148" s="50"/>
      <c r="AOA148" s="50"/>
      <c r="APL148">
        <v>22</v>
      </c>
      <c r="APM148">
        <v>73</v>
      </c>
      <c r="APN148">
        <v>142</v>
      </c>
      <c r="BIZ148">
        <v>2.1</v>
      </c>
      <c r="BJA148">
        <v>1.9</v>
      </c>
      <c r="BJB148">
        <v>1.6</v>
      </c>
      <c r="BKT148" s="50"/>
      <c r="BKU148" s="50"/>
      <c r="BKV148" s="50"/>
      <c r="BKW148" s="50"/>
      <c r="BKX148" s="50"/>
      <c r="BKY148" s="50"/>
      <c r="BKZ148" s="50"/>
      <c r="BLA148" s="50"/>
      <c r="BLB148" s="50"/>
      <c r="BLG148">
        <v>42.2</v>
      </c>
      <c r="BPE148">
        <v>17</v>
      </c>
      <c r="BPG148">
        <v>1</v>
      </c>
      <c r="BPH148">
        <v>20.2</v>
      </c>
      <c r="BPJ148">
        <v>1</v>
      </c>
      <c r="BPK148">
        <v>274</v>
      </c>
      <c r="BYQ148" s="50"/>
      <c r="BYR148" s="50"/>
      <c r="BYS148" s="50"/>
      <c r="BYT148" s="50"/>
      <c r="BYU148" s="50"/>
      <c r="BYV148" s="50"/>
      <c r="BZE148">
        <v>8000</v>
      </c>
      <c r="BZF148">
        <v>1</v>
      </c>
      <c r="BZI148">
        <v>1</v>
      </c>
      <c r="BZK148">
        <v>1</v>
      </c>
      <c r="BZL148">
        <v>0</v>
      </c>
      <c r="BZM148">
        <v>0</v>
      </c>
      <c r="BZN148">
        <v>0</v>
      </c>
      <c r="DVR148">
        <v>2.5</v>
      </c>
      <c r="DVT148">
        <v>1</v>
      </c>
      <c r="DVW148">
        <v>2</v>
      </c>
      <c r="DVX148">
        <v>0</v>
      </c>
      <c r="DVY148">
        <v>0</v>
      </c>
      <c r="DVZ148">
        <v>1</v>
      </c>
      <c r="FNV148">
        <v>1725</v>
      </c>
      <c r="FNZ148">
        <v>1</v>
      </c>
      <c r="FOA148">
        <v>1</v>
      </c>
      <c r="FOB148">
        <v>0</v>
      </c>
      <c r="FOC148">
        <v>0</v>
      </c>
      <c r="FOD148">
        <v>0</v>
      </c>
      <c r="FOF148">
        <v>4500</v>
      </c>
      <c r="FOG148">
        <v>1</v>
      </c>
      <c r="FOJ148">
        <v>1</v>
      </c>
      <c r="FOK148">
        <v>1</v>
      </c>
      <c r="FOL148">
        <v>0</v>
      </c>
      <c r="FOM148">
        <v>0</v>
      </c>
      <c r="FON148">
        <v>0</v>
      </c>
      <c r="FWH148">
        <v>1</v>
      </c>
      <c r="FWI148">
        <v>1</v>
      </c>
      <c r="FWJ148">
        <v>0</v>
      </c>
      <c r="FWK148">
        <v>0</v>
      </c>
      <c r="FWL148">
        <v>0</v>
      </c>
      <c r="GXI148">
        <v>1</v>
      </c>
      <c r="GXK148">
        <v>1</v>
      </c>
      <c r="GYE148">
        <v>1</v>
      </c>
      <c r="GYJ148">
        <v>1</v>
      </c>
      <c r="GZR148">
        <v>1</v>
      </c>
      <c r="HAG148">
        <v>1</v>
      </c>
      <c r="HAJ148">
        <v>1</v>
      </c>
      <c r="HAN148">
        <v>1</v>
      </c>
      <c r="HAR148">
        <v>1</v>
      </c>
      <c r="HBO148">
        <v>1</v>
      </c>
      <c r="HBW148">
        <v>1</v>
      </c>
      <c r="HDA148">
        <v>1</v>
      </c>
    </row>
    <row r="149" spans="1:1016 1028:2046 2049:2993 3283:3739 4229:4933 5285:5766" x14ac:dyDescent="0.25">
      <c r="A149" s="50">
        <v>500245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BC149">
        <v>121</v>
      </c>
      <c r="BF149">
        <v>99</v>
      </c>
      <c r="BL149">
        <v>109</v>
      </c>
      <c r="EJ149">
        <v>28</v>
      </c>
      <c r="HQ149">
        <v>13300</v>
      </c>
      <c r="HR149">
        <v>359000</v>
      </c>
      <c r="HT149">
        <v>10600</v>
      </c>
      <c r="HZ149">
        <v>8660</v>
      </c>
      <c r="JQ149">
        <v>184</v>
      </c>
      <c r="JR149">
        <v>298</v>
      </c>
      <c r="JS149">
        <v>296.8</v>
      </c>
      <c r="JT149">
        <v>265</v>
      </c>
      <c r="JV149">
        <v>116.3</v>
      </c>
      <c r="JZ149">
        <v>72.099999999999994</v>
      </c>
      <c r="NF149">
        <v>147</v>
      </c>
      <c r="NG149">
        <v>182</v>
      </c>
      <c r="NH149">
        <v>381.7</v>
      </c>
      <c r="NI149">
        <v>335.2</v>
      </c>
      <c r="NK149">
        <v>225.1</v>
      </c>
      <c r="NO149">
        <v>176.5</v>
      </c>
      <c r="QT149">
        <v>170</v>
      </c>
      <c r="QU149">
        <v>148</v>
      </c>
      <c r="QV149">
        <v>194.5</v>
      </c>
      <c r="QW149">
        <v>240.6</v>
      </c>
      <c r="QY149">
        <v>202.4</v>
      </c>
      <c r="RC149">
        <v>160.30000000000001</v>
      </c>
      <c r="TL149">
        <v>851</v>
      </c>
      <c r="TM149">
        <v>137</v>
      </c>
      <c r="TO149">
        <v>1123</v>
      </c>
      <c r="TQ149">
        <v>742</v>
      </c>
      <c r="ZT149" s="3">
        <v>12.7301</v>
      </c>
      <c r="ZW149" s="3">
        <v>12.0855</v>
      </c>
      <c r="AAC149" s="3">
        <v>13.858000000000001</v>
      </c>
      <c r="ACG149" s="3">
        <v>1.105</v>
      </c>
      <c r="ACH149">
        <v>0.88290000000000002</v>
      </c>
      <c r="ACJ149">
        <v>0.9647</v>
      </c>
      <c r="ACL149" s="3">
        <v>1.0815999999999999</v>
      </c>
      <c r="ACP149">
        <v>0.95299999999999996</v>
      </c>
      <c r="AGU149">
        <v>155</v>
      </c>
      <c r="AGX149">
        <v>178</v>
      </c>
      <c r="AGZ149">
        <v>165.3</v>
      </c>
      <c r="AHA149" s="50"/>
      <c r="AHB149" s="50"/>
      <c r="AHC149" s="50"/>
      <c r="AHD149" s="50">
        <v>143.19999999999999</v>
      </c>
      <c r="AHE149" s="50"/>
      <c r="AKE149" s="50"/>
      <c r="AKF149" s="59">
        <v>1.4682999999999999</v>
      </c>
      <c r="AKG149" s="50"/>
      <c r="AKO149">
        <v>0.92869999999999997</v>
      </c>
      <c r="AMN149">
        <v>98</v>
      </c>
      <c r="ANQ149" s="50"/>
      <c r="ANR149" s="50"/>
      <c r="ANS149" s="50"/>
      <c r="ANT149" s="50"/>
      <c r="ANU149" s="50"/>
      <c r="ANV149" s="50"/>
      <c r="ANW149" s="50"/>
      <c r="ANX149" s="50"/>
      <c r="ANY149" s="50"/>
      <c r="ANZ149" s="50"/>
      <c r="AOA149" s="50">
        <v>216</v>
      </c>
      <c r="AOB149">
        <v>129</v>
      </c>
      <c r="AOH149">
        <v>38.299999999999997</v>
      </c>
      <c r="APO149">
        <v>68</v>
      </c>
      <c r="ASV149">
        <v>263000</v>
      </c>
      <c r="ASY149">
        <v>299000</v>
      </c>
      <c r="ATE149">
        <v>395000</v>
      </c>
      <c r="BAL149">
        <v>36</v>
      </c>
      <c r="BAO149">
        <v>33.799999999999997</v>
      </c>
      <c r="BAU149">
        <v>0.41</v>
      </c>
      <c r="BGQ149">
        <v>122</v>
      </c>
      <c r="BGT149">
        <v>150</v>
      </c>
      <c r="BGZ149">
        <v>150</v>
      </c>
      <c r="BIZ149">
        <v>2.8</v>
      </c>
      <c r="BJC149">
        <v>212</v>
      </c>
      <c r="BJI149">
        <v>2.31</v>
      </c>
      <c r="BKT149" s="50"/>
      <c r="BKU149" s="50"/>
      <c r="BKV149" s="50"/>
      <c r="BKW149" s="50"/>
      <c r="BKX149" s="50"/>
      <c r="BKY149" s="50"/>
      <c r="BKZ149" s="50"/>
      <c r="BLA149" s="50"/>
      <c r="BLB149" s="50"/>
      <c r="BLW149" s="3">
        <v>70.2624</v>
      </c>
      <c r="BPE149">
        <v>55</v>
      </c>
      <c r="BPF149">
        <v>1</v>
      </c>
      <c r="BPH149">
        <v>27.8</v>
      </c>
      <c r="BPM149">
        <v>1</v>
      </c>
      <c r="BYQ149" s="50"/>
      <c r="BYR149" s="50"/>
      <c r="BYS149" s="50"/>
      <c r="BYT149" s="50"/>
      <c r="BYU149" s="50"/>
      <c r="BYV149" s="50"/>
      <c r="BZE149">
        <v>200</v>
      </c>
      <c r="BZF149">
        <v>3</v>
      </c>
      <c r="BZI149">
        <v>1</v>
      </c>
      <c r="BZK149">
        <v>3</v>
      </c>
      <c r="BZL149">
        <v>3</v>
      </c>
      <c r="BZM149">
        <v>1</v>
      </c>
      <c r="BZN149">
        <v>0</v>
      </c>
      <c r="CAC149">
        <v>500</v>
      </c>
      <c r="CAD149">
        <v>2</v>
      </c>
      <c r="CAG149">
        <v>1</v>
      </c>
      <c r="CAH149">
        <v>11</v>
      </c>
      <c r="CAI149">
        <v>10</v>
      </c>
      <c r="CAJ149">
        <v>0</v>
      </c>
      <c r="CAK149">
        <v>0</v>
      </c>
      <c r="CMK149">
        <v>500</v>
      </c>
      <c r="CML149">
        <v>3</v>
      </c>
      <c r="CMO149">
        <v>1</v>
      </c>
      <c r="CMP149">
        <v>3</v>
      </c>
      <c r="CMQ149">
        <v>3</v>
      </c>
      <c r="CMR149">
        <v>1</v>
      </c>
      <c r="CMS149">
        <v>0</v>
      </c>
      <c r="GYE149">
        <v>1</v>
      </c>
      <c r="GZW149">
        <v>1</v>
      </c>
      <c r="GZZ149">
        <v>1</v>
      </c>
      <c r="HCA149">
        <v>1</v>
      </c>
      <c r="HCD149">
        <v>1</v>
      </c>
      <c r="HMQ149">
        <v>1</v>
      </c>
      <c r="HMT149">
        <v>1</v>
      </c>
    </row>
    <row r="150" spans="1:1016 1028:2046 2049:2993 3283:3739 4229:4933 5285:5766" x14ac:dyDescent="0.25">
      <c r="A150" s="50">
        <v>2002573</v>
      </c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HX150">
        <v>8090</v>
      </c>
      <c r="JX150">
        <v>136</v>
      </c>
      <c r="KC150">
        <v>214</v>
      </c>
      <c r="KG150">
        <v>299</v>
      </c>
      <c r="NM150">
        <v>583</v>
      </c>
      <c r="NR150">
        <v>432</v>
      </c>
      <c r="NV150">
        <v>774</v>
      </c>
      <c r="RA150">
        <v>204</v>
      </c>
      <c r="RF150">
        <v>201</v>
      </c>
      <c r="RJ150">
        <v>142</v>
      </c>
      <c r="TS150">
        <v>368</v>
      </c>
      <c r="ZQ150" s="3"/>
      <c r="AAA150" s="3">
        <v>13.858000000000001</v>
      </c>
      <c r="ACN150">
        <v>4.1512000000000002</v>
      </c>
      <c r="ACS150">
        <v>3.9758</v>
      </c>
      <c r="AHA150" s="50"/>
      <c r="AHB150" s="50">
        <v>877</v>
      </c>
      <c r="AHC150" s="50"/>
      <c r="AHD150" s="50"/>
      <c r="AHE150" s="50"/>
      <c r="AHG150">
        <v>696</v>
      </c>
      <c r="AHK150">
        <v>535</v>
      </c>
      <c r="AKE150" s="50"/>
      <c r="AKF150" s="50"/>
      <c r="AKG150" s="50"/>
      <c r="AKM150">
        <v>0.67869999999999997</v>
      </c>
      <c r="ALV150">
        <v>92</v>
      </c>
      <c r="AMT150">
        <v>163</v>
      </c>
      <c r="ANQ150" s="50"/>
      <c r="ANR150" s="50"/>
      <c r="ANS150" s="50"/>
      <c r="ANT150" s="50"/>
      <c r="ANU150" s="50"/>
      <c r="ANV150" s="50"/>
      <c r="ANW150" s="50"/>
      <c r="ANX150" s="50"/>
      <c r="ANY150" s="50"/>
      <c r="ANZ150" s="50"/>
      <c r="AOA150" s="50"/>
      <c r="BAS150">
        <v>41</v>
      </c>
      <c r="BGX150">
        <v>136</v>
      </c>
      <c r="BID150">
        <v>3.9</v>
      </c>
      <c r="BJG150">
        <v>2.2599999999999998</v>
      </c>
      <c r="BKT150" s="50"/>
      <c r="BKU150" s="50"/>
      <c r="BKV150" s="50"/>
      <c r="BKW150" s="50"/>
      <c r="BKX150" s="50"/>
      <c r="BKY150" s="50"/>
      <c r="BKZ150" s="50"/>
      <c r="BLA150" s="50"/>
      <c r="BLB150" s="50"/>
      <c r="BMD150" s="3">
        <v>104.4928</v>
      </c>
      <c r="BPE150">
        <v>57</v>
      </c>
      <c r="BPG150">
        <v>1</v>
      </c>
      <c r="BPK150">
        <v>19</v>
      </c>
      <c r="BSJ150">
        <v>1</v>
      </c>
      <c r="BSK150">
        <v>1</v>
      </c>
      <c r="BVJ150">
        <v>1</v>
      </c>
      <c r="BVT150">
        <v>1</v>
      </c>
      <c r="BXI150">
        <v>1</v>
      </c>
      <c r="BYQ150" s="50"/>
      <c r="BYR150" s="50"/>
      <c r="BYS150" s="50"/>
      <c r="BYT150" s="50"/>
      <c r="BYU150" s="50"/>
      <c r="BYV150" s="50"/>
      <c r="BZE150">
        <v>600</v>
      </c>
      <c r="BZF150">
        <v>1</v>
      </c>
      <c r="BZI150">
        <v>1</v>
      </c>
      <c r="BZK150" s="15">
        <v>999</v>
      </c>
      <c r="BZL150">
        <v>999</v>
      </c>
      <c r="BZM150">
        <v>7</v>
      </c>
      <c r="BZN150">
        <v>0</v>
      </c>
      <c r="FZG150">
        <v>40</v>
      </c>
      <c r="FZH150">
        <v>1</v>
      </c>
      <c r="FZK150">
        <v>11</v>
      </c>
      <c r="FZL150">
        <v>16</v>
      </c>
      <c r="FZM150">
        <v>9</v>
      </c>
      <c r="FZN150">
        <v>0</v>
      </c>
      <c r="FZO150">
        <v>6</v>
      </c>
      <c r="GXZ150">
        <v>1</v>
      </c>
      <c r="GYA150">
        <v>1</v>
      </c>
      <c r="GYG150">
        <v>1</v>
      </c>
      <c r="HCO150">
        <v>1</v>
      </c>
      <c r="HDF150">
        <v>1</v>
      </c>
      <c r="HDJ150">
        <v>1</v>
      </c>
    </row>
    <row r="151" spans="1:1016 1028:2046 2049:2993 3283:3739 4229:4933 5285:5766" x14ac:dyDescent="0.25">
      <c r="A151" s="50">
        <v>2003539</v>
      </c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HU151">
        <v>15000</v>
      </c>
      <c r="HX151">
        <v>15700</v>
      </c>
      <c r="JX151">
        <v>145</v>
      </c>
      <c r="RA151">
        <v>277</v>
      </c>
      <c r="TS151">
        <v>458</v>
      </c>
      <c r="XS151">
        <v>71</v>
      </c>
      <c r="ACN151">
        <v>1.1000000000000001</v>
      </c>
      <c r="AHA151" s="50"/>
      <c r="AHB151" s="50"/>
      <c r="AHC151" s="50"/>
      <c r="AHD151" s="50"/>
      <c r="AHE151" s="50"/>
      <c r="AKE151" s="50"/>
      <c r="AKF151" s="50"/>
      <c r="AKG151" s="50"/>
      <c r="ANQ151" s="50"/>
      <c r="ANR151" s="50"/>
      <c r="ANS151" s="50"/>
      <c r="ANT151" s="50"/>
      <c r="ANU151" s="50"/>
      <c r="ANV151" s="50"/>
      <c r="ANW151" s="50"/>
      <c r="ANX151" s="50"/>
      <c r="ANY151" s="50"/>
      <c r="ANZ151" s="50"/>
      <c r="AOA151" s="50"/>
      <c r="BKT151" s="50"/>
      <c r="BKU151" s="50"/>
      <c r="BKV151" s="50"/>
      <c r="BKW151" s="50"/>
      <c r="BKX151" s="50"/>
      <c r="BKY151" s="50"/>
      <c r="BKZ151" s="50"/>
      <c r="BLA151" s="50"/>
      <c r="BLB151" s="50"/>
      <c r="BPE151">
        <v>62</v>
      </c>
      <c r="BPG151">
        <v>1</v>
      </c>
      <c r="BPH151">
        <v>24.6</v>
      </c>
      <c r="BYQ151" s="50"/>
      <c r="BYR151" s="50"/>
      <c r="BYS151" s="50"/>
      <c r="BYT151" s="50"/>
      <c r="BYU151" s="50"/>
      <c r="BYV151" s="50"/>
      <c r="BZE151">
        <v>400</v>
      </c>
      <c r="BZF151">
        <v>3</v>
      </c>
      <c r="BZI151">
        <v>1</v>
      </c>
      <c r="BZK151">
        <v>7</v>
      </c>
      <c r="BZL151">
        <v>7</v>
      </c>
      <c r="BZM151">
        <v>1</v>
      </c>
      <c r="BZN151">
        <v>0</v>
      </c>
      <c r="GGK151">
        <v>2</v>
      </c>
      <c r="GGO151">
        <v>1</v>
      </c>
      <c r="GGP151">
        <v>7</v>
      </c>
      <c r="GGQ151">
        <v>7</v>
      </c>
      <c r="GGR151">
        <v>1</v>
      </c>
      <c r="GGS151">
        <v>0</v>
      </c>
      <c r="HCA151">
        <v>1</v>
      </c>
      <c r="HKM151">
        <v>1</v>
      </c>
    </row>
    <row r="152" spans="1:1016 1028:2046 2049:2993 3283:3739 4229:4933 5285:5766" x14ac:dyDescent="0.25">
      <c r="A152" s="50">
        <v>2003649</v>
      </c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BC152">
        <v>58.1</v>
      </c>
      <c r="EG152">
        <v>33.5</v>
      </c>
      <c r="IW152">
        <v>65.400000000000006</v>
      </c>
      <c r="JI152" s="3">
        <v>94.8</v>
      </c>
      <c r="JL152" s="3"/>
      <c r="JQ152">
        <v>102</v>
      </c>
      <c r="JX152">
        <v>70.8</v>
      </c>
      <c r="KC152" s="3">
        <v>78.599999999999994</v>
      </c>
      <c r="KH152">
        <v>65.400000000000006</v>
      </c>
      <c r="LQ152" s="3">
        <v>94.8</v>
      </c>
      <c r="LR152" s="3"/>
      <c r="LS152" s="3"/>
      <c r="MI152">
        <v>65.400000000000006</v>
      </c>
      <c r="MX152">
        <v>39</v>
      </c>
      <c r="NF152">
        <v>48.6</v>
      </c>
      <c r="NM152">
        <v>31.8</v>
      </c>
      <c r="NR152">
        <v>26.4</v>
      </c>
      <c r="NW152">
        <v>65.400000000000006</v>
      </c>
      <c r="PG152">
        <v>39</v>
      </c>
      <c r="PZ152">
        <v>426.6</v>
      </c>
      <c r="QA152">
        <v>1188</v>
      </c>
      <c r="QL152">
        <v>264.60000000000002</v>
      </c>
      <c r="QT152" s="50">
        <v>2326.1999999999998</v>
      </c>
      <c r="RA152">
        <v>1108.8</v>
      </c>
      <c r="RF152">
        <v>709.8</v>
      </c>
      <c r="SH152">
        <v>426.6</v>
      </c>
      <c r="SO152">
        <v>264.60000000000002</v>
      </c>
      <c r="AGM152">
        <v>396.6</v>
      </c>
      <c r="AGU152" s="3">
        <v>502.8</v>
      </c>
      <c r="AHA152" s="50"/>
      <c r="AHB152" s="50">
        <v>516</v>
      </c>
      <c r="AHC152" s="50"/>
      <c r="AHD152" s="50"/>
      <c r="AHE152" s="50"/>
      <c r="AHG152">
        <v>379.8</v>
      </c>
      <c r="AIO152">
        <v>516.6</v>
      </c>
      <c r="AKE152" s="50"/>
      <c r="AKF152" s="50"/>
      <c r="AKG152" s="50"/>
      <c r="ANQ152" s="50"/>
      <c r="ANR152" s="50"/>
      <c r="ANS152" s="50"/>
      <c r="ANT152" s="50"/>
      <c r="ANU152" s="50"/>
      <c r="ANV152" s="50"/>
      <c r="ANW152" s="50"/>
      <c r="ANX152" s="50"/>
      <c r="ANY152" s="50"/>
      <c r="ANZ152" s="50"/>
      <c r="AOA152" s="50"/>
      <c r="BKT152" s="50"/>
      <c r="BKU152" s="50"/>
      <c r="BKV152" s="50"/>
      <c r="BKW152" s="50"/>
      <c r="BKX152" s="50"/>
      <c r="BKY152" s="50"/>
      <c r="BKZ152" s="50"/>
      <c r="BLA152" s="50"/>
      <c r="BLB152" s="50"/>
      <c r="BPE152">
        <v>48</v>
      </c>
      <c r="BPF152">
        <v>1</v>
      </c>
      <c r="BPH152">
        <v>24</v>
      </c>
      <c r="BPJ152">
        <v>1</v>
      </c>
      <c r="BPL152">
        <v>1</v>
      </c>
      <c r="BPM152">
        <v>1</v>
      </c>
      <c r="BRT152">
        <v>1</v>
      </c>
      <c r="BUH152">
        <v>1</v>
      </c>
      <c r="BVL152">
        <v>1</v>
      </c>
      <c r="BXP152">
        <v>1</v>
      </c>
      <c r="BYQ152" s="50"/>
      <c r="BYR152" s="50"/>
      <c r="BYS152" s="50"/>
      <c r="BYT152" s="50"/>
      <c r="BYU152" s="50"/>
      <c r="BYV152" s="50"/>
      <c r="BZE152">
        <v>600</v>
      </c>
      <c r="BZF152">
        <v>2</v>
      </c>
      <c r="BZI152">
        <v>1</v>
      </c>
      <c r="BZK152">
        <v>336</v>
      </c>
      <c r="BZL152">
        <v>335</v>
      </c>
      <c r="BZM152">
        <v>0</v>
      </c>
      <c r="BZN152">
        <v>1</v>
      </c>
      <c r="DFH152">
        <v>100</v>
      </c>
      <c r="DFI152">
        <v>1</v>
      </c>
      <c r="DFL152">
        <v>1</v>
      </c>
      <c r="DFM152" s="35">
        <v>999</v>
      </c>
      <c r="DFN152">
        <v>335</v>
      </c>
      <c r="DFO152">
        <v>0</v>
      </c>
      <c r="DFP152">
        <v>999</v>
      </c>
      <c r="EBA152">
        <v>20</v>
      </c>
      <c r="EBB152">
        <v>1</v>
      </c>
      <c r="EBE152">
        <v>1</v>
      </c>
      <c r="EBF152">
        <v>336</v>
      </c>
      <c r="EBG152">
        <v>335</v>
      </c>
      <c r="EBH152">
        <v>0</v>
      </c>
      <c r="EBI152">
        <v>0</v>
      </c>
      <c r="FVJ152">
        <v>50</v>
      </c>
      <c r="FVK152">
        <v>1</v>
      </c>
      <c r="FVN152">
        <v>1</v>
      </c>
      <c r="FVO152">
        <v>336</v>
      </c>
      <c r="FVP152">
        <v>335</v>
      </c>
      <c r="FVQ152">
        <v>0</v>
      </c>
      <c r="FVR152">
        <v>8</v>
      </c>
      <c r="HCB152">
        <v>1</v>
      </c>
      <c r="HCO152">
        <v>1</v>
      </c>
    </row>
    <row r="153" spans="1:1016 1028:2046 2049:2993 3283:3739 4229:4933 5285:5766" x14ac:dyDescent="0.25">
      <c r="A153" s="50">
        <v>2005572</v>
      </c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BC153">
        <v>90</v>
      </c>
      <c r="CM153">
        <v>1.04</v>
      </c>
      <c r="EG153">
        <v>33.200000000000003</v>
      </c>
      <c r="HQ153">
        <v>13000</v>
      </c>
      <c r="HS153">
        <v>6840</v>
      </c>
      <c r="HV153">
        <v>6650</v>
      </c>
      <c r="JQ153">
        <v>1178</v>
      </c>
      <c r="JS153">
        <v>83.9</v>
      </c>
      <c r="JV153">
        <v>21.9</v>
      </c>
      <c r="NF153">
        <v>863</v>
      </c>
      <c r="NH153">
        <v>437</v>
      </c>
      <c r="NK153">
        <v>145</v>
      </c>
      <c r="QT153">
        <v>155</v>
      </c>
      <c r="QV153">
        <v>106</v>
      </c>
      <c r="QY153">
        <v>73</v>
      </c>
      <c r="ZT153" s="3">
        <v>15.1472</v>
      </c>
      <c r="ZV153" s="3">
        <v>15.630599999999999</v>
      </c>
      <c r="ZY153" s="3">
        <v>14.986000000000001</v>
      </c>
      <c r="ACG153" s="3">
        <v>2.8064</v>
      </c>
      <c r="AGZ153">
        <v>173</v>
      </c>
      <c r="AHA153" s="50"/>
      <c r="AHB153" s="50"/>
      <c r="AHC153" s="50"/>
      <c r="AHD153" s="50"/>
      <c r="AHE153" s="50"/>
      <c r="AKE153" s="50"/>
      <c r="AKF153" s="59">
        <v>0.81330000000000002</v>
      </c>
      <c r="AKG153" s="50"/>
      <c r="AKK153" s="3">
        <v>0.64590000000000003</v>
      </c>
      <c r="ANQ153" s="50"/>
      <c r="ANR153" s="50"/>
      <c r="ANS153" s="50"/>
      <c r="ANT153" s="50"/>
      <c r="ANU153" s="50"/>
      <c r="ANV153" s="50"/>
      <c r="ANW153" s="50"/>
      <c r="ANX153" s="50"/>
      <c r="ANY153" s="50">
        <v>7.9</v>
      </c>
      <c r="ANZ153" s="50"/>
      <c r="AOA153" s="50"/>
      <c r="AOD153">
        <v>3.1</v>
      </c>
      <c r="APL153" s="3">
        <v>29.184999999999999</v>
      </c>
      <c r="ASV153">
        <v>245000</v>
      </c>
      <c r="ASX153">
        <v>235000</v>
      </c>
      <c r="ATA153">
        <v>237000</v>
      </c>
      <c r="BAL153">
        <v>42</v>
      </c>
      <c r="BAN153">
        <v>44</v>
      </c>
      <c r="BAQ153">
        <v>43</v>
      </c>
      <c r="BGQ153">
        <v>138</v>
      </c>
      <c r="BGS153">
        <v>138</v>
      </c>
      <c r="BGV153">
        <v>138</v>
      </c>
      <c r="BHW153">
        <v>3.5</v>
      </c>
      <c r="BHY153">
        <v>3.8</v>
      </c>
      <c r="BIB153">
        <v>3.8</v>
      </c>
      <c r="BIZ153">
        <v>2.31</v>
      </c>
      <c r="BJB153">
        <v>2.41</v>
      </c>
      <c r="BJE153">
        <v>2.31</v>
      </c>
      <c r="BKT153" s="50"/>
      <c r="BKU153" s="50"/>
      <c r="BKV153" s="50"/>
      <c r="BKW153" s="50"/>
      <c r="BKX153" s="50"/>
      <c r="BKY153" s="50"/>
      <c r="BKZ153" s="50"/>
      <c r="BLA153" s="50"/>
      <c r="BLB153" s="50"/>
      <c r="BPE153">
        <v>22</v>
      </c>
      <c r="BPG153">
        <v>1</v>
      </c>
      <c r="BPH153">
        <v>19.2</v>
      </c>
      <c r="BPJ153">
        <v>1</v>
      </c>
      <c r="BPK153">
        <v>6</v>
      </c>
      <c r="BQB153">
        <v>1</v>
      </c>
      <c r="BQZ153">
        <v>1</v>
      </c>
      <c r="BYQ153" s="50"/>
      <c r="BYR153" s="50"/>
      <c r="BYS153" s="50"/>
      <c r="BYT153" s="50"/>
      <c r="BYU153" s="50"/>
      <c r="BYV153" s="50"/>
      <c r="BZE153">
        <v>400</v>
      </c>
      <c r="BZF153">
        <v>2</v>
      </c>
      <c r="BZI153">
        <v>1</v>
      </c>
      <c r="BZK153">
        <v>7</v>
      </c>
      <c r="BZL153">
        <v>13</v>
      </c>
      <c r="BZM153">
        <v>7</v>
      </c>
      <c r="BZN153">
        <v>0</v>
      </c>
      <c r="CAC153">
        <v>500</v>
      </c>
      <c r="CAD153">
        <v>2</v>
      </c>
      <c r="CAG153">
        <v>1</v>
      </c>
      <c r="CAH153">
        <v>7</v>
      </c>
      <c r="CAI153">
        <v>13</v>
      </c>
      <c r="CAJ153">
        <v>7</v>
      </c>
      <c r="CAK153">
        <v>0</v>
      </c>
      <c r="FFQ153">
        <v>25</v>
      </c>
      <c r="FFR153">
        <v>3</v>
      </c>
      <c r="FFU153">
        <v>1</v>
      </c>
      <c r="FFV153">
        <v>7</v>
      </c>
      <c r="FFW153">
        <v>13</v>
      </c>
      <c r="FFX153">
        <v>7</v>
      </c>
      <c r="FFY153">
        <v>0</v>
      </c>
      <c r="GXP153">
        <v>1</v>
      </c>
      <c r="GXX153">
        <v>1</v>
      </c>
      <c r="GYA153">
        <v>1</v>
      </c>
      <c r="GZD153">
        <v>1</v>
      </c>
      <c r="HBW153">
        <v>1</v>
      </c>
    </row>
    <row r="154" spans="1:1016 1028:2046 2049:2993 3283:3739 4229:4933 5285:5766" x14ac:dyDescent="0.25">
      <c r="A154" s="50">
        <v>2013117</v>
      </c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NE154">
        <v>1280</v>
      </c>
      <c r="QS154">
        <v>176</v>
      </c>
      <c r="AGT154">
        <v>277</v>
      </c>
      <c r="AHA154" s="50"/>
      <c r="AHB154" s="50"/>
      <c r="AHC154" s="50"/>
      <c r="AHD154" s="50"/>
      <c r="AHE154" s="50"/>
      <c r="AKE154" s="50"/>
      <c r="AKF154" s="50"/>
      <c r="AKG154" s="50"/>
      <c r="ANQ154" s="50"/>
      <c r="ANR154" s="50"/>
      <c r="ANS154" s="50"/>
      <c r="ANT154" s="50"/>
      <c r="ANU154" s="50"/>
      <c r="ANV154" s="50"/>
      <c r="ANW154" s="50"/>
      <c r="ANX154" s="50"/>
      <c r="ANY154" s="50"/>
      <c r="ANZ154" s="50"/>
      <c r="AOA154" s="50"/>
      <c r="BKT154" s="50"/>
      <c r="BKU154" s="50"/>
      <c r="BKV154" s="50"/>
      <c r="BKW154" s="50"/>
      <c r="BKX154" s="50"/>
      <c r="BKY154" s="50"/>
      <c r="BKZ154" s="50"/>
      <c r="BLA154" s="50"/>
      <c r="BLB154" s="50"/>
      <c r="BPE154">
        <v>63</v>
      </c>
      <c r="BPG154">
        <v>1</v>
      </c>
      <c r="BPH154">
        <v>29.41</v>
      </c>
      <c r="BPK154">
        <v>30</v>
      </c>
      <c r="BQD154">
        <v>1</v>
      </c>
      <c r="BRR154">
        <v>1</v>
      </c>
      <c r="BVL154">
        <v>1</v>
      </c>
      <c r="BVM154">
        <v>1</v>
      </c>
      <c r="BYQ154" s="50"/>
      <c r="BYR154" s="50"/>
      <c r="BYS154" s="50"/>
      <c r="BYT154" s="50"/>
      <c r="BYU154" s="50"/>
      <c r="BYV154" s="50"/>
      <c r="BZE154">
        <v>600</v>
      </c>
      <c r="BZF154">
        <v>1</v>
      </c>
      <c r="BZI154">
        <v>1</v>
      </c>
      <c r="BZK154">
        <v>92</v>
      </c>
      <c r="GED154">
        <v>1</v>
      </c>
      <c r="GWJ154">
        <v>1</v>
      </c>
      <c r="HCA154">
        <v>1</v>
      </c>
    </row>
    <row r="155" spans="1:1016 1028:2046 2049:2993 3283:3739 4229:4933 5285:5766" x14ac:dyDescent="0.25">
      <c r="A155" s="50">
        <v>3009633</v>
      </c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BP155">
        <v>85.8</v>
      </c>
      <c r="ES155">
        <v>29.6</v>
      </c>
      <c r="GT155">
        <v>273</v>
      </c>
      <c r="IE155">
        <v>3300</v>
      </c>
      <c r="II155">
        <v>3700</v>
      </c>
      <c r="IK155">
        <v>4200</v>
      </c>
      <c r="KE155">
        <v>844.8</v>
      </c>
      <c r="KI155">
        <v>132</v>
      </c>
      <c r="KK155">
        <v>59.4</v>
      </c>
      <c r="KM155">
        <v>63</v>
      </c>
      <c r="NT155">
        <v>1805.4</v>
      </c>
      <c r="NX155">
        <v>665.4</v>
      </c>
      <c r="NZ155">
        <v>309</v>
      </c>
      <c r="OB155">
        <v>262.8</v>
      </c>
      <c r="RH155">
        <v>229.8</v>
      </c>
      <c r="RL155">
        <v>161.4</v>
      </c>
      <c r="RN155">
        <v>132</v>
      </c>
      <c r="RP155">
        <v>126</v>
      </c>
      <c r="AAH155" s="3">
        <v>14.293100000000001</v>
      </c>
      <c r="AAL155" s="3">
        <v>14.599299999999999</v>
      </c>
      <c r="AAN155" s="3">
        <v>14.0031</v>
      </c>
      <c r="ADA155" s="3">
        <v>1.6897</v>
      </c>
      <c r="ADB155" s="3"/>
      <c r="ADC155" s="3">
        <v>1.6136999999999999</v>
      </c>
      <c r="ADD155" s="3"/>
      <c r="AEU155" s="3">
        <v>5.4842000000000004</v>
      </c>
      <c r="AEV155" s="3"/>
      <c r="AEW155" s="3"/>
      <c r="AEX155" s="3"/>
      <c r="AEY155" s="3">
        <v>5.4842000000000004</v>
      </c>
      <c r="AEZ155" s="3">
        <v>0.63139999999999996</v>
      </c>
      <c r="AFA155" s="3">
        <v>0.57879999999999998</v>
      </c>
      <c r="AFB155" s="3"/>
      <c r="AHA155" s="50"/>
      <c r="AHB155" s="50"/>
      <c r="AHC155" s="50"/>
      <c r="AHD155" s="50"/>
      <c r="AHE155" s="50"/>
      <c r="AHI155">
        <v>751.8</v>
      </c>
      <c r="AHM155">
        <v>524.4</v>
      </c>
      <c r="AHO155">
        <v>433.8</v>
      </c>
      <c r="AHQ155">
        <v>433.2</v>
      </c>
      <c r="AKE155" s="50"/>
      <c r="AKF155" s="50"/>
      <c r="AKG155" s="50"/>
      <c r="AKT155">
        <v>0.85519999999999996</v>
      </c>
      <c r="ANQ155" s="50"/>
      <c r="ANR155" s="50"/>
      <c r="ANS155" s="50"/>
      <c r="ANT155" s="50"/>
      <c r="ANU155" s="50"/>
      <c r="ANV155" s="50"/>
      <c r="ANW155" s="50"/>
      <c r="ANX155" s="50"/>
      <c r="ANY155" s="50"/>
      <c r="ANZ155" s="50"/>
      <c r="AOA155" s="50"/>
      <c r="ATJ155">
        <v>328000</v>
      </c>
      <c r="ATM155">
        <v>272000</v>
      </c>
      <c r="ATO155">
        <v>275000</v>
      </c>
      <c r="BAY155">
        <v>44</v>
      </c>
      <c r="BBB155">
        <v>45</v>
      </c>
      <c r="BBD155">
        <v>43</v>
      </c>
      <c r="BCO155">
        <v>91.6</v>
      </c>
      <c r="BCQ155">
        <v>89.8</v>
      </c>
      <c r="BCR155">
        <v>90.4</v>
      </c>
      <c r="BHE155">
        <v>141</v>
      </c>
      <c r="BIK155">
        <v>4.08</v>
      </c>
      <c r="BJK155">
        <v>2.31</v>
      </c>
      <c r="BKT155" s="50"/>
      <c r="BKU155" s="50"/>
      <c r="BKV155" s="50"/>
      <c r="BKW155" s="50"/>
      <c r="BKX155" s="50"/>
      <c r="BKY155" s="50"/>
      <c r="BKZ155" s="50"/>
      <c r="BLA155" s="50"/>
      <c r="BLB155" s="50"/>
      <c r="BPE155">
        <v>67</v>
      </c>
      <c r="BPG155">
        <v>1</v>
      </c>
      <c r="BPH155">
        <v>33.200000000000003</v>
      </c>
      <c r="BPK155">
        <v>23</v>
      </c>
      <c r="BSG155">
        <v>1</v>
      </c>
      <c r="BVO155">
        <v>1</v>
      </c>
      <c r="BYQ155" s="50"/>
      <c r="BYR155" s="50"/>
      <c r="BYS155" s="50"/>
      <c r="BYT155" s="50"/>
      <c r="BYU155" s="50"/>
      <c r="BYV155" s="50"/>
      <c r="BZE155">
        <v>600</v>
      </c>
      <c r="BZF155">
        <v>3</v>
      </c>
      <c r="BZI155">
        <v>1</v>
      </c>
      <c r="BZK155">
        <v>7</v>
      </c>
      <c r="BZL155">
        <v>7</v>
      </c>
      <c r="BZM155">
        <v>1</v>
      </c>
      <c r="BZN155">
        <v>0</v>
      </c>
      <c r="FYW155" s="50"/>
      <c r="FYX155">
        <v>1</v>
      </c>
      <c r="FZA155">
        <v>1</v>
      </c>
      <c r="FZB155" s="35">
        <v>999</v>
      </c>
      <c r="FZC155">
        <v>999</v>
      </c>
      <c r="FZD155">
        <v>0</v>
      </c>
      <c r="FZE155">
        <v>999</v>
      </c>
      <c r="GXU155">
        <v>1</v>
      </c>
      <c r="GXZ155">
        <v>1</v>
      </c>
      <c r="GYD155">
        <v>1</v>
      </c>
      <c r="GZD155">
        <v>1</v>
      </c>
      <c r="HCB155">
        <v>1</v>
      </c>
      <c r="HDF155">
        <v>1</v>
      </c>
    </row>
    <row r="156" spans="1:1016 1028:2046 2049:2993 3283:3739 4229:4933 5285:5766" x14ac:dyDescent="0.25">
      <c r="A156" s="50">
        <v>3010583</v>
      </c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IO156">
        <v>5900</v>
      </c>
      <c r="JP156" s="14">
        <v>240</v>
      </c>
      <c r="JQ156">
        <v>852</v>
      </c>
      <c r="KU156">
        <v>852</v>
      </c>
      <c r="NE156" s="14">
        <v>545</v>
      </c>
      <c r="NF156">
        <v>1004</v>
      </c>
      <c r="OI156">
        <v>1004</v>
      </c>
      <c r="QS156" s="14">
        <v>547</v>
      </c>
      <c r="QT156">
        <v>599</v>
      </c>
      <c r="RV156">
        <v>599</v>
      </c>
      <c r="TK156" s="14">
        <v>350</v>
      </c>
      <c r="TL156">
        <v>892</v>
      </c>
      <c r="UG156">
        <v>501</v>
      </c>
      <c r="YA156">
        <v>24</v>
      </c>
      <c r="ACF156" s="14">
        <v>1.3</v>
      </c>
      <c r="ACG156">
        <v>1.68</v>
      </c>
      <c r="ADI156">
        <v>1.68</v>
      </c>
      <c r="AGT156" s="14">
        <v>148</v>
      </c>
      <c r="AHA156" s="50"/>
      <c r="AHB156" s="50"/>
      <c r="AHC156" s="50"/>
      <c r="AHD156" s="50"/>
      <c r="AHE156" s="50"/>
      <c r="AKE156" s="50"/>
      <c r="AKF156" s="50"/>
      <c r="AKG156" s="50"/>
      <c r="ALP156">
        <v>22</v>
      </c>
      <c r="ANQ156" s="50"/>
      <c r="ANR156" s="50"/>
      <c r="ANS156" s="50"/>
      <c r="ANT156" s="50"/>
      <c r="ANU156" s="50"/>
      <c r="ANV156" s="50"/>
      <c r="ANW156" s="50"/>
      <c r="ANX156" s="50"/>
      <c r="ANY156" s="50">
        <v>36</v>
      </c>
      <c r="ANZ156" s="50"/>
      <c r="AOA156" s="50"/>
      <c r="AUT156">
        <v>11.5</v>
      </c>
      <c r="AVJ156">
        <v>2</v>
      </c>
      <c r="AWG156">
        <v>61</v>
      </c>
      <c r="BKT156" s="50"/>
      <c r="BKU156" s="50"/>
      <c r="BKV156" s="50"/>
      <c r="BKW156" s="50"/>
      <c r="BKX156" s="50"/>
      <c r="BKY156" s="50"/>
      <c r="BKZ156" s="50"/>
      <c r="BLA156" s="50"/>
      <c r="BLB156" s="50"/>
      <c r="BPE156">
        <v>36</v>
      </c>
      <c r="BPF156">
        <v>1</v>
      </c>
      <c r="BPH156">
        <v>27.8</v>
      </c>
      <c r="BUN156">
        <v>1</v>
      </c>
      <c r="BUX156">
        <v>1</v>
      </c>
      <c r="BYQ156" s="50"/>
      <c r="BYR156" s="50"/>
      <c r="BYS156" s="50"/>
      <c r="BYT156" s="50"/>
      <c r="BYU156" s="50"/>
      <c r="BYV156" s="50"/>
      <c r="BZE156">
        <v>1200</v>
      </c>
      <c r="BZF156">
        <v>1</v>
      </c>
      <c r="BZI156">
        <v>1</v>
      </c>
      <c r="BZK156">
        <v>3</v>
      </c>
      <c r="BZL156">
        <v>2</v>
      </c>
      <c r="BZM156">
        <v>0</v>
      </c>
      <c r="BZN156">
        <v>0</v>
      </c>
      <c r="CSF156">
        <v>800</v>
      </c>
      <c r="CSG156">
        <v>1</v>
      </c>
      <c r="CSJ156">
        <v>1</v>
      </c>
      <c r="CSK156">
        <v>3</v>
      </c>
      <c r="CSL156">
        <v>2</v>
      </c>
      <c r="CSM156">
        <v>0</v>
      </c>
      <c r="CSN156">
        <v>0</v>
      </c>
      <c r="GWZ156">
        <v>1</v>
      </c>
      <c r="GXZ156">
        <v>1</v>
      </c>
      <c r="GZE156">
        <v>1</v>
      </c>
      <c r="GZP156">
        <v>1</v>
      </c>
      <c r="HCA156">
        <v>1</v>
      </c>
      <c r="HCO156">
        <v>1</v>
      </c>
    </row>
    <row r="157" spans="1:1016 1028:2046 2049:2993 3283:3739 4229:4933 5285:5766" x14ac:dyDescent="0.25">
      <c r="A157" s="23">
        <v>3011892</v>
      </c>
      <c r="BL157">
        <v>72</v>
      </c>
      <c r="BV157">
        <v>100</v>
      </c>
      <c r="HZ157">
        <v>7700</v>
      </c>
      <c r="JZ157">
        <v>1880</v>
      </c>
      <c r="KI157">
        <v>131</v>
      </c>
      <c r="KN157">
        <v>61</v>
      </c>
      <c r="NO157">
        <v>3062</v>
      </c>
      <c r="NX157">
        <v>526</v>
      </c>
      <c r="OC157">
        <v>248</v>
      </c>
      <c r="TT157">
        <v>765</v>
      </c>
      <c r="UD157">
        <v>299</v>
      </c>
      <c r="AAC157" s="3">
        <v>14.502599999999999</v>
      </c>
      <c r="ACP157" s="3">
        <v>21.866700000000002</v>
      </c>
      <c r="ACY157" s="3">
        <v>6.7237</v>
      </c>
      <c r="ADD157" s="3">
        <v>3.6133000000000002</v>
      </c>
      <c r="AEW157" s="3">
        <v>13.330500000000001</v>
      </c>
      <c r="AEX157" s="3"/>
      <c r="AEY157" s="3">
        <v>3.5255999999999998</v>
      </c>
      <c r="AFB157" s="3">
        <v>2.0171000000000001</v>
      </c>
      <c r="AHA157" s="50"/>
      <c r="AHB157" s="50"/>
      <c r="AHC157" s="50"/>
      <c r="AHD157" s="50">
        <v>871</v>
      </c>
      <c r="AHE157" s="50"/>
      <c r="AHR157">
        <v>598</v>
      </c>
      <c r="AKE157" s="50"/>
      <c r="AKF157" s="50"/>
      <c r="AKG157" s="50"/>
      <c r="AKO157">
        <v>0.74890000000000001</v>
      </c>
      <c r="ANQ157" s="50"/>
      <c r="ANR157" s="50"/>
      <c r="ANS157" s="50"/>
      <c r="ANT157" s="50"/>
      <c r="ANU157" s="50"/>
      <c r="ANV157" s="50"/>
      <c r="ANW157" s="50"/>
      <c r="ANX157" s="50"/>
      <c r="ANY157" s="50"/>
      <c r="ANZ157" s="50"/>
      <c r="AOA157" s="50"/>
      <c r="AOH157">
        <v>13.1</v>
      </c>
      <c r="AOT157">
        <v>1.58</v>
      </c>
      <c r="APS157" s="3">
        <v>45.247999999999998</v>
      </c>
      <c r="AQS157" s="3">
        <v>1.7081</v>
      </c>
      <c r="ATN157">
        <v>188000</v>
      </c>
      <c r="ATP157">
        <v>195000</v>
      </c>
      <c r="BAU157">
        <v>42</v>
      </c>
      <c r="BGZ157">
        <v>142</v>
      </c>
      <c r="BIF157">
        <v>3.7</v>
      </c>
      <c r="BJI157">
        <v>2.4</v>
      </c>
      <c r="BKK157" s="3">
        <v>351.26510000000002</v>
      </c>
      <c r="BKT157" s="50"/>
      <c r="BKU157" s="50"/>
      <c r="BKV157" s="50"/>
      <c r="BKW157" s="50"/>
      <c r="BKX157" s="50">
        <v>12989</v>
      </c>
      <c r="BKY157" s="50"/>
      <c r="BKZ157" s="50">
        <v>2022</v>
      </c>
      <c r="BLA157" s="50"/>
      <c r="BLB157" s="50"/>
      <c r="BMF157" s="3">
        <v>81.072000000000003</v>
      </c>
      <c r="BPE157">
        <v>48</v>
      </c>
      <c r="BPG157">
        <v>1</v>
      </c>
      <c r="BPH157">
        <v>24.2</v>
      </c>
      <c r="BPJ157">
        <v>1</v>
      </c>
      <c r="BPK157">
        <v>25</v>
      </c>
      <c r="BPM157">
        <v>1</v>
      </c>
      <c r="BUH157">
        <v>1</v>
      </c>
      <c r="BVP157">
        <v>1</v>
      </c>
      <c r="BWD157">
        <v>1</v>
      </c>
      <c r="BYQ157" s="50"/>
      <c r="BYR157" s="50"/>
      <c r="BYS157" s="50"/>
      <c r="BYT157" s="50"/>
      <c r="BYU157" s="50"/>
      <c r="BYV157" s="50"/>
      <c r="BZE157">
        <v>800</v>
      </c>
      <c r="BZF157">
        <v>0.1429</v>
      </c>
      <c r="BZI157">
        <v>1</v>
      </c>
      <c r="BZK157">
        <v>999</v>
      </c>
      <c r="BZL157">
        <v>999</v>
      </c>
      <c r="BZM157">
        <v>0</v>
      </c>
      <c r="BZN157">
        <v>9</v>
      </c>
      <c r="EJU157">
        <v>0.14000000000000001</v>
      </c>
      <c r="EJX157">
        <v>1</v>
      </c>
      <c r="EJY157">
        <v>999</v>
      </c>
      <c r="EJZ157">
        <v>999</v>
      </c>
      <c r="EMM157">
        <v>20</v>
      </c>
      <c r="EMN157">
        <v>1</v>
      </c>
      <c r="EMQ157">
        <v>1</v>
      </c>
      <c r="EMR157">
        <v>999</v>
      </c>
      <c r="EMS157">
        <v>999</v>
      </c>
      <c r="EMT157">
        <v>0</v>
      </c>
      <c r="EMU157">
        <v>8</v>
      </c>
      <c r="FUK157">
        <v>1</v>
      </c>
      <c r="FUL157">
        <v>1</v>
      </c>
      <c r="FUM157" s="35">
        <v>999</v>
      </c>
      <c r="FUN157">
        <v>999</v>
      </c>
      <c r="FUO157">
        <v>0</v>
      </c>
      <c r="FUP157">
        <v>999</v>
      </c>
      <c r="FVC157">
        <v>1</v>
      </c>
      <c r="FVD157">
        <v>1</v>
      </c>
      <c r="FVE157" s="35">
        <v>999</v>
      </c>
      <c r="FVF157">
        <v>999</v>
      </c>
      <c r="FVG157">
        <v>0</v>
      </c>
      <c r="FVH157">
        <v>999</v>
      </c>
      <c r="FVJ157">
        <v>10</v>
      </c>
      <c r="FVK157">
        <v>3</v>
      </c>
      <c r="FVN157">
        <v>1</v>
      </c>
      <c r="FVO157">
        <v>123</v>
      </c>
      <c r="FVP157">
        <v>123</v>
      </c>
      <c r="FVQ157">
        <v>1</v>
      </c>
      <c r="FVR157">
        <v>0</v>
      </c>
      <c r="GUG157">
        <v>1</v>
      </c>
      <c r="GUJ157">
        <v>1</v>
      </c>
      <c r="GUK157" s="35">
        <v>999</v>
      </c>
      <c r="GUL157">
        <v>999</v>
      </c>
      <c r="GUM157">
        <v>0</v>
      </c>
      <c r="GUN157">
        <v>999</v>
      </c>
      <c r="GWH157">
        <v>1</v>
      </c>
      <c r="GWU157">
        <v>1</v>
      </c>
      <c r="GXU157">
        <v>1</v>
      </c>
      <c r="GXV157">
        <v>1</v>
      </c>
      <c r="HCA157">
        <v>1</v>
      </c>
      <c r="HCB157">
        <v>1</v>
      </c>
      <c r="HCO157">
        <v>1</v>
      </c>
      <c r="HDF157">
        <v>1</v>
      </c>
    </row>
    <row r="158" spans="1:1016 1028:2046 2049:2993 3283:3739 4229:4933 5285:5766" x14ac:dyDescent="0.25">
      <c r="A158">
        <v>4001382</v>
      </c>
      <c r="X158" s="14">
        <v>126</v>
      </c>
      <c r="Y158" s="14">
        <v>275.5</v>
      </c>
      <c r="BB158">
        <v>46</v>
      </c>
      <c r="BC158">
        <v>68</v>
      </c>
      <c r="FV158">
        <v>212</v>
      </c>
      <c r="FW158" s="14">
        <v>526.5</v>
      </c>
      <c r="JQ158">
        <v>1161</v>
      </c>
      <c r="KE158" s="14">
        <v>64</v>
      </c>
      <c r="KF158" s="14">
        <v>72.332999999999998</v>
      </c>
      <c r="NF158">
        <v>916</v>
      </c>
      <c r="NT158" s="14">
        <v>138</v>
      </c>
      <c r="NU158" s="14">
        <v>119.666</v>
      </c>
      <c r="RH158" s="14">
        <v>35</v>
      </c>
      <c r="RI158" s="14">
        <v>41.5</v>
      </c>
      <c r="TY158">
        <v>319</v>
      </c>
      <c r="TZ158" s="14">
        <v>634.25</v>
      </c>
      <c r="UV158">
        <v>2.5</v>
      </c>
      <c r="UW158" s="14">
        <v>3.6</v>
      </c>
      <c r="VU158" s="14">
        <v>432.5</v>
      </c>
      <c r="WK158" s="14">
        <v>129</v>
      </c>
      <c r="ACU158" s="14" t="s">
        <v>2692</v>
      </c>
      <c r="ACV158" s="14">
        <v>11.7</v>
      </c>
      <c r="AEU158" s="14">
        <v>3.15</v>
      </c>
      <c r="AEV158" s="14">
        <v>3.5666660000000001</v>
      </c>
      <c r="AFV158" s="14">
        <v>4.6500000000000004</v>
      </c>
      <c r="AFW158" s="14">
        <v>5.4</v>
      </c>
      <c r="AHA158" s="50"/>
      <c r="AHB158" s="50"/>
      <c r="AHC158" s="50"/>
      <c r="AHD158" s="50"/>
      <c r="AHE158" s="50"/>
      <c r="AHI158" s="14">
        <v>130.5</v>
      </c>
      <c r="AHJ158" s="14">
        <v>168</v>
      </c>
      <c r="AKE158" s="50"/>
      <c r="AKF158" s="50"/>
      <c r="AKG158" s="50"/>
      <c r="AMA158" s="14">
        <v>203.5</v>
      </c>
      <c r="AMB158" s="14">
        <v>609.5</v>
      </c>
      <c r="ANA158" s="14">
        <v>1618.5</v>
      </c>
      <c r="ANQ158" s="50"/>
      <c r="ANR158" s="50"/>
      <c r="ANS158" s="50"/>
      <c r="ANT158" s="50"/>
      <c r="ANU158" s="50"/>
      <c r="ANV158" s="50"/>
      <c r="ANW158" s="50"/>
      <c r="ANX158" s="50"/>
      <c r="ANY158" s="50"/>
      <c r="ANZ158" s="50"/>
      <c r="AOA158" s="50"/>
      <c r="AOM158" s="14">
        <v>6.5</v>
      </c>
      <c r="AON158" s="14">
        <v>28</v>
      </c>
      <c r="APW158" s="14">
        <v>5.5</v>
      </c>
      <c r="APX158" s="14">
        <v>9.6666000000000007</v>
      </c>
      <c r="AQU158" s="14">
        <v>3.15</v>
      </c>
      <c r="AQV158" s="14">
        <v>3.1</v>
      </c>
      <c r="AXP158">
        <v>26</v>
      </c>
      <c r="BKN158" s="14">
        <v>201.5</v>
      </c>
      <c r="BKT158" s="50"/>
      <c r="BKU158" s="50"/>
      <c r="BKV158" s="50"/>
      <c r="BKW158" s="50"/>
      <c r="BKX158" s="50"/>
      <c r="BKY158" s="50"/>
      <c r="BKZ158" s="50"/>
      <c r="BLA158" s="50"/>
      <c r="BLB158" s="50"/>
      <c r="BPE158">
        <v>26</v>
      </c>
      <c r="BPG158">
        <v>1</v>
      </c>
      <c r="BPH158">
        <v>31.1</v>
      </c>
      <c r="BPI158">
        <v>1</v>
      </c>
      <c r="BPK158">
        <v>13</v>
      </c>
      <c r="BYQ158" s="50"/>
      <c r="BYR158" s="50"/>
      <c r="BYS158" s="50"/>
      <c r="BYT158" s="50"/>
      <c r="BYU158" s="50"/>
      <c r="BYV158" s="50"/>
      <c r="BZE158">
        <v>800</v>
      </c>
      <c r="BZF158">
        <v>2</v>
      </c>
      <c r="BZK158">
        <v>3</v>
      </c>
      <c r="CBI158">
        <v>40</v>
      </c>
      <c r="CBJ158">
        <v>3</v>
      </c>
      <c r="CBM158">
        <v>1</v>
      </c>
      <c r="CBN158">
        <v>4</v>
      </c>
      <c r="CCX158">
        <v>50</v>
      </c>
      <c r="CCY158">
        <v>1</v>
      </c>
      <c r="CDB158">
        <v>1</v>
      </c>
      <c r="CDC158">
        <v>3</v>
      </c>
      <c r="FGL158">
        <v>2</v>
      </c>
      <c r="FGO158">
        <v>1</v>
      </c>
      <c r="FGP158">
        <v>3</v>
      </c>
      <c r="GZX158">
        <v>1</v>
      </c>
      <c r="HAX158">
        <v>1</v>
      </c>
      <c r="HBX158">
        <v>1</v>
      </c>
      <c r="HDA158">
        <v>1</v>
      </c>
    </row>
    <row r="159" spans="1:1016 1028:2046 2049:2993 3283:3739 4229:4933 5285:5766" x14ac:dyDescent="0.25">
      <c r="A159" s="50">
        <v>5018675</v>
      </c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HW159">
        <v>10700</v>
      </c>
      <c r="JW159">
        <v>1542</v>
      </c>
      <c r="NL159">
        <v>1701</v>
      </c>
      <c r="QZ159">
        <v>120</v>
      </c>
      <c r="ACE159" s="50"/>
      <c r="ACF159" s="50"/>
      <c r="ACG159" s="50"/>
      <c r="ACH159" s="50"/>
      <c r="ACI159" s="50"/>
      <c r="ACJ159" s="50"/>
      <c r="ACK159" s="50"/>
      <c r="ACL159" s="50"/>
      <c r="ACM159" s="50">
        <v>13.74</v>
      </c>
      <c r="ACN159" s="50"/>
      <c r="ACO159" s="50"/>
      <c r="ACP159" s="50"/>
      <c r="ACQ159" s="50"/>
      <c r="ACR159" s="50"/>
      <c r="AHA159" s="50">
        <v>251</v>
      </c>
      <c r="AHB159" s="50"/>
      <c r="AHC159" s="50"/>
      <c r="AHD159" s="50"/>
      <c r="AHE159" s="50"/>
      <c r="AKE159" s="50"/>
      <c r="AKF159" s="50"/>
      <c r="AKG159" s="50"/>
      <c r="AKL159">
        <v>0.8</v>
      </c>
      <c r="ANQ159" s="50"/>
      <c r="ANR159" s="50"/>
      <c r="ANS159" s="50"/>
      <c r="ANT159" s="50"/>
      <c r="ANU159" s="50"/>
      <c r="ANV159" s="50"/>
      <c r="ANW159" s="50"/>
      <c r="ANX159" s="50"/>
      <c r="ANY159" s="50"/>
      <c r="ANZ159" s="50"/>
      <c r="AOA159" s="50"/>
      <c r="AVG159">
        <v>7</v>
      </c>
      <c r="BKT159" s="50"/>
      <c r="BKU159" s="50"/>
      <c r="BKV159" s="50"/>
      <c r="BKW159" s="50"/>
      <c r="BKX159" s="50"/>
      <c r="BKY159" s="50"/>
      <c r="BKZ159" s="50"/>
      <c r="BLA159" s="50"/>
      <c r="BLB159" s="50"/>
      <c r="BPE159">
        <v>50</v>
      </c>
      <c r="BPG159">
        <v>1</v>
      </c>
      <c r="BPH159">
        <v>21.83</v>
      </c>
      <c r="BSZ159">
        <v>1</v>
      </c>
      <c r="BYQ159" s="50"/>
      <c r="BYR159" s="50"/>
      <c r="BYS159" s="50"/>
      <c r="BYT159" s="50"/>
      <c r="BYU159" s="50"/>
      <c r="BYV159" s="50"/>
      <c r="BZE159">
        <v>400</v>
      </c>
      <c r="BZF159">
        <v>3</v>
      </c>
      <c r="BZI159">
        <v>1</v>
      </c>
      <c r="BZK159">
        <v>7</v>
      </c>
      <c r="BZL159">
        <v>2</v>
      </c>
      <c r="BZM159">
        <v>0</v>
      </c>
      <c r="BZN159">
        <v>4</v>
      </c>
      <c r="BZR159">
        <v>7.1400000000000005E-2</v>
      </c>
      <c r="BZU159">
        <v>1</v>
      </c>
      <c r="BZW159">
        <v>999</v>
      </c>
      <c r="BZX159">
        <v>999</v>
      </c>
      <c r="BZY159">
        <v>0</v>
      </c>
      <c r="BZZ159">
        <v>6</v>
      </c>
      <c r="CPN159">
        <v>500</v>
      </c>
      <c r="CPO159">
        <v>2</v>
      </c>
      <c r="CPR159">
        <v>1</v>
      </c>
      <c r="CPS159">
        <v>3</v>
      </c>
      <c r="CPT159">
        <v>0</v>
      </c>
      <c r="CPU159">
        <v>0</v>
      </c>
      <c r="CPV159">
        <v>2</v>
      </c>
      <c r="DFR159">
        <v>1</v>
      </c>
      <c r="DFS159">
        <v>1</v>
      </c>
      <c r="DFV159">
        <v>1</v>
      </c>
      <c r="DFW159">
        <v>92</v>
      </c>
      <c r="DVG159">
        <v>0.5</v>
      </c>
      <c r="DVH159">
        <v>1</v>
      </c>
      <c r="DVK159">
        <v>1</v>
      </c>
      <c r="DVL159">
        <v>122</v>
      </c>
      <c r="DVN159">
        <v>0</v>
      </c>
      <c r="DVO159">
        <v>5</v>
      </c>
      <c r="GAL159">
        <v>1</v>
      </c>
      <c r="GAM159">
        <v>1</v>
      </c>
      <c r="GAP159">
        <v>1</v>
      </c>
      <c r="GAQ159">
        <v>999</v>
      </c>
      <c r="GAR159">
        <v>999</v>
      </c>
      <c r="GAS159">
        <v>999</v>
      </c>
      <c r="GAT159">
        <v>0</v>
      </c>
      <c r="GWH159">
        <v>1</v>
      </c>
      <c r="GXZ159">
        <v>1</v>
      </c>
      <c r="HCA159">
        <v>1</v>
      </c>
      <c r="HCB159">
        <v>1</v>
      </c>
    </row>
    <row r="160" spans="1:1016 1028:2046 2049:2993 3283:3739 4229:4933 5285:5766" x14ac:dyDescent="0.25">
      <c r="A160" s="50">
        <v>6050168</v>
      </c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JP160" s="50"/>
      <c r="NE160" s="50"/>
      <c r="QS160" s="50"/>
      <c r="ACE160" s="50"/>
      <c r="ACF160" s="50"/>
      <c r="ACG160" s="50"/>
      <c r="ACH160" s="50"/>
      <c r="ACI160" s="50"/>
      <c r="ACJ160" s="50"/>
      <c r="ACK160" s="50"/>
      <c r="ACL160" s="50"/>
      <c r="ACM160" s="50"/>
      <c r="ACN160" s="50"/>
      <c r="ACO160" s="50"/>
      <c r="ACP160" s="50"/>
      <c r="ACQ160" s="50"/>
      <c r="ACR160" s="50"/>
      <c r="AEJ160" s="50">
        <v>50</v>
      </c>
      <c r="AGT160" s="50"/>
      <c r="AHA160" s="50"/>
      <c r="AHB160" s="50"/>
      <c r="AHC160" s="50"/>
      <c r="AHD160" s="50"/>
      <c r="AHE160" s="50"/>
      <c r="AKE160" s="50"/>
      <c r="AKF160" s="50"/>
      <c r="AKG160" s="50"/>
      <c r="ANQ160" s="50"/>
      <c r="ANR160" s="50"/>
      <c r="ANS160" s="50"/>
      <c r="ANT160" s="50"/>
      <c r="ANU160" s="50"/>
      <c r="ANV160" s="50"/>
      <c r="ANW160" s="50"/>
      <c r="ANX160" s="50"/>
      <c r="ANY160" s="50"/>
      <c r="ANZ160" s="50"/>
      <c r="AOA160" s="50"/>
      <c r="AUJ160">
        <v>26</v>
      </c>
      <c r="BKT160" s="50"/>
      <c r="BKU160" s="50"/>
      <c r="BKV160" s="50"/>
      <c r="BKW160" s="50"/>
      <c r="BKX160" s="50"/>
      <c r="BKY160" s="50"/>
      <c r="BKZ160" s="50"/>
      <c r="BLA160" s="50"/>
      <c r="BLB160" s="50"/>
      <c r="BPE160">
        <v>33</v>
      </c>
      <c r="BPG160">
        <v>1</v>
      </c>
      <c r="BPK160">
        <v>12</v>
      </c>
      <c r="BZF160">
        <v>2</v>
      </c>
      <c r="BZI160">
        <v>1</v>
      </c>
      <c r="BZK160" s="35">
        <v>999</v>
      </c>
      <c r="BZL160">
        <v>1</v>
      </c>
      <c r="BZM160">
        <v>0</v>
      </c>
      <c r="BZN160">
        <v>999</v>
      </c>
      <c r="HCA160">
        <v>1</v>
      </c>
    </row>
    <row r="161" spans="1:1004 1027:2042 2057:3070 3073:3994 4123:5065 5127:5801" x14ac:dyDescent="0.25">
      <c r="A161" s="50">
        <v>5006592</v>
      </c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JQ161">
        <v>164</v>
      </c>
      <c r="LI161">
        <v>68</v>
      </c>
      <c r="MC161">
        <v>126</v>
      </c>
      <c r="ME161">
        <v>60</v>
      </c>
      <c r="NF161">
        <v>175</v>
      </c>
      <c r="OY161">
        <v>68</v>
      </c>
      <c r="PT161">
        <v>143</v>
      </c>
      <c r="PV161">
        <v>37</v>
      </c>
      <c r="ACE161" s="50"/>
      <c r="ACF161" s="50"/>
      <c r="ACG161" s="50">
        <v>1.9</v>
      </c>
      <c r="ACH161" s="50"/>
      <c r="ACI161" s="50"/>
      <c r="ACJ161" s="50"/>
      <c r="ACK161" s="50"/>
      <c r="ACL161" s="50"/>
      <c r="ACM161" s="50"/>
      <c r="ACN161" s="50"/>
      <c r="ACO161" s="50"/>
      <c r="ACP161" s="50"/>
      <c r="ACQ161" s="50"/>
      <c r="ACR161" s="50"/>
      <c r="ADT161">
        <v>2.5</v>
      </c>
      <c r="AEG161">
        <v>2.4</v>
      </c>
      <c r="AGU161">
        <v>89</v>
      </c>
      <c r="AHA161" s="50"/>
      <c r="AHB161" s="50"/>
      <c r="AHC161" s="50"/>
      <c r="AHD161" s="50"/>
      <c r="AHE161" s="50"/>
      <c r="AII161">
        <v>83</v>
      </c>
      <c r="AIV161">
        <v>84</v>
      </c>
      <c r="AKE161" s="50"/>
      <c r="AKF161" s="50"/>
      <c r="AKG161" s="50"/>
      <c r="ANQ161" s="50"/>
      <c r="ANR161" s="50"/>
      <c r="ANS161" s="50"/>
      <c r="ANT161" s="50"/>
      <c r="ANU161" s="50"/>
      <c r="ANV161" s="50"/>
      <c r="ANW161" s="50"/>
      <c r="ANX161" s="50"/>
      <c r="ANY161" s="50"/>
      <c r="ANZ161" s="50"/>
      <c r="AOA161" s="50"/>
      <c r="BKT161" s="50"/>
      <c r="BKU161" s="50"/>
      <c r="BKV161" s="50"/>
      <c r="BKW161" s="50"/>
      <c r="BKX161" s="50"/>
      <c r="BKY161" s="50"/>
      <c r="BKZ161" s="50"/>
      <c r="BLA161" s="50"/>
      <c r="BLB161" s="50"/>
      <c r="BPE161">
        <v>81</v>
      </c>
      <c r="BPF161">
        <v>1</v>
      </c>
      <c r="BPJ161">
        <v>1</v>
      </c>
      <c r="BYQ161">
        <v>1</v>
      </c>
      <c r="BZD161">
        <v>1</v>
      </c>
      <c r="DKI161" s="50">
        <v>125</v>
      </c>
      <c r="DKJ161">
        <v>2</v>
      </c>
      <c r="DKM161">
        <v>1</v>
      </c>
      <c r="DKN161">
        <v>336</v>
      </c>
      <c r="DKO161">
        <v>305</v>
      </c>
      <c r="DKP161">
        <v>0</v>
      </c>
      <c r="DKQ161">
        <v>36</v>
      </c>
      <c r="DRS161">
        <v>1</v>
      </c>
      <c r="DXF161">
        <v>1</v>
      </c>
      <c r="GDO161">
        <v>25</v>
      </c>
      <c r="GDP161">
        <v>1</v>
      </c>
      <c r="GUP161">
        <v>1</v>
      </c>
    </row>
    <row r="162" spans="1:1004 1027:2042 2057:3070 3073:3994 4123:5065 5127:5801" x14ac:dyDescent="0.25">
      <c r="A162" s="50">
        <v>5007274</v>
      </c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CM162">
        <v>2.5</v>
      </c>
      <c r="CX162">
        <v>4</v>
      </c>
      <c r="JQ162">
        <v>2114</v>
      </c>
      <c r="KC162">
        <v>180</v>
      </c>
      <c r="NF162">
        <v>1474</v>
      </c>
      <c r="NR162">
        <v>487</v>
      </c>
      <c r="ACE162" s="50"/>
      <c r="ACF162" s="50"/>
      <c r="ACG162" s="50">
        <v>7.6</v>
      </c>
      <c r="ACH162" s="50"/>
      <c r="ACI162" s="50"/>
      <c r="ACJ162" s="50"/>
      <c r="ACK162" s="50"/>
      <c r="ACL162" s="50"/>
      <c r="ACM162" s="50"/>
      <c r="ACN162" s="50"/>
      <c r="ACO162" s="50"/>
      <c r="ACP162" s="50"/>
      <c r="ACQ162" s="50"/>
      <c r="ACR162" s="50"/>
      <c r="ACS162">
        <v>12.3</v>
      </c>
      <c r="AEJ162">
        <v>5.4</v>
      </c>
      <c r="AGU162">
        <v>232</v>
      </c>
      <c r="AHG162">
        <v>224</v>
      </c>
      <c r="ANQ162" s="50"/>
      <c r="ANR162" s="50"/>
      <c r="ANS162" s="50"/>
      <c r="ANT162" s="50"/>
      <c r="ANU162" s="50"/>
      <c r="ANV162" s="50"/>
      <c r="ANW162" s="50"/>
      <c r="ANX162" s="50"/>
      <c r="ANY162" s="50"/>
      <c r="ANZ162" s="50"/>
      <c r="AOA162" s="50"/>
      <c r="ATH162" s="50"/>
      <c r="AXG162">
        <v>33</v>
      </c>
      <c r="AXN162">
        <v>27</v>
      </c>
      <c r="BKT162" s="50"/>
      <c r="BKU162" s="50"/>
      <c r="BKV162" s="50"/>
      <c r="BKW162" s="50"/>
      <c r="BKX162" s="50"/>
      <c r="BKY162" s="50"/>
      <c r="BKZ162" s="50"/>
      <c r="BLA162" s="50"/>
      <c r="BLB162" s="50"/>
      <c r="BPE162">
        <v>50</v>
      </c>
      <c r="BPG162">
        <v>1</v>
      </c>
      <c r="BPJ162">
        <v>1</v>
      </c>
      <c r="BPL162">
        <v>1</v>
      </c>
      <c r="BZD162">
        <v>1</v>
      </c>
      <c r="CNJ162">
        <v>720</v>
      </c>
      <c r="EWP162">
        <v>1</v>
      </c>
      <c r="GDE162">
        <v>500</v>
      </c>
      <c r="GDF162">
        <v>1</v>
      </c>
      <c r="GDI162">
        <v>1</v>
      </c>
      <c r="GDJ162">
        <v>153</v>
      </c>
      <c r="GDK162">
        <v>153</v>
      </c>
      <c r="GDL162">
        <v>0</v>
      </c>
      <c r="GDM162">
        <v>0</v>
      </c>
      <c r="GLU162">
        <v>1</v>
      </c>
      <c r="HAZ162">
        <v>1</v>
      </c>
      <c r="HBQ162">
        <v>1</v>
      </c>
      <c r="HBX162">
        <v>1</v>
      </c>
      <c r="HBY162">
        <v>1</v>
      </c>
      <c r="HCA162">
        <v>1</v>
      </c>
      <c r="HCB162">
        <v>1</v>
      </c>
      <c r="HCO162">
        <v>1</v>
      </c>
      <c r="HDF162">
        <v>1</v>
      </c>
      <c r="HDJ162">
        <v>1</v>
      </c>
    </row>
    <row r="163" spans="1:1004 1027:2042 2057:3070 3073:3994 4123:5065 5127:5801" x14ac:dyDescent="0.25">
      <c r="A163" s="50">
        <v>5015851</v>
      </c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BC163" s="14">
        <v>99</v>
      </c>
      <c r="BX163">
        <v>113</v>
      </c>
      <c r="BY163">
        <v>108</v>
      </c>
      <c r="CB163">
        <v>98</v>
      </c>
      <c r="CD163">
        <v>107</v>
      </c>
      <c r="DB163">
        <v>0.9</v>
      </c>
      <c r="DD163">
        <v>1</v>
      </c>
      <c r="DF163">
        <v>1</v>
      </c>
      <c r="DH163">
        <v>1</v>
      </c>
      <c r="EG163" s="14">
        <v>30.05</v>
      </c>
      <c r="EY163">
        <v>30</v>
      </c>
      <c r="EZ163">
        <v>29</v>
      </c>
      <c r="FB163">
        <v>35</v>
      </c>
      <c r="FC163">
        <v>32</v>
      </c>
      <c r="JQ163" s="14">
        <v>535.20000000000005</v>
      </c>
      <c r="KW163">
        <v>39</v>
      </c>
      <c r="LG163">
        <v>42</v>
      </c>
      <c r="LV163" s="3">
        <v>23.4</v>
      </c>
      <c r="MB163">
        <v>19.8</v>
      </c>
      <c r="NF163" s="3">
        <v>499.2</v>
      </c>
      <c r="OK163">
        <v>67.8</v>
      </c>
      <c r="OW163" s="3">
        <v>62.4</v>
      </c>
      <c r="OX163" s="3"/>
      <c r="PM163">
        <v>30.6</v>
      </c>
      <c r="PS163">
        <v>36</v>
      </c>
      <c r="QT163" s="14">
        <v>113.7</v>
      </c>
      <c r="RX163">
        <v>16.8</v>
      </c>
      <c r="SG163">
        <v>15</v>
      </c>
      <c r="SS163" s="3">
        <v>10.199999999999999</v>
      </c>
      <c r="SX163">
        <v>11.4</v>
      </c>
      <c r="VB163">
        <v>3</v>
      </c>
      <c r="VC163">
        <v>3</v>
      </c>
      <c r="VG163">
        <v>3</v>
      </c>
      <c r="VI163">
        <v>4.1399999999999997</v>
      </c>
      <c r="ACE163" s="50"/>
      <c r="ACF163" s="50"/>
      <c r="ACG163" s="50"/>
      <c r="ACH163" s="50"/>
      <c r="ACI163" s="50"/>
      <c r="ACJ163" s="50"/>
      <c r="ACK163" s="50"/>
      <c r="ACL163" s="50"/>
      <c r="ACM163" s="50"/>
      <c r="ACN163" s="50"/>
      <c r="ACO163" s="50"/>
      <c r="ACP163" s="50"/>
      <c r="ACQ163" s="50"/>
      <c r="ACR163" s="50"/>
      <c r="ADK163" s="3">
        <v>1.0632999999999999</v>
      </c>
      <c r="ADR163" s="3">
        <v>2.9817999999999998</v>
      </c>
      <c r="ADS163" s="3"/>
      <c r="AEB163">
        <v>0.7016</v>
      </c>
      <c r="AEF163">
        <v>0.2923</v>
      </c>
      <c r="AFE163">
        <v>0.78510000000000002</v>
      </c>
      <c r="AFF163">
        <v>0.39029999999999998</v>
      </c>
      <c r="AFI163">
        <v>3.2800000000000003E-2</v>
      </c>
      <c r="AGU163" s="14">
        <v>72</v>
      </c>
      <c r="AIB163" s="3">
        <v>94.8</v>
      </c>
      <c r="AIC163" s="3"/>
      <c r="AID163" s="3"/>
      <c r="AIH163">
        <v>80.400000000000006</v>
      </c>
      <c r="AIQ163">
        <v>51</v>
      </c>
      <c r="AIU163">
        <v>53.4</v>
      </c>
      <c r="AJM163">
        <v>3960</v>
      </c>
      <c r="AJN163">
        <v>4380</v>
      </c>
      <c r="AJP163">
        <v>5760</v>
      </c>
      <c r="AJQ163">
        <v>5520</v>
      </c>
      <c r="ALE163">
        <v>0.75790000000000002</v>
      </c>
      <c r="ALG163" s="3">
        <v>4.2096</v>
      </c>
      <c r="ALP163" s="14">
        <v>45</v>
      </c>
      <c r="AMN163">
        <v>29.4</v>
      </c>
      <c r="ANQ163" s="50"/>
      <c r="ANR163" s="50"/>
      <c r="ANS163" s="50"/>
      <c r="ANT163" s="50"/>
      <c r="ANU163" s="50"/>
      <c r="ANV163" s="50"/>
      <c r="ANW163" s="50"/>
      <c r="ANX163" s="50"/>
      <c r="ANY163" s="50"/>
      <c r="ANZ163" s="50"/>
      <c r="AOA163" s="50"/>
      <c r="AOX163">
        <v>2</v>
      </c>
      <c r="APA163">
        <v>2</v>
      </c>
      <c r="ASV163" s="14">
        <v>9800</v>
      </c>
      <c r="BGQ163" s="14">
        <v>3.45</v>
      </c>
      <c r="BKO163" s="3">
        <v>16.753499999999999</v>
      </c>
      <c r="BKP163" s="3">
        <v>49.143599999999999</v>
      </c>
      <c r="BKT163" s="50"/>
      <c r="BKU163" s="50"/>
      <c r="BKV163" s="50"/>
      <c r="BKW163" s="50"/>
      <c r="BKX163" s="50"/>
      <c r="BKY163" s="50"/>
      <c r="BKZ163" s="50"/>
      <c r="BLA163" s="50"/>
      <c r="BLB163" s="50"/>
      <c r="BMN163" s="3">
        <v>120.7072</v>
      </c>
      <c r="BMO163" s="3">
        <v>95.484800000000007</v>
      </c>
      <c r="BMQ163" s="3">
        <v>81.072000000000003</v>
      </c>
      <c r="BMR163" s="3"/>
      <c r="BMS163" s="3"/>
      <c r="BMT163" s="3"/>
      <c r="BPE163">
        <v>29</v>
      </c>
      <c r="BPG163">
        <v>1</v>
      </c>
      <c r="BPJ163">
        <v>1</v>
      </c>
      <c r="BPS163">
        <v>1</v>
      </c>
      <c r="BZC163" s="50"/>
      <c r="BZD163" s="50"/>
      <c r="BZE163" s="50"/>
      <c r="BZF163" s="50"/>
      <c r="BZI163">
        <v>1</v>
      </c>
      <c r="BZK163">
        <v>1</v>
      </c>
      <c r="BZL163">
        <v>1</v>
      </c>
      <c r="BZM163">
        <v>1</v>
      </c>
      <c r="BZN163">
        <v>0</v>
      </c>
      <c r="CBI163">
        <v>4000</v>
      </c>
      <c r="CBJ163">
        <v>1</v>
      </c>
      <c r="CBK163">
        <v>1</v>
      </c>
      <c r="CBN163">
        <v>1</v>
      </c>
      <c r="CBO163">
        <v>0</v>
      </c>
      <c r="CBP163">
        <v>0</v>
      </c>
      <c r="CBQ163">
        <v>0</v>
      </c>
      <c r="GTC163">
        <v>1</v>
      </c>
      <c r="GTF163">
        <v>1</v>
      </c>
      <c r="GTG163">
        <v>0</v>
      </c>
      <c r="GTH163">
        <v>0</v>
      </c>
      <c r="GTI163">
        <v>0</v>
      </c>
      <c r="HBW163">
        <v>1</v>
      </c>
      <c r="HBX163">
        <v>1</v>
      </c>
      <c r="HCB163">
        <v>1</v>
      </c>
      <c r="HNR163">
        <v>1</v>
      </c>
    </row>
    <row r="164" spans="1:1004 1027:2042 2057:3070 3073:3994 4123:5065 5127:5801" x14ac:dyDescent="0.25">
      <c r="A164" s="50">
        <v>6015647</v>
      </c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>
        <v>75</v>
      </c>
      <c r="M164" s="50"/>
      <c r="N164" s="50"/>
      <c r="O164" s="50"/>
      <c r="P164" s="50"/>
      <c r="Q164" s="50"/>
      <c r="BC164">
        <v>70</v>
      </c>
      <c r="CM164">
        <v>1.21</v>
      </c>
      <c r="FE164">
        <v>20</v>
      </c>
      <c r="HQ164">
        <v>8010</v>
      </c>
      <c r="HR164">
        <v>8020</v>
      </c>
      <c r="HT164">
        <v>7630</v>
      </c>
      <c r="HW164">
        <v>11410</v>
      </c>
      <c r="HZ164">
        <v>10520</v>
      </c>
      <c r="IE164">
        <v>7250</v>
      </c>
      <c r="IL164">
        <v>9310</v>
      </c>
      <c r="JQ164">
        <v>726</v>
      </c>
      <c r="JR164">
        <v>622</v>
      </c>
      <c r="JS164">
        <v>558</v>
      </c>
      <c r="JT164">
        <v>481</v>
      </c>
      <c r="JU164">
        <v>454</v>
      </c>
      <c r="JW164">
        <v>596</v>
      </c>
      <c r="JX164">
        <v>596</v>
      </c>
      <c r="JZ164">
        <v>688</v>
      </c>
      <c r="KE164">
        <v>516</v>
      </c>
      <c r="KO164">
        <v>67</v>
      </c>
      <c r="LS164">
        <v>400</v>
      </c>
      <c r="LU164" s="23">
        <v>21</v>
      </c>
      <c r="NF164">
        <v>1451</v>
      </c>
      <c r="NG164">
        <v>1218</v>
      </c>
      <c r="NH164">
        <v>1157</v>
      </c>
      <c r="NI164">
        <v>870</v>
      </c>
      <c r="NJ164">
        <v>736</v>
      </c>
      <c r="NL164">
        <v>736</v>
      </c>
      <c r="NM164">
        <v>730</v>
      </c>
      <c r="NO164">
        <v>596</v>
      </c>
      <c r="NT164">
        <v>391</v>
      </c>
      <c r="OD164">
        <v>111</v>
      </c>
      <c r="PJ164">
        <v>15</v>
      </c>
      <c r="PL164">
        <v>23</v>
      </c>
      <c r="QT164">
        <v>142</v>
      </c>
      <c r="QU164">
        <v>123</v>
      </c>
      <c r="QV164">
        <v>126</v>
      </c>
      <c r="QW164">
        <v>122</v>
      </c>
      <c r="QX164">
        <v>128</v>
      </c>
      <c r="QZ164">
        <v>131</v>
      </c>
      <c r="RC164">
        <v>122</v>
      </c>
      <c r="RH164">
        <v>121</v>
      </c>
      <c r="RJ164">
        <v>134</v>
      </c>
      <c r="RV164">
        <v>85</v>
      </c>
      <c r="SF164">
        <v>44</v>
      </c>
      <c r="TL164">
        <v>465</v>
      </c>
      <c r="TM164">
        <v>320</v>
      </c>
      <c r="TN164">
        <v>335</v>
      </c>
      <c r="TP164">
        <v>316</v>
      </c>
      <c r="TU164">
        <v>360</v>
      </c>
      <c r="VN164">
        <v>179</v>
      </c>
      <c r="WE164">
        <v>160</v>
      </c>
      <c r="XM164">
        <v>23</v>
      </c>
      <c r="YN164">
        <v>7.7</v>
      </c>
      <c r="ZT164">
        <v>16</v>
      </c>
      <c r="ZV164">
        <v>15.2</v>
      </c>
      <c r="ZW164">
        <v>14.5</v>
      </c>
      <c r="ZZ164">
        <v>15.2</v>
      </c>
      <c r="AAC164">
        <v>14.7</v>
      </c>
      <c r="AAH164">
        <v>13.5</v>
      </c>
      <c r="AAK164">
        <v>13.6</v>
      </c>
      <c r="ABB164">
        <v>12.8</v>
      </c>
      <c r="ABC164">
        <v>12.8</v>
      </c>
      <c r="ABD164">
        <v>16.899999999999999</v>
      </c>
      <c r="ACE164" s="50"/>
      <c r="ACF164" s="50">
        <v>19.8</v>
      </c>
      <c r="ACG164" s="50">
        <v>12.8</v>
      </c>
      <c r="ACH164" s="50">
        <v>12.8</v>
      </c>
      <c r="ACI164" s="50">
        <v>16.899999999999999</v>
      </c>
      <c r="ACJ164" s="50"/>
      <c r="ACK164" s="50">
        <v>20.2</v>
      </c>
      <c r="ACL164" s="50"/>
      <c r="ACM164" s="50">
        <v>24.1</v>
      </c>
      <c r="ACN164" s="50">
        <v>24.1</v>
      </c>
      <c r="ACO164" s="50"/>
      <c r="ACP164" s="50">
        <v>23.7</v>
      </c>
      <c r="ACQ164" s="50"/>
      <c r="ACR164" s="50"/>
      <c r="ACU164">
        <v>19.8</v>
      </c>
      <c r="AEJ164">
        <v>7.8</v>
      </c>
      <c r="AEK164">
        <v>8.4</v>
      </c>
      <c r="AEL164">
        <v>12.3</v>
      </c>
      <c r="AEN164">
        <v>14</v>
      </c>
      <c r="AEP164">
        <v>16</v>
      </c>
      <c r="AER164">
        <v>17.2</v>
      </c>
      <c r="AGU164">
        <v>293</v>
      </c>
      <c r="AGV164">
        <v>274</v>
      </c>
      <c r="AGW164">
        <v>282</v>
      </c>
      <c r="AGX164">
        <v>280</v>
      </c>
      <c r="AGY164">
        <v>254</v>
      </c>
      <c r="AHA164">
        <v>306</v>
      </c>
      <c r="AHB164">
        <v>217</v>
      </c>
      <c r="AHD164">
        <v>324</v>
      </c>
      <c r="AHI164">
        <v>255</v>
      </c>
      <c r="AJJ164">
        <v>3100</v>
      </c>
      <c r="AKF164">
        <v>0.9</v>
      </c>
      <c r="AKG164">
        <v>0.9</v>
      </c>
      <c r="AKI164">
        <v>0.9</v>
      </c>
      <c r="AKL164">
        <v>1</v>
      </c>
      <c r="AKO164">
        <v>0.8</v>
      </c>
      <c r="AMN164">
        <v>117</v>
      </c>
      <c r="AMO164">
        <v>132</v>
      </c>
      <c r="AMP164">
        <v>161</v>
      </c>
      <c r="AMR164">
        <v>139</v>
      </c>
      <c r="AMV164">
        <v>188</v>
      </c>
      <c r="ANQ164" s="50"/>
      <c r="ANR164" s="50"/>
      <c r="ANS164" s="50"/>
      <c r="ANT164" s="50"/>
      <c r="ANU164" s="50"/>
      <c r="ANV164" s="50"/>
      <c r="ANW164" s="50"/>
      <c r="ANX164" s="50"/>
      <c r="ANY164" s="59">
        <v>13.6</v>
      </c>
      <c r="ANZ164" s="50">
        <v>16</v>
      </c>
      <c r="AOA164" s="50"/>
      <c r="AOB164">
        <v>15</v>
      </c>
      <c r="AOC164">
        <v>15</v>
      </c>
      <c r="AOE164">
        <v>15.2</v>
      </c>
      <c r="AOH164">
        <v>21</v>
      </c>
      <c r="APL164">
        <v>16.399999999999999</v>
      </c>
      <c r="APM164">
        <v>14</v>
      </c>
      <c r="APO164">
        <v>16</v>
      </c>
      <c r="APQ164">
        <v>18.600000000000001</v>
      </c>
      <c r="APS164">
        <v>18</v>
      </c>
      <c r="AQM164">
        <v>2.8</v>
      </c>
      <c r="ARK164">
        <v>5440000</v>
      </c>
      <c r="ARM164">
        <v>5160000</v>
      </c>
      <c r="ARN164">
        <v>4790000</v>
      </c>
      <c r="ARQ164">
        <v>5210000</v>
      </c>
      <c r="ART164">
        <v>5060000</v>
      </c>
      <c r="ARY164">
        <v>4420000</v>
      </c>
      <c r="ASB164">
        <v>4380000</v>
      </c>
      <c r="ASV164">
        <v>227000</v>
      </c>
      <c r="ASX164">
        <v>220000</v>
      </c>
      <c r="ASY164">
        <v>179000</v>
      </c>
      <c r="ATB164">
        <v>180000</v>
      </c>
      <c r="ATE164">
        <v>148000</v>
      </c>
      <c r="ATJ164">
        <v>246000</v>
      </c>
      <c r="ATQ164">
        <v>242000</v>
      </c>
      <c r="AVC164">
        <v>0.4</v>
      </c>
      <c r="AVW164">
        <v>68.2</v>
      </c>
      <c r="AWS164">
        <v>0.5</v>
      </c>
      <c r="AXG164">
        <v>37</v>
      </c>
      <c r="AXI164">
        <v>33.9</v>
      </c>
      <c r="BAL164">
        <v>47.7</v>
      </c>
      <c r="BAN164">
        <v>45.9</v>
      </c>
      <c r="BAO164">
        <v>43.8</v>
      </c>
      <c r="BAR164">
        <v>45.3</v>
      </c>
      <c r="BAU164">
        <v>43.9</v>
      </c>
      <c r="BAY164">
        <v>42</v>
      </c>
      <c r="BBF164">
        <v>40</v>
      </c>
      <c r="BCD164">
        <v>87.7</v>
      </c>
      <c r="BCF164">
        <v>89</v>
      </c>
      <c r="BCG164">
        <v>88.1</v>
      </c>
      <c r="BCJ164">
        <v>86.9</v>
      </c>
      <c r="BCL164">
        <v>86.8</v>
      </c>
      <c r="BCO164">
        <v>94.1</v>
      </c>
      <c r="BCS164">
        <v>91.6</v>
      </c>
      <c r="BDJ164">
        <v>29.4</v>
      </c>
      <c r="BDL164">
        <v>29.5</v>
      </c>
      <c r="BDM164">
        <v>29.2</v>
      </c>
      <c r="BDP164">
        <v>29.1</v>
      </c>
      <c r="BDU164">
        <v>30.5</v>
      </c>
      <c r="BDW164">
        <v>31.1</v>
      </c>
      <c r="BEM164">
        <v>33.5</v>
      </c>
      <c r="BEO164">
        <v>33.1</v>
      </c>
      <c r="BEP164">
        <v>33.1</v>
      </c>
      <c r="BES164">
        <v>33.6</v>
      </c>
      <c r="BEU164">
        <v>33.5</v>
      </c>
      <c r="BEX164">
        <v>32.5</v>
      </c>
      <c r="BFA164">
        <v>33.9</v>
      </c>
      <c r="BHE164">
        <v>140</v>
      </c>
      <c r="BHW164">
        <v>3.97</v>
      </c>
      <c r="BHX164">
        <v>4</v>
      </c>
      <c r="BHZ164">
        <v>4.0999999999999996</v>
      </c>
      <c r="BIA164">
        <v>4.59</v>
      </c>
      <c r="BIC164">
        <v>3.98</v>
      </c>
      <c r="BIF164">
        <v>4.2</v>
      </c>
      <c r="BIK164">
        <v>4</v>
      </c>
      <c r="BIZ164">
        <v>2.33</v>
      </c>
      <c r="BJC164">
        <v>2.2999999999999998</v>
      </c>
      <c r="BJD164">
        <v>2.2000000000000002</v>
      </c>
      <c r="BJF164">
        <v>2.2999999999999998</v>
      </c>
      <c r="BJI164">
        <v>2.2999999999999998</v>
      </c>
      <c r="BKK164">
        <v>36.4</v>
      </c>
      <c r="BKM164">
        <v>24.7</v>
      </c>
      <c r="BKT164" s="50"/>
      <c r="BKU164" s="50"/>
      <c r="BKV164" s="50"/>
      <c r="BKW164" s="50"/>
      <c r="BKX164" s="50"/>
      <c r="BKY164" s="50"/>
      <c r="BKZ164" s="50"/>
      <c r="BLA164" s="50"/>
      <c r="BLB164" s="50"/>
      <c r="BLW164">
        <v>110</v>
      </c>
      <c r="BMV164">
        <v>7550</v>
      </c>
      <c r="BMX164">
        <v>6460</v>
      </c>
      <c r="BPE164">
        <v>24</v>
      </c>
      <c r="BPG164">
        <v>1</v>
      </c>
      <c r="BPH164">
        <v>27.44</v>
      </c>
      <c r="BPJ164">
        <v>1</v>
      </c>
      <c r="BPS164">
        <v>1</v>
      </c>
      <c r="BXQ164">
        <v>1</v>
      </c>
      <c r="BXV164">
        <v>1</v>
      </c>
      <c r="BZC164" s="50"/>
      <c r="BZD164" s="50"/>
      <c r="BZE164" s="50"/>
      <c r="BZF164" s="50"/>
      <c r="BZI164">
        <v>1</v>
      </c>
      <c r="CIO164">
        <v>1</v>
      </c>
      <c r="CIS164">
        <v>1</v>
      </c>
      <c r="CIT164">
        <v>81</v>
      </c>
      <c r="CIU164">
        <v>81</v>
      </c>
      <c r="CIV164">
        <v>0</v>
      </c>
      <c r="DCR164">
        <v>1</v>
      </c>
      <c r="DCS164">
        <v>1</v>
      </c>
      <c r="DCT164">
        <v>81</v>
      </c>
      <c r="DCU164">
        <v>81</v>
      </c>
      <c r="DCV164">
        <v>0</v>
      </c>
      <c r="DXV164">
        <v>1</v>
      </c>
      <c r="EAO164">
        <v>1</v>
      </c>
      <c r="GCN164">
        <v>1</v>
      </c>
      <c r="GCO164">
        <v>999</v>
      </c>
      <c r="GWP164">
        <v>1</v>
      </c>
      <c r="GZE164">
        <v>1</v>
      </c>
      <c r="HCA164">
        <v>1</v>
      </c>
      <c r="HCB164">
        <v>1</v>
      </c>
      <c r="HNR164">
        <v>1</v>
      </c>
    </row>
    <row r="165" spans="1:1004 1027:2042 2057:3070 3073:3994 4123:5065 5127:5801" x14ac:dyDescent="0.25">
      <c r="A165" s="50">
        <v>6056633</v>
      </c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HP165">
        <v>11500</v>
      </c>
      <c r="NC165">
        <v>88</v>
      </c>
      <c r="NI165">
        <v>82</v>
      </c>
      <c r="NW165">
        <v>25</v>
      </c>
      <c r="QQ165">
        <v>211</v>
      </c>
      <c r="QW165">
        <v>271</v>
      </c>
      <c r="RK165">
        <v>40.5</v>
      </c>
      <c r="TO165">
        <v>226</v>
      </c>
      <c r="UB165">
        <v>383</v>
      </c>
      <c r="ZS165" s="50"/>
      <c r="ABA165">
        <v>1.1000000000000001</v>
      </c>
      <c r="ACE165" s="50"/>
      <c r="ACF165" s="50"/>
      <c r="ACG165" s="50"/>
      <c r="ACH165" s="50"/>
      <c r="ACI165" s="50"/>
      <c r="ACJ165" s="50"/>
      <c r="ACK165" s="50"/>
      <c r="ACL165" s="50"/>
      <c r="ACM165" s="50"/>
      <c r="ACN165" s="50"/>
      <c r="ACO165" s="50"/>
      <c r="ACP165" s="50"/>
      <c r="ACQ165" s="50"/>
      <c r="ACR165" s="50"/>
      <c r="AGR165">
        <v>180</v>
      </c>
      <c r="AGX165">
        <v>300</v>
      </c>
      <c r="AHL165">
        <v>122.5</v>
      </c>
      <c r="ASU165">
        <v>676000</v>
      </c>
      <c r="BKT165" s="50"/>
      <c r="BKU165" s="50"/>
      <c r="BKV165" s="50"/>
      <c r="BKW165" s="50"/>
      <c r="BKX165" s="50"/>
      <c r="BKY165" s="50"/>
      <c r="BKZ165" s="50"/>
      <c r="BLA165" s="50"/>
      <c r="BLB165" s="50"/>
      <c r="BPE165">
        <v>44</v>
      </c>
      <c r="BPF165">
        <v>1</v>
      </c>
      <c r="BPJ165">
        <v>1</v>
      </c>
      <c r="BPK165">
        <v>18</v>
      </c>
      <c r="BPP165">
        <v>1</v>
      </c>
      <c r="BQD165">
        <v>1</v>
      </c>
      <c r="BZC165" s="50"/>
      <c r="BZD165" s="50"/>
      <c r="BZE165" s="50">
        <v>200</v>
      </c>
      <c r="BZF165" s="50">
        <v>1</v>
      </c>
      <c r="BZI165">
        <v>1</v>
      </c>
      <c r="CUT165">
        <v>1</v>
      </c>
      <c r="FBO165" s="35">
        <v>999</v>
      </c>
      <c r="FBP165">
        <v>2</v>
      </c>
      <c r="FBQ165">
        <v>0</v>
      </c>
      <c r="FBR165">
        <v>999</v>
      </c>
      <c r="GWH165">
        <v>1</v>
      </c>
      <c r="GWS165">
        <v>1</v>
      </c>
      <c r="GWV165">
        <v>1</v>
      </c>
      <c r="GXA165">
        <v>1</v>
      </c>
      <c r="GXF165">
        <v>1</v>
      </c>
      <c r="GXJ165">
        <v>1</v>
      </c>
      <c r="GXM165">
        <v>1</v>
      </c>
      <c r="GYE165">
        <v>1</v>
      </c>
      <c r="GYK165">
        <v>1</v>
      </c>
      <c r="GYN165">
        <v>1</v>
      </c>
      <c r="GYO165">
        <v>1</v>
      </c>
      <c r="GYP165">
        <v>1</v>
      </c>
      <c r="GYU165">
        <v>1</v>
      </c>
      <c r="GYV165">
        <v>1</v>
      </c>
      <c r="GYZ165">
        <v>1</v>
      </c>
      <c r="HBV165">
        <v>1</v>
      </c>
    </row>
    <row r="166" spans="1:1004 1027:2042 2057:3070 3073:3994 4123:5065 5127:5801" x14ac:dyDescent="0.25">
      <c r="A166" s="50">
        <v>7086224</v>
      </c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BM166">
        <v>83.8</v>
      </c>
      <c r="CW166">
        <v>1.19</v>
      </c>
      <c r="EQ166">
        <v>30.1</v>
      </c>
      <c r="GQ166">
        <v>314</v>
      </c>
      <c r="IA166">
        <v>7300</v>
      </c>
      <c r="KA166">
        <v>1463.4</v>
      </c>
      <c r="KF166">
        <v>1153.8</v>
      </c>
      <c r="KN166">
        <v>210</v>
      </c>
      <c r="KS166">
        <v>112.2</v>
      </c>
      <c r="NP166">
        <v>1855.8</v>
      </c>
      <c r="NU166">
        <v>1438.8</v>
      </c>
      <c r="OC166">
        <v>338.4</v>
      </c>
      <c r="OH166">
        <v>187.8</v>
      </c>
      <c r="RD166">
        <v>378.6</v>
      </c>
      <c r="RI166" s="3">
        <v>454.2</v>
      </c>
      <c r="RQ166" s="3">
        <v>247.2</v>
      </c>
      <c r="RT166">
        <v>181.2</v>
      </c>
      <c r="AAD166">
        <v>13.29</v>
      </c>
      <c r="ACE166" s="50"/>
      <c r="ACF166" s="50"/>
      <c r="ACG166" s="50"/>
      <c r="ACH166" s="50"/>
      <c r="ACI166" s="50"/>
      <c r="ACJ166" s="50"/>
      <c r="ACK166" s="50"/>
      <c r="ACL166" s="50"/>
      <c r="ACM166" s="50"/>
      <c r="ACN166" s="50"/>
      <c r="ACO166" s="50"/>
      <c r="ACP166" s="50"/>
      <c r="ACQ166" s="50">
        <v>0.69340000000000002</v>
      </c>
      <c r="ACR166" s="50"/>
      <c r="ACV166" s="3">
        <v>1.9965999999999999</v>
      </c>
      <c r="ADD166">
        <v>0.64929999999999999</v>
      </c>
      <c r="ADG166">
        <v>0.46150000000000002</v>
      </c>
      <c r="AES166">
        <v>0.55989999999999995</v>
      </c>
      <c r="AEV166" s="3">
        <v>1.3573999999999999</v>
      </c>
      <c r="AFB166">
        <v>0.44340000000000002</v>
      </c>
      <c r="AFD166">
        <v>0.32240000000000002</v>
      </c>
      <c r="AFX166">
        <v>5.9</v>
      </c>
      <c r="AHE166">
        <v>196.2</v>
      </c>
      <c r="AHJ166" s="3">
        <v>178.2</v>
      </c>
      <c r="AHR166" t="s">
        <v>2266</v>
      </c>
      <c r="AHY166">
        <v>116.4</v>
      </c>
      <c r="AKP166">
        <v>0.82579999999999998</v>
      </c>
      <c r="AKY166" s="3">
        <v>1.1425000000000001</v>
      </c>
      <c r="APT166" s="3">
        <v>58.822400000000002</v>
      </c>
      <c r="ATF166">
        <v>245000</v>
      </c>
      <c r="AUN166">
        <v>24</v>
      </c>
      <c r="AXR166">
        <v>29.6</v>
      </c>
      <c r="BAV166">
        <v>40</v>
      </c>
      <c r="BBE166">
        <v>35</v>
      </c>
      <c r="BCM166">
        <v>92.6</v>
      </c>
      <c r="BHA166">
        <v>138</v>
      </c>
      <c r="BIG166">
        <v>5</v>
      </c>
      <c r="BJJ166">
        <v>2.2799999999999998</v>
      </c>
      <c r="BJN166">
        <v>2.14</v>
      </c>
      <c r="BKE166">
        <v>111</v>
      </c>
      <c r="BKT166" s="50"/>
      <c r="BKU166" s="50"/>
      <c r="BKV166" s="50"/>
      <c r="BKW166" s="50"/>
      <c r="BKX166" s="50"/>
      <c r="BKY166" s="50"/>
      <c r="BKZ166" s="50"/>
      <c r="BLA166" s="50"/>
      <c r="BLB166" s="50"/>
      <c r="BPE166">
        <v>50</v>
      </c>
      <c r="BPG166">
        <v>1</v>
      </c>
      <c r="BPH166">
        <v>47.05</v>
      </c>
      <c r="BPK166">
        <v>29</v>
      </c>
      <c r="BQD166">
        <v>1</v>
      </c>
      <c r="BQU166">
        <v>1</v>
      </c>
      <c r="BQW166">
        <v>1</v>
      </c>
      <c r="BSC166">
        <v>1</v>
      </c>
      <c r="BSD166">
        <v>1</v>
      </c>
      <c r="BSG166">
        <v>1</v>
      </c>
      <c r="BSL166">
        <v>1</v>
      </c>
      <c r="BSZ166">
        <v>1</v>
      </c>
      <c r="BUH166">
        <v>1</v>
      </c>
      <c r="BVH166">
        <v>1</v>
      </c>
      <c r="BVR166">
        <v>1</v>
      </c>
      <c r="BXC166">
        <v>1</v>
      </c>
      <c r="BYP166">
        <v>1</v>
      </c>
      <c r="BZC166" s="50"/>
      <c r="BZD166" s="50"/>
      <c r="BZE166" s="50">
        <v>1600</v>
      </c>
      <c r="BZF166" s="50">
        <v>1</v>
      </c>
      <c r="BZI166">
        <v>1</v>
      </c>
      <c r="BZK166">
        <v>74</v>
      </c>
      <c r="BZL166">
        <v>62</v>
      </c>
      <c r="BZM166">
        <v>0</v>
      </c>
      <c r="BZN166">
        <v>11</v>
      </c>
      <c r="CED166">
        <v>300</v>
      </c>
      <c r="CEE166">
        <v>1</v>
      </c>
      <c r="CEH166">
        <v>1</v>
      </c>
      <c r="CEI166">
        <v>75</v>
      </c>
      <c r="CEJ166">
        <v>62</v>
      </c>
      <c r="CEK166">
        <v>0</v>
      </c>
      <c r="CEL166">
        <v>12</v>
      </c>
      <c r="DDC166">
        <v>1</v>
      </c>
      <c r="DDD166">
        <v>36</v>
      </c>
      <c r="DDE166">
        <v>27</v>
      </c>
      <c r="DDF166">
        <v>0</v>
      </c>
      <c r="DDG166">
        <v>9</v>
      </c>
      <c r="DDT166">
        <v>10</v>
      </c>
      <c r="DDU166">
        <v>1</v>
      </c>
      <c r="DDX166">
        <v>1</v>
      </c>
      <c r="DDY166" s="35">
        <v>999</v>
      </c>
      <c r="DDZ166">
        <v>67</v>
      </c>
      <c r="DEA166">
        <v>0</v>
      </c>
      <c r="DEB166">
        <v>999</v>
      </c>
      <c r="DGL166">
        <v>5</v>
      </c>
      <c r="DGM166">
        <v>1</v>
      </c>
      <c r="DGP166">
        <v>1</v>
      </c>
      <c r="DGQ166">
        <v>427</v>
      </c>
      <c r="DGR166">
        <v>417</v>
      </c>
      <c r="DGS166">
        <v>0</v>
      </c>
      <c r="DGT166">
        <v>10</v>
      </c>
      <c r="DNA166">
        <v>2.5</v>
      </c>
      <c r="DNB166">
        <v>1</v>
      </c>
      <c r="DNE166">
        <v>1</v>
      </c>
      <c r="DNF166">
        <v>26</v>
      </c>
      <c r="DNG166">
        <v>52</v>
      </c>
      <c r="DNH166">
        <v>28</v>
      </c>
      <c r="DNI166">
        <v>0</v>
      </c>
      <c r="EMC166">
        <v>80</v>
      </c>
      <c r="EMD166">
        <v>1</v>
      </c>
      <c r="EMG166">
        <v>1</v>
      </c>
      <c r="EMH166" s="35">
        <v>999</v>
      </c>
      <c r="EMI166">
        <v>732</v>
      </c>
      <c r="EMJ166">
        <v>0</v>
      </c>
      <c r="EMK166">
        <v>999</v>
      </c>
      <c r="FYW166">
        <v>25</v>
      </c>
      <c r="FYX166">
        <v>1</v>
      </c>
      <c r="FZA166">
        <v>1</v>
      </c>
      <c r="FZB166" s="35">
        <v>999</v>
      </c>
      <c r="FZC166">
        <v>999</v>
      </c>
      <c r="FZD166">
        <v>0</v>
      </c>
      <c r="FZE166">
        <v>999</v>
      </c>
      <c r="GEZ166">
        <v>1</v>
      </c>
      <c r="GFA166" s="35">
        <v>999</v>
      </c>
      <c r="GFB166">
        <v>999</v>
      </c>
      <c r="GFC166">
        <v>0</v>
      </c>
      <c r="GFD166">
        <v>999</v>
      </c>
      <c r="GWU166">
        <v>1</v>
      </c>
      <c r="GXP166">
        <v>1</v>
      </c>
      <c r="GYA166">
        <v>1</v>
      </c>
      <c r="GYG166">
        <v>1</v>
      </c>
      <c r="GZQ166">
        <v>1</v>
      </c>
      <c r="HAH166">
        <v>1</v>
      </c>
      <c r="HBW166">
        <v>1</v>
      </c>
      <c r="HCA166">
        <v>1</v>
      </c>
      <c r="HCB166">
        <v>1</v>
      </c>
      <c r="HEB166">
        <v>1</v>
      </c>
      <c r="HMQ166">
        <v>1</v>
      </c>
      <c r="HMS166">
        <v>1</v>
      </c>
    </row>
    <row r="167" spans="1:1004 1027:2042 2057:3070 3073:3994 4123:5065 5127:5801" x14ac:dyDescent="0.25">
      <c r="A167" s="50">
        <v>8040959</v>
      </c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JO167">
        <v>543.1</v>
      </c>
      <c r="ND167">
        <v>1375</v>
      </c>
      <c r="QR167">
        <v>778.1</v>
      </c>
      <c r="ACE167" s="50"/>
      <c r="ACF167" s="50"/>
      <c r="ACG167" s="50"/>
      <c r="ACH167" s="50"/>
      <c r="ACI167" s="50"/>
      <c r="ACJ167" s="50"/>
      <c r="ACK167" s="50"/>
      <c r="ACL167" s="50"/>
      <c r="ACM167" s="50"/>
      <c r="ACN167" s="50"/>
      <c r="ACO167" s="50"/>
      <c r="ACP167" s="50"/>
      <c r="ACQ167" s="50"/>
      <c r="ACR167" s="50"/>
      <c r="BKT167" s="50"/>
      <c r="BKU167" s="50"/>
      <c r="BKV167" s="50"/>
      <c r="BKW167" s="50"/>
      <c r="BKX167" s="50"/>
      <c r="BKY167" s="50"/>
      <c r="BKZ167" s="50"/>
      <c r="BLA167" s="50"/>
      <c r="BLB167" s="50"/>
      <c r="BPE167">
        <v>40</v>
      </c>
      <c r="BPF167">
        <v>1</v>
      </c>
      <c r="BPH167">
        <v>37.979999999999997</v>
      </c>
      <c r="BQU167">
        <v>1</v>
      </c>
      <c r="BZC167" s="50"/>
      <c r="BZD167" s="50"/>
      <c r="BZE167" s="50">
        <v>2400</v>
      </c>
      <c r="BZF167" s="50">
        <v>1</v>
      </c>
      <c r="BZK167">
        <v>30</v>
      </c>
      <c r="BZL167">
        <v>36</v>
      </c>
      <c r="BZM167">
        <v>7</v>
      </c>
      <c r="BZN167">
        <v>0</v>
      </c>
      <c r="CBN167" s="35">
        <v>999</v>
      </c>
      <c r="CBO167">
        <v>50</v>
      </c>
      <c r="CBP167">
        <v>0</v>
      </c>
      <c r="CBQ167">
        <v>999</v>
      </c>
      <c r="EMC167">
        <v>40</v>
      </c>
      <c r="EMD167">
        <v>1</v>
      </c>
      <c r="EMH167" s="35">
        <v>999</v>
      </c>
      <c r="EMI167">
        <v>153</v>
      </c>
      <c r="EMJ167">
        <v>0</v>
      </c>
      <c r="EMK167">
        <v>999</v>
      </c>
      <c r="FLM167">
        <v>75</v>
      </c>
      <c r="FLN167">
        <v>1</v>
      </c>
      <c r="FLR167" s="35">
        <v>999</v>
      </c>
      <c r="FLS167">
        <v>76</v>
      </c>
      <c r="FLT167">
        <v>0</v>
      </c>
      <c r="FLU167">
        <v>999</v>
      </c>
      <c r="GAV167">
        <v>75</v>
      </c>
      <c r="GAW167">
        <v>2</v>
      </c>
      <c r="GBA167" s="35">
        <v>999</v>
      </c>
      <c r="GBB167">
        <v>153</v>
      </c>
      <c r="GBC167">
        <v>0</v>
      </c>
      <c r="GBD167">
        <v>999</v>
      </c>
      <c r="HDF167">
        <v>1</v>
      </c>
    </row>
    <row r="168" spans="1:1004 1027:2042 2057:3070 3073:3994 4123:5065 5127:5801" x14ac:dyDescent="0.25">
      <c r="A168" s="50">
        <v>8107048</v>
      </c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CM168">
        <v>0.92</v>
      </c>
      <c r="JQ168">
        <v>570</v>
      </c>
      <c r="KA168">
        <v>276</v>
      </c>
      <c r="NF168">
        <v>1012.2</v>
      </c>
      <c r="NP168" t="s">
        <v>2278</v>
      </c>
      <c r="QT168">
        <v>312</v>
      </c>
      <c r="RD168">
        <v>271.2</v>
      </c>
      <c r="TL168">
        <v>292.8</v>
      </c>
      <c r="ACE168" s="50"/>
      <c r="ACF168" s="50"/>
      <c r="ACG168" s="50"/>
      <c r="ACH168" s="50"/>
      <c r="ACI168" s="50"/>
      <c r="ACJ168" s="50"/>
      <c r="ACK168" s="50"/>
      <c r="ACL168" s="50"/>
      <c r="ACM168" s="50"/>
      <c r="ACN168" s="50"/>
      <c r="ACO168" s="50"/>
      <c r="ACP168" s="50"/>
      <c r="ACQ168" s="50"/>
      <c r="ACR168" s="50"/>
      <c r="ARK168" s="3">
        <v>41900000000</v>
      </c>
      <c r="BKT168" s="50">
        <v>379</v>
      </c>
      <c r="BKU168" s="50"/>
      <c r="BKV168" s="50"/>
      <c r="BKW168" s="50"/>
      <c r="BKX168" s="50"/>
      <c r="BKY168" s="50"/>
      <c r="BKZ168" s="50"/>
      <c r="BLA168" s="50"/>
      <c r="BLB168" s="50"/>
      <c r="BLL168">
        <v>6.52</v>
      </c>
      <c r="BPE168">
        <v>56</v>
      </c>
      <c r="BPF168">
        <v>1</v>
      </c>
      <c r="BPJ168">
        <v>1</v>
      </c>
      <c r="BPM168">
        <v>1</v>
      </c>
      <c r="BQY168">
        <v>1</v>
      </c>
      <c r="BSF168">
        <v>1</v>
      </c>
      <c r="BSZ168">
        <v>1</v>
      </c>
      <c r="BTE168">
        <v>1</v>
      </c>
      <c r="BVS168">
        <v>1</v>
      </c>
      <c r="BZC168" s="50"/>
      <c r="BZD168" s="50"/>
      <c r="BZE168" s="50"/>
      <c r="BZF168" s="50"/>
      <c r="BZK168">
        <v>999</v>
      </c>
      <c r="BZL168">
        <v>999</v>
      </c>
      <c r="DDC168">
        <v>1</v>
      </c>
      <c r="DDD168" s="35">
        <v>999</v>
      </c>
      <c r="DDE168">
        <v>999</v>
      </c>
      <c r="DDF168">
        <v>0</v>
      </c>
      <c r="DDG168">
        <v>999</v>
      </c>
      <c r="DIN168">
        <v>1</v>
      </c>
      <c r="DIO168" s="35">
        <v>999</v>
      </c>
      <c r="DIP168">
        <v>999</v>
      </c>
      <c r="DIQ168">
        <v>0</v>
      </c>
      <c r="DIR168">
        <v>999</v>
      </c>
      <c r="DKW168">
        <v>1</v>
      </c>
      <c r="DKX168" s="35">
        <v>999</v>
      </c>
      <c r="DKY168">
        <v>999</v>
      </c>
      <c r="DKZ168">
        <v>0</v>
      </c>
      <c r="DLA168">
        <v>999</v>
      </c>
      <c r="EBY168">
        <v>1</v>
      </c>
      <c r="EBZ168" s="15">
        <v>999</v>
      </c>
      <c r="ECA168">
        <v>999</v>
      </c>
      <c r="FTU168" s="35">
        <v>999</v>
      </c>
      <c r="FTV168">
        <v>580</v>
      </c>
      <c r="FTW168">
        <v>0</v>
      </c>
      <c r="FTX168">
        <v>999</v>
      </c>
      <c r="GOE168" s="50">
        <v>50</v>
      </c>
      <c r="GOF168">
        <v>0.14000000000000001</v>
      </c>
      <c r="GOH168">
        <v>1</v>
      </c>
      <c r="GOK168">
        <v>79</v>
      </c>
      <c r="GOL168">
        <v>72</v>
      </c>
      <c r="GOM168">
        <v>14</v>
      </c>
      <c r="GON168">
        <v>0</v>
      </c>
      <c r="GQG168">
        <v>10</v>
      </c>
      <c r="GQH168">
        <v>0.14000000000000001</v>
      </c>
      <c r="GQL168" s="35">
        <v>999</v>
      </c>
      <c r="GQM168">
        <v>999</v>
      </c>
      <c r="GQN168">
        <v>0</v>
      </c>
      <c r="GQO168">
        <v>999</v>
      </c>
      <c r="HCA168">
        <v>1</v>
      </c>
    </row>
    <row r="169" spans="1:1004 1027:2042 2057:3070 3073:3994 4123:5065 5127:5801" x14ac:dyDescent="0.25">
      <c r="A169" s="50">
        <v>8124044</v>
      </c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JQ169">
        <v>199</v>
      </c>
      <c r="KB169">
        <v>1002</v>
      </c>
      <c r="KE169">
        <v>1378</v>
      </c>
      <c r="KI169">
        <v>510</v>
      </c>
      <c r="KL169">
        <v>160</v>
      </c>
      <c r="KQ169">
        <v>60</v>
      </c>
      <c r="LC169">
        <v>1002</v>
      </c>
      <c r="LE169">
        <v>1378</v>
      </c>
      <c r="LG169">
        <v>1194</v>
      </c>
      <c r="LH169">
        <v>501</v>
      </c>
      <c r="LJ169">
        <v>160</v>
      </c>
      <c r="LM169">
        <v>144</v>
      </c>
      <c r="NF169">
        <v>392</v>
      </c>
      <c r="NQ169">
        <v>685</v>
      </c>
      <c r="NT169">
        <v>924</v>
      </c>
      <c r="NX169">
        <v>742</v>
      </c>
      <c r="OA169">
        <v>346</v>
      </c>
      <c r="OF169">
        <v>108</v>
      </c>
      <c r="OS169">
        <v>685</v>
      </c>
      <c r="OU169">
        <v>924</v>
      </c>
      <c r="OV169">
        <v>826</v>
      </c>
      <c r="OW169">
        <v>913</v>
      </c>
      <c r="OX169">
        <v>742</v>
      </c>
      <c r="OZ169">
        <v>346</v>
      </c>
      <c r="PC169">
        <v>244</v>
      </c>
      <c r="SE169">
        <v>766</v>
      </c>
      <c r="SG169">
        <v>741</v>
      </c>
      <c r="SK169">
        <v>390</v>
      </c>
      <c r="ACE169" s="50"/>
      <c r="ACF169" s="50"/>
      <c r="ACG169" s="50">
        <v>0.8</v>
      </c>
      <c r="ACH169" s="50"/>
      <c r="ACI169" s="50"/>
      <c r="ACJ169" s="50"/>
      <c r="ACK169" s="50"/>
      <c r="ACL169" s="50"/>
      <c r="ACM169" s="50"/>
      <c r="ACN169" s="50"/>
      <c r="ACO169" s="50"/>
      <c r="ACP169" s="50"/>
      <c r="ACQ169" s="50"/>
      <c r="ACR169" s="50"/>
      <c r="ADN169">
        <v>0.76</v>
      </c>
      <c r="ADP169">
        <v>0.76</v>
      </c>
      <c r="ADS169">
        <v>0.53</v>
      </c>
      <c r="ADU169">
        <v>0.49</v>
      </c>
      <c r="ADX169">
        <v>0.52</v>
      </c>
      <c r="AIF169">
        <v>369</v>
      </c>
      <c r="AIH169">
        <v>405</v>
      </c>
      <c r="AIL169">
        <v>195</v>
      </c>
      <c r="ANJ169">
        <v>721</v>
      </c>
      <c r="ANK169">
        <v>53</v>
      </c>
      <c r="BKT169" s="50"/>
      <c r="BKU169" s="50"/>
      <c r="BKV169" s="50"/>
      <c r="BKW169" s="50"/>
      <c r="BKX169" s="50"/>
      <c r="BKY169" s="50"/>
      <c r="BKZ169" s="50"/>
      <c r="BLA169" s="50"/>
      <c r="BLB169" s="50"/>
      <c r="BPE169">
        <v>19</v>
      </c>
      <c r="BPF169">
        <v>1</v>
      </c>
      <c r="BPH169">
        <v>23.39</v>
      </c>
      <c r="BPJ169">
        <v>1</v>
      </c>
      <c r="BPM169">
        <v>1</v>
      </c>
      <c r="BQD169">
        <v>1</v>
      </c>
      <c r="BQX169">
        <v>1</v>
      </c>
      <c r="BQY169">
        <v>1</v>
      </c>
      <c r="BRY169">
        <v>1</v>
      </c>
      <c r="BUV169">
        <v>1</v>
      </c>
      <c r="BZC169" s="50"/>
      <c r="BZD169" s="50"/>
      <c r="BZE169" s="50">
        <v>800</v>
      </c>
      <c r="BZF169" s="50">
        <v>4</v>
      </c>
      <c r="BZI169">
        <v>1</v>
      </c>
      <c r="BZK169">
        <v>48</v>
      </c>
      <c r="BZL169">
        <v>9</v>
      </c>
      <c r="BZM169">
        <v>0</v>
      </c>
      <c r="BZN169">
        <v>38</v>
      </c>
      <c r="CAC169">
        <v>100</v>
      </c>
      <c r="CAD169">
        <v>1</v>
      </c>
      <c r="CAG169">
        <v>1</v>
      </c>
      <c r="CAH169">
        <v>244</v>
      </c>
      <c r="CAI169">
        <v>305</v>
      </c>
      <c r="CAJ169">
        <v>9</v>
      </c>
      <c r="CAK169">
        <v>0</v>
      </c>
      <c r="EFM169" s="50">
        <v>60</v>
      </c>
      <c r="EFN169">
        <v>1</v>
      </c>
      <c r="EFQ169">
        <v>1</v>
      </c>
      <c r="EFS169" s="35">
        <v>999</v>
      </c>
      <c r="EFT169">
        <v>999</v>
      </c>
      <c r="EFU169">
        <v>0</v>
      </c>
      <c r="EFV169">
        <v>999</v>
      </c>
      <c r="GWQ169">
        <v>1</v>
      </c>
      <c r="GYA169">
        <v>1</v>
      </c>
      <c r="GZD169">
        <v>1</v>
      </c>
      <c r="HCA169">
        <v>1</v>
      </c>
    </row>
    <row r="170" spans="1:1004 1027:2042 2057:3070 3073:3994 4123:5065 5127:5801" x14ac:dyDescent="0.25">
      <c r="A170" s="50">
        <v>8142949</v>
      </c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JZ170">
        <v>309</v>
      </c>
      <c r="KB170">
        <v>369</v>
      </c>
      <c r="KF170">
        <v>261</v>
      </c>
      <c r="KN170">
        <v>39</v>
      </c>
      <c r="NO170">
        <v>592</v>
      </c>
      <c r="NQ170">
        <v>710</v>
      </c>
      <c r="NU170">
        <v>582</v>
      </c>
      <c r="OC170">
        <v>149</v>
      </c>
      <c r="ACE170" s="50"/>
      <c r="ACF170" s="50"/>
      <c r="ACG170" s="50"/>
      <c r="ACH170" s="50"/>
      <c r="ACI170" s="50"/>
      <c r="ACJ170" s="50"/>
      <c r="ACK170" s="50"/>
      <c r="ACL170" s="50"/>
      <c r="ACM170" s="50"/>
      <c r="ACN170" s="50"/>
      <c r="ACO170" s="50"/>
      <c r="ACP170" s="50">
        <v>4.49</v>
      </c>
      <c r="ACQ170" s="50"/>
      <c r="ACR170" s="50">
        <v>6.3</v>
      </c>
      <c r="ACV170">
        <v>3</v>
      </c>
      <c r="ADD170">
        <v>1.1000000000000001</v>
      </c>
      <c r="BKT170" s="50"/>
      <c r="BKU170" s="50"/>
      <c r="BKV170" s="50"/>
      <c r="BKW170" s="50"/>
      <c r="BKX170" s="50"/>
      <c r="BKY170" s="50"/>
      <c r="BKZ170" s="50"/>
      <c r="BLA170" s="50"/>
      <c r="BLB170" s="50"/>
      <c r="BPE170">
        <v>37</v>
      </c>
      <c r="BPG170">
        <v>1</v>
      </c>
      <c r="BPH170">
        <v>17.149999999999999</v>
      </c>
      <c r="BPJ170">
        <v>1</v>
      </c>
      <c r="BPK170">
        <v>122</v>
      </c>
      <c r="BQD170">
        <v>1</v>
      </c>
      <c r="BYI170">
        <v>1</v>
      </c>
      <c r="BYM170">
        <v>1</v>
      </c>
      <c r="BZC170" s="50"/>
      <c r="BZD170" s="50"/>
      <c r="BZE170" s="50">
        <v>400</v>
      </c>
      <c r="BZF170" s="50">
        <v>3</v>
      </c>
      <c r="BZI170">
        <v>1</v>
      </c>
      <c r="BZK170">
        <v>19</v>
      </c>
      <c r="BZL170">
        <v>18</v>
      </c>
      <c r="BZM170">
        <v>0</v>
      </c>
      <c r="BZN170">
        <v>0</v>
      </c>
      <c r="CBI170">
        <v>750</v>
      </c>
      <c r="CBJ170">
        <v>1</v>
      </c>
      <c r="CBM170">
        <v>1</v>
      </c>
      <c r="CBN170">
        <v>15</v>
      </c>
      <c r="CBO170">
        <v>18</v>
      </c>
      <c r="CBP170">
        <v>5</v>
      </c>
      <c r="CBQ170">
        <v>0</v>
      </c>
      <c r="CHI170">
        <v>75</v>
      </c>
      <c r="CHJ170">
        <v>1</v>
      </c>
      <c r="CHM170">
        <v>1</v>
      </c>
      <c r="CHN170">
        <v>1</v>
      </c>
      <c r="CHO170">
        <v>5</v>
      </c>
      <c r="CHP170">
        <v>5</v>
      </c>
      <c r="CHQ170">
        <v>0</v>
      </c>
      <c r="CYO170">
        <v>1</v>
      </c>
      <c r="CYP170">
        <v>1</v>
      </c>
      <c r="CYS170">
        <v>1</v>
      </c>
      <c r="CYT170">
        <v>13</v>
      </c>
      <c r="CYU170">
        <v>18</v>
      </c>
      <c r="CYV170">
        <v>6</v>
      </c>
      <c r="CYW170">
        <v>0</v>
      </c>
      <c r="DYB170">
        <v>3000</v>
      </c>
      <c r="DYC170">
        <v>1</v>
      </c>
      <c r="DYG170">
        <v>1</v>
      </c>
      <c r="DYH170">
        <v>16</v>
      </c>
      <c r="DYI170">
        <v>18</v>
      </c>
      <c r="DYJ170">
        <v>4</v>
      </c>
      <c r="DYK170">
        <v>0</v>
      </c>
      <c r="EMC170">
        <v>40</v>
      </c>
      <c r="EMD170">
        <v>1</v>
      </c>
      <c r="EMG170">
        <v>1</v>
      </c>
      <c r="EMH170">
        <v>19</v>
      </c>
      <c r="EMI170">
        <v>18</v>
      </c>
      <c r="EMJ170">
        <v>0</v>
      </c>
      <c r="EMK170">
        <v>0</v>
      </c>
      <c r="GWO170">
        <v>1</v>
      </c>
      <c r="GXZ170">
        <v>1</v>
      </c>
      <c r="GZD170">
        <v>1</v>
      </c>
      <c r="HCA170">
        <v>1</v>
      </c>
      <c r="HCB170">
        <v>1</v>
      </c>
      <c r="HDF170">
        <v>1</v>
      </c>
    </row>
    <row r="171" spans="1:1004 1027:2042 2057:3070 3073:3994 4123:5065 5127:5801" x14ac:dyDescent="0.25">
      <c r="A171" s="50">
        <v>9023306</v>
      </c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JT171">
        <v>227.4</v>
      </c>
      <c r="JU171">
        <v>157.80000000000001</v>
      </c>
      <c r="JV171">
        <v>37.799999999999997</v>
      </c>
      <c r="JY171">
        <v>30</v>
      </c>
      <c r="NI171">
        <v>336</v>
      </c>
      <c r="NJ171">
        <v>276</v>
      </c>
      <c r="NK171">
        <v>120</v>
      </c>
      <c r="NN171">
        <v>91.8</v>
      </c>
      <c r="QW171">
        <v>402</v>
      </c>
      <c r="QX171">
        <v>318</v>
      </c>
      <c r="QY171">
        <v>258</v>
      </c>
      <c r="RB171">
        <v>239.4</v>
      </c>
      <c r="TO171">
        <v>408</v>
      </c>
      <c r="ABE171">
        <v>0.3508</v>
      </c>
      <c r="ACE171" s="50"/>
      <c r="ACF171" s="50"/>
      <c r="ACG171" s="50"/>
      <c r="ACH171" s="50"/>
      <c r="ACI171" s="50"/>
      <c r="ACJ171" s="50"/>
      <c r="ACK171" s="50"/>
      <c r="ACL171" s="50"/>
      <c r="ACM171" s="50"/>
      <c r="ACN171" s="50"/>
      <c r="ACO171" s="50"/>
      <c r="ACP171" s="50"/>
      <c r="ACQ171" s="50"/>
      <c r="ACR171" s="50"/>
      <c r="AGX171">
        <v>273</v>
      </c>
      <c r="AGZ171">
        <v>180</v>
      </c>
      <c r="AHC171">
        <v>165.6</v>
      </c>
      <c r="AKI171">
        <v>0.85970000000000002</v>
      </c>
      <c r="BKT171" s="50"/>
      <c r="BKU171" s="50"/>
      <c r="BKV171" s="50"/>
      <c r="BKW171" s="50"/>
      <c r="BKX171" s="50"/>
      <c r="BKY171" s="50"/>
      <c r="BKZ171" s="50"/>
      <c r="BLA171" s="50"/>
      <c r="BLB171" s="50"/>
      <c r="BPE171">
        <v>46</v>
      </c>
      <c r="BPG171">
        <v>1</v>
      </c>
      <c r="BPH171">
        <v>24.83</v>
      </c>
      <c r="BPJ171">
        <v>1</v>
      </c>
      <c r="BPK171">
        <v>9</v>
      </c>
      <c r="BZC171" s="50"/>
      <c r="BZD171" s="50"/>
      <c r="BZE171" s="50">
        <v>600</v>
      </c>
      <c r="BZF171" s="50">
        <v>2</v>
      </c>
      <c r="BZI171">
        <v>1</v>
      </c>
      <c r="BZK171">
        <v>12</v>
      </c>
      <c r="BZL171">
        <v>9</v>
      </c>
      <c r="BZM171">
        <v>0</v>
      </c>
      <c r="BZN171">
        <v>2</v>
      </c>
      <c r="CBI171">
        <v>30</v>
      </c>
      <c r="CBJ171">
        <v>3</v>
      </c>
      <c r="CBM171">
        <v>1</v>
      </c>
      <c r="CBN171">
        <v>2</v>
      </c>
      <c r="CBO171">
        <v>4</v>
      </c>
      <c r="CBP171">
        <v>3</v>
      </c>
      <c r="CBQ171">
        <v>0</v>
      </c>
      <c r="GYD171">
        <v>1</v>
      </c>
      <c r="GYE171">
        <v>1</v>
      </c>
      <c r="GYG171">
        <v>1</v>
      </c>
    </row>
    <row r="172" spans="1:1004 1027:2042 2057:3070 3073:3994 4123:5065 5127:5801" x14ac:dyDescent="0.25">
      <c r="A172" s="50">
        <v>9030615</v>
      </c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BF172">
        <v>90.8</v>
      </c>
      <c r="CP172">
        <v>1.05</v>
      </c>
      <c r="EJ172">
        <v>35.1</v>
      </c>
      <c r="GM172">
        <v>340</v>
      </c>
      <c r="HT172">
        <v>5800</v>
      </c>
      <c r="IG172">
        <v>5200</v>
      </c>
      <c r="JT172">
        <v>84</v>
      </c>
      <c r="JZ172">
        <v>173.4</v>
      </c>
      <c r="KF172">
        <v>571.79999999999995</v>
      </c>
      <c r="KH172" t="s">
        <v>2302</v>
      </c>
      <c r="NI172">
        <v>121.2</v>
      </c>
      <c r="NO172">
        <v>256.8</v>
      </c>
      <c r="NU172">
        <v>1052.4000000000001</v>
      </c>
      <c r="NW172">
        <v>626.4</v>
      </c>
      <c r="QW172">
        <v>80.400000000000006</v>
      </c>
      <c r="RC172">
        <v>55.2</v>
      </c>
      <c r="RI172">
        <v>105.6</v>
      </c>
      <c r="RK172" s="3">
        <v>124.8</v>
      </c>
      <c r="ZW172">
        <v>13.91</v>
      </c>
      <c r="AAC172">
        <v>13.6</v>
      </c>
      <c r="ACE172" s="50"/>
      <c r="ACF172" s="50"/>
      <c r="ACG172" s="50"/>
      <c r="ACH172" s="50"/>
      <c r="ACI172" s="50"/>
      <c r="ACJ172" s="50"/>
      <c r="ACK172" s="50"/>
      <c r="ACL172" s="50"/>
      <c r="ACM172" s="50"/>
      <c r="ACN172" s="50"/>
      <c r="ACO172" s="50"/>
      <c r="ACP172" s="50"/>
      <c r="ACQ172" s="50"/>
      <c r="ACR172" s="50"/>
      <c r="AKI172">
        <v>63</v>
      </c>
      <c r="AOB172">
        <v>23.3</v>
      </c>
      <c r="AOP172">
        <v>23.3</v>
      </c>
      <c r="APO172" s="3">
        <v>19.819800000000001</v>
      </c>
      <c r="ASY172">
        <v>137000</v>
      </c>
      <c r="BAO172">
        <v>42</v>
      </c>
      <c r="BAU172">
        <v>5.2</v>
      </c>
      <c r="BDM172" s="59"/>
      <c r="BGQ172">
        <v>133</v>
      </c>
      <c r="BHZ172">
        <v>4.05</v>
      </c>
      <c r="BJC172">
        <v>2.29</v>
      </c>
      <c r="BKT172" s="50"/>
      <c r="BKU172" s="50"/>
      <c r="BKV172" s="50"/>
      <c r="BKW172" s="50"/>
      <c r="BKX172" s="50"/>
      <c r="BKY172" s="50"/>
      <c r="BKZ172" s="50"/>
      <c r="BLA172" s="50"/>
      <c r="BLB172" s="50"/>
      <c r="BZC172" s="50"/>
      <c r="BZD172" s="50"/>
      <c r="BZE172" s="50">
        <v>400</v>
      </c>
      <c r="BZF172" s="50">
        <v>1</v>
      </c>
      <c r="BZI172">
        <v>1</v>
      </c>
      <c r="BZK172">
        <v>3</v>
      </c>
      <c r="GBZ172">
        <v>500</v>
      </c>
      <c r="GCA172">
        <v>1</v>
      </c>
      <c r="GCD172">
        <v>1</v>
      </c>
      <c r="GCE172" s="35">
        <v>999</v>
      </c>
      <c r="GCF172">
        <v>549</v>
      </c>
      <c r="GCG172">
        <v>0</v>
      </c>
      <c r="GCH172">
        <v>999</v>
      </c>
    </row>
    <row r="173" spans="1:1004 1027:2042 2057:3070 3073:3994 4123:5065 5127:5801" x14ac:dyDescent="0.25">
      <c r="A173" s="50">
        <v>9034464</v>
      </c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BC173">
        <v>47</v>
      </c>
      <c r="BD173">
        <v>67</v>
      </c>
      <c r="DN173">
        <v>91</v>
      </c>
      <c r="DO173">
        <v>102</v>
      </c>
      <c r="DT173">
        <v>47</v>
      </c>
      <c r="DU173">
        <v>67</v>
      </c>
      <c r="EB173">
        <v>37</v>
      </c>
      <c r="EG173">
        <v>49</v>
      </c>
      <c r="EH173">
        <v>44</v>
      </c>
      <c r="HJ173" s="14">
        <v>10590</v>
      </c>
      <c r="ZI173">
        <v>23.69</v>
      </c>
      <c r="ZN173">
        <v>14.82</v>
      </c>
      <c r="ZT173">
        <v>7.9</v>
      </c>
      <c r="ZV173">
        <v>8.3800000000000008</v>
      </c>
      <c r="ZX173">
        <v>9.1</v>
      </c>
      <c r="ZY173">
        <v>10.31</v>
      </c>
      <c r="ZZ173">
        <v>11.76</v>
      </c>
      <c r="ACE173" s="50"/>
      <c r="ACF173" s="50"/>
      <c r="ACG173" s="50"/>
      <c r="ACH173" s="50"/>
      <c r="ACI173" s="50"/>
      <c r="ACJ173" s="50"/>
      <c r="ACK173" s="50"/>
      <c r="ACL173" s="50"/>
      <c r="ACM173" s="50"/>
      <c r="ACN173" s="50"/>
      <c r="ACO173" s="50"/>
      <c r="ACP173" s="50"/>
      <c r="ACQ173" s="50"/>
      <c r="ACR173" s="50"/>
      <c r="ANZ173">
        <v>177</v>
      </c>
      <c r="AOA173">
        <v>134.30000000000001</v>
      </c>
      <c r="AOC173">
        <v>139.1</v>
      </c>
      <c r="AOE173">
        <v>63.1</v>
      </c>
      <c r="BKT173" s="50"/>
      <c r="BKU173" s="50"/>
      <c r="BKV173" s="50"/>
      <c r="BKW173" s="50"/>
      <c r="BKX173" s="50"/>
      <c r="BKY173" s="50"/>
      <c r="BKZ173" s="50"/>
      <c r="BLA173" s="50"/>
      <c r="BLB173" s="50"/>
      <c r="BPE173">
        <v>66</v>
      </c>
      <c r="BPF173">
        <v>1</v>
      </c>
      <c r="BPH173">
        <v>26.59</v>
      </c>
      <c r="BPJ173">
        <v>1</v>
      </c>
      <c r="BPK173">
        <v>2</v>
      </c>
      <c r="BZC173" s="50"/>
      <c r="BZD173" s="50"/>
      <c r="BZE173" s="50">
        <v>1800</v>
      </c>
      <c r="BZF173" s="50">
        <v>1</v>
      </c>
      <c r="EAE173">
        <v>10</v>
      </c>
      <c r="EAF173">
        <v>1</v>
      </c>
      <c r="EAJ173">
        <v>2</v>
      </c>
      <c r="EAK173">
        <v>1</v>
      </c>
      <c r="EAL173">
        <v>0</v>
      </c>
      <c r="EAM173">
        <v>0</v>
      </c>
      <c r="EMC173">
        <v>40</v>
      </c>
      <c r="EMD173">
        <v>1</v>
      </c>
      <c r="GWH173">
        <v>1</v>
      </c>
      <c r="HBD173">
        <v>1</v>
      </c>
      <c r="HDQ173">
        <v>1</v>
      </c>
      <c r="HJV173">
        <v>1</v>
      </c>
    </row>
    <row r="174" spans="1:1004 1027:2042 2057:3070 3073:3994 4123:5065 5127:5801" x14ac:dyDescent="0.25">
      <c r="A174" s="50">
        <v>9040167</v>
      </c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AZ174">
        <v>110</v>
      </c>
      <c r="CJ174">
        <v>0.93</v>
      </c>
      <c r="EE174">
        <v>27.5</v>
      </c>
      <c r="HN174">
        <v>7780</v>
      </c>
      <c r="ZQ174">
        <v>13.86</v>
      </c>
      <c r="ACE174" s="50"/>
      <c r="ACF174" s="50"/>
      <c r="ACG174" s="50"/>
      <c r="ACH174" s="50"/>
      <c r="ACI174" s="50"/>
      <c r="ACJ174" s="50"/>
      <c r="ACK174" s="50"/>
      <c r="ACL174" s="50"/>
      <c r="ACM174" s="50"/>
      <c r="ACN174" s="50"/>
      <c r="ACO174" s="50"/>
      <c r="ACP174" s="50"/>
      <c r="ACQ174" s="50"/>
      <c r="ACR174" s="50"/>
      <c r="AKC174">
        <v>0.88229999999999997</v>
      </c>
      <c r="AKF174">
        <v>0.85970000000000002</v>
      </c>
      <c r="ANV174">
        <v>2.4900000000000002</v>
      </c>
      <c r="ASS174">
        <v>236000</v>
      </c>
      <c r="AXG174">
        <v>35.799999999999997</v>
      </c>
      <c r="BAI174">
        <v>38</v>
      </c>
      <c r="BGN174">
        <v>123</v>
      </c>
      <c r="BGQ174">
        <v>132</v>
      </c>
      <c r="BHT174">
        <v>3.3</v>
      </c>
      <c r="BHW174">
        <v>3.8</v>
      </c>
      <c r="BIW174">
        <v>2.33</v>
      </c>
      <c r="BIZ174">
        <v>2.4500000000000002</v>
      </c>
      <c r="BKT174" s="50"/>
      <c r="BKU174" s="50"/>
      <c r="BKV174" s="50"/>
      <c r="BKW174" s="50"/>
      <c r="BKX174" s="50"/>
      <c r="BKY174" s="50"/>
      <c r="BKZ174" s="50"/>
      <c r="BLA174" s="50"/>
      <c r="BLB174" s="50"/>
      <c r="BPE174">
        <v>84</v>
      </c>
      <c r="BPG174">
        <v>1</v>
      </c>
      <c r="BPH174">
        <v>26.35</v>
      </c>
      <c r="BPJ174">
        <v>1</v>
      </c>
      <c r="BPK174">
        <v>31</v>
      </c>
      <c r="BQI174">
        <v>1</v>
      </c>
      <c r="BRX174">
        <v>1</v>
      </c>
      <c r="BSG174">
        <v>1</v>
      </c>
      <c r="BSI174">
        <v>1</v>
      </c>
      <c r="BSL174">
        <v>1</v>
      </c>
      <c r="BSY174">
        <v>1</v>
      </c>
      <c r="BSZ174">
        <v>1</v>
      </c>
      <c r="BTF174">
        <v>1</v>
      </c>
      <c r="BVN174">
        <v>1</v>
      </c>
      <c r="BXK174">
        <v>1</v>
      </c>
      <c r="BXL174">
        <v>1</v>
      </c>
      <c r="BZC174" s="50"/>
      <c r="BZD174" s="50"/>
      <c r="BZE174" s="50">
        <v>600</v>
      </c>
      <c r="BZF174" s="50">
        <v>2</v>
      </c>
      <c r="BZI174">
        <v>1</v>
      </c>
      <c r="BZK174">
        <v>61</v>
      </c>
      <c r="BZL174">
        <v>59</v>
      </c>
      <c r="BZM174">
        <v>2</v>
      </c>
      <c r="BZN174">
        <v>0</v>
      </c>
      <c r="CAG174">
        <v>1</v>
      </c>
      <c r="CAH174">
        <v>824</v>
      </c>
      <c r="CAI174">
        <v>822</v>
      </c>
      <c r="CAJ174">
        <v>2</v>
      </c>
      <c r="CAK174">
        <v>0</v>
      </c>
      <c r="CCM174">
        <v>50</v>
      </c>
      <c r="CCN174">
        <v>2</v>
      </c>
      <c r="CCQ174">
        <v>1</v>
      </c>
      <c r="CCR174">
        <v>31</v>
      </c>
      <c r="DCY174">
        <v>25</v>
      </c>
      <c r="DCZ174">
        <v>1</v>
      </c>
      <c r="DDC174">
        <v>1</v>
      </c>
      <c r="DDD174">
        <v>824</v>
      </c>
      <c r="DDE174">
        <v>822</v>
      </c>
      <c r="DDF174">
        <v>2</v>
      </c>
      <c r="DDG174">
        <v>0</v>
      </c>
      <c r="DGV174">
        <v>5</v>
      </c>
      <c r="DGW174">
        <v>1</v>
      </c>
      <c r="DGZ174">
        <v>1</v>
      </c>
      <c r="DHA174" s="35">
        <v>999</v>
      </c>
      <c r="DHB174">
        <v>999</v>
      </c>
      <c r="DHC174">
        <v>0</v>
      </c>
      <c r="DHD174">
        <v>999</v>
      </c>
      <c r="DMU174">
        <v>1</v>
      </c>
      <c r="DMV174">
        <v>824</v>
      </c>
      <c r="DMW174">
        <v>822</v>
      </c>
      <c r="DMX174">
        <v>2</v>
      </c>
      <c r="DMY174">
        <v>0</v>
      </c>
      <c r="EHB174">
        <v>36</v>
      </c>
      <c r="EHC174">
        <v>1</v>
      </c>
      <c r="EHF174">
        <v>1</v>
      </c>
      <c r="EHG174">
        <v>31</v>
      </c>
      <c r="EHH174">
        <v>30</v>
      </c>
      <c r="EHI174">
        <v>0</v>
      </c>
      <c r="EHJ174">
        <v>1</v>
      </c>
      <c r="FYW174">
        <v>50</v>
      </c>
      <c r="FYX174">
        <v>1</v>
      </c>
      <c r="FZA174">
        <v>1</v>
      </c>
      <c r="FZB174" s="35">
        <v>999</v>
      </c>
      <c r="FZC174">
        <v>999</v>
      </c>
      <c r="FZD174">
        <v>0</v>
      </c>
      <c r="FZE174">
        <v>999</v>
      </c>
      <c r="GXT174">
        <v>1</v>
      </c>
      <c r="GXZ174">
        <v>1</v>
      </c>
      <c r="GYA174">
        <v>1</v>
      </c>
      <c r="GYU174">
        <v>1</v>
      </c>
      <c r="GZB174">
        <v>1</v>
      </c>
      <c r="HAY174">
        <v>1</v>
      </c>
      <c r="HBW174">
        <v>1</v>
      </c>
      <c r="HCL174">
        <v>1</v>
      </c>
      <c r="HCW174">
        <v>1</v>
      </c>
      <c r="HCY174">
        <v>1</v>
      </c>
    </row>
    <row r="175" spans="1:1004 1027:2042 2057:3070 3073:3994 4123:5065 5127:5801" x14ac:dyDescent="0.25">
      <c r="A175" s="50">
        <v>9054567</v>
      </c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JP175">
        <v>1331</v>
      </c>
      <c r="NE175">
        <v>1973</v>
      </c>
      <c r="QS175">
        <v>407</v>
      </c>
      <c r="ACE175" s="50"/>
      <c r="ACF175" s="50">
        <v>6.7</v>
      </c>
      <c r="ACG175" s="50"/>
      <c r="ACH175" s="50"/>
      <c r="ACI175" s="50"/>
      <c r="ACJ175" s="50"/>
      <c r="ACK175" s="50"/>
      <c r="ACL175" s="50"/>
      <c r="ACM175" s="50"/>
      <c r="ACN175" s="50"/>
      <c r="ACO175" s="50"/>
      <c r="ACP175" s="50"/>
      <c r="ACQ175" s="50"/>
      <c r="ACR175" s="50"/>
      <c r="AGT175">
        <v>474</v>
      </c>
      <c r="BKT175" s="50"/>
      <c r="BKU175" s="50"/>
      <c r="BKV175" s="50"/>
      <c r="BKW175" s="50"/>
      <c r="BKX175" s="50"/>
      <c r="BKY175" s="50"/>
      <c r="BKZ175" s="50"/>
      <c r="BLA175" s="50"/>
      <c r="BLB175" s="50"/>
      <c r="BPE175">
        <v>46</v>
      </c>
      <c r="BPF175">
        <v>1</v>
      </c>
      <c r="BPH175">
        <v>21.22</v>
      </c>
      <c r="BPJ175">
        <v>1</v>
      </c>
      <c r="BZC175" s="50"/>
      <c r="BZD175" s="50"/>
      <c r="BZE175" s="50">
        <v>600</v>
      </c>
      <c r="BZF175" s="50">
        <v>1</v>
      </c>
      <c r="BZI175">
        <v>1</v>
      </c>
      <c r="BZK175">
        <v>7</v>
      </c>
      <c r="BZL175">
        <v>14</v>
      </c>
      <c r="BZM175">
        <v>8</v>
      </c>
      <c r="BZN175">
        <v>0</v>
      </c>
      <c r="CPN175">
        <v>500</v>
      </c>
      <c r="CPO175">
        <v>1</v>
      </c>
      <c r="CPR175">
        <v>1</v>
      </c>
      <c r="CPS175">
        <v>7</v>
      </c>
      <c r="CPT175">
        <v>14</v>
      </c>
      <c r="CPU175">
        <v>8</v>
      </c>
      <c r="CPV175">
        <v>0</v>
      </c>
      <c r="GZP175">
        <v>1</v>
      </c>
      <c r="HCA175">
        <v>1</v>
      </c>
      <c r="HCB175">
        <v>1</v>
      </c>
    </row>
    <row r="176" spans="1:1004 1027:2042 2057:3070 3073:3994 4123:5065 5127:5801" x14ac:dyDescent="0.25">
      <c r="A176" s="50">
        <v>9083682</v>
      </c>
      <c r="B176" s="50"/>
      <c r="C176" s="50"/>
      <c r="D176" s="50"/>
      <c r="E176" s="50"/>
      <c r="F176" s="50"/>
      <c r="G176" s="50"/>
      <c r="H176" s="50"/>
      <c r="I176" s="50"/>
      <c r="J176" s="50"/>
      <c r="K176" s="50">
        <v>55</v>
      </c>
      <c r="L176" s="50"/>
      <c r="M176" s="50"/>
      <c r="N176" s="50"/>
      <c r="O176" s="50"/>
      <c r="P176" s="50"/>
      <c r="Q176" s="50"/>
      <c r="BB176">
        <v>90</v>
      </c>
      <c r="CL176">
        <v>1.06</v>
      </c>
      <c r="EF176">
        <v>36.6</v>
      </c>
      <c r="HP176">
        <v>4900</v>
      </c>
      <c r="JQ176">
        <v>997</v>
      </c>
      <c r="LD176">
        <v>35</v>
      </c>
      <c r="NF176">
        <v>2410</v>
      </c>
      <c r="NG176">
        <v>2222</v>
      </c>
      <c r="NQ176">
        <v>52</v>
      </c>
      <c r="QT176">
        <v>422</v>
      </c>
      <c r="QW176">
        <v>335</v>
      </c>
      <c r="RE176">
        <v>124</v>
      </c>
      <c r="VN176">
        <v>216</v>
      </c>
      <c r="WE176">
        <v>132</v>
      </c>
      <c r="WP176">
        <v>6</v>
      </c>
      <c r="ZS176">
        <v>15.5</v>
      </c>
      <c r="ACE176" s="50"/>
      <c r="ACF176" s="50"/>
      <c r="ACG176" s="50">
        <v>7.3</v>
      </c>
      <c r="ACH176" s="50"/>
      <c r="ACI176" s="50"/>
      <c r="ACJ176" s="50">
        <v>11.4</v>
      </c>
      <c r="ACK176" s="50"/>
      <c r="ACL176" s="50"/>
      <c r="ACM176" s="50"/>
      <c r="ACN176" s="50"/>
      <c r="ACO176" s="50"/>
      <c r="ACP176" s="50"/>
      <c r="ACQ176" s="50"/>
      <c r="ACR176" s="50"/>
      <c r="AGU176">
        <v>213</v>
      </c>
      <c r="AGX176">
        <v>219</v>
      </c>
      <c r="AKE176">
        <v>0.7</v>
      </c>
      <c r="AMM176">
        <v>53</v>
      </c>
      <c r="AMN176">
        <v>64</v>
      </c>
      <c r="ANX176">
        <v>2.5</v>
      </c>
      <c r="ARJ176">
        <v>5100000</v>
      </c>
      <c r="ASU176">
        <v>214000</v>
      </c>
      <c r="BAK176">
        <v>45</v>
      </c>
      <c r="BCC176">
        <v>89</v>
      </c>
      <c r="BEL176">
        <v>34.1</v>
      </c>
      <c r="BGP176">
        <v>136</v>
      </c>
      <c r="BHV176">
        <v>4.04</v>
      </c>
      <c r="BIY176">
        <v>2.25</v>
      </c>
      <c r="BKT176" s="50"/>
      <c r="BKU176" s="50"/>
      <c r="BKV176" s="50"/>
      <c r="BKW176" s="50"/>
      <c r="BKX176" s="50"/>
      <c r="BKY176" s="50"/>
      <c r="BKZ176" s="50"/>
      <c r="BLA176" s="50"/>
      <c r="BLB176" s="50"/>
      <c r="BLW176">
        <v>120</v>
      </c>
      <c r="BLZ176">
        <v>126</v>
      </c>
      <c r="BNV176">
        <v>90</v>
      </c>
      <c r="BPE176">
        <v>43</v>
      </c>
      <c r="BPF176">
        <v>1</v>
      </c>
      <c r="BPH176">
        <v>25.9</v>
      </c>
      <c r="BPJ176">
        <v>1</v>
      </c>
      <c r="BPY176">
        <v>1</v>
      </c>
      <c r="BZC176" s="50"/>
      <c r="BZD176" s="50"/>
      <c r="BZE176" s="50">
        <v>400</v>
      </c>
      <c r="BZF176" s="50">
        <v>1</v>
      </c>
      <c r="CED176">
        <v>200</v>
      </c>
      <c r="CEE176">
        <v>1</v>
      </c>
      <c r="CEH176">
        <v>1</v>
      </c>
      <c r="CEI176" s="35">
        <v>999</v>
      </c>
      <c r="CEJ176">
        <v>35</v>
      </c>
      <c r="CEK176">
        <v>0</v>
      </c>
      <c r="CEL176">
        <v>999</v>
      </c>
      <c r="CHH176">
        <v>1</v>
      </c>
      <c r="EBU176">
        <v>40</v>
      </c>
      <c r="EBV176">
        <v>1</v>
      </c>
      <c r="EBY176">
        <v>1</v>
      </c>
      <c r="GTP176">
        <v>1</v>
      </c>
      <c r="GWU176">
        <v>1</v>
      </c>
      <c r="GXU176">
        <v>1</v>
      </c>
      <c r="GYA176">
        <v>1</v>
      </c>
      <c r="GZD176">
        <v>1</v>
      </c>
      <c r="HCA176">
        <v>1</v>
      </c>
      <c r="HCB176">
        <v>1</v>
      </c>
      <c r="HDF176">
        <v>1</v>
      </c>
      <c r="HOC176">
        <v>1</v>
      </c>
    </row>
    <row r="177" spans="1:1017 1026:2046 2049:3070 3073:4076 4351:4717 5294:5770" x14ac:dyDescent="0.25">
      <c r="A177" s="50">
        <v>9102044</v>
      </c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JQ177">
        <v>1110</v>
      </c>
      <c r="JS177">
        <v>1212</v>
      </c>
      <c r="JT177">
        <v>1056</v>
      </c>
      <c r="KD177">
        <v>672</v>
      </c>
      <c r="LP177">
        <v>34</v>
      </c>
      <c r="NF177">
        <v>1668</v>
      </c>
      <c r="NI177">
        <v>1422</v>
      </c>
      <c r="NS177">
        <v>894</v>
      </c>
      <c r="PF177">
        <v>34</v>
      </c>
      <c r="ACE177" s="50"/>
      <c r="ACF177" s="50"/>
      <c r="ACG177" s="50">
        <v>9</v>
      </c>
      <c r="ACH177" s="50"/>
      <c r="ACI177" s="50"/>
      <c r="ACJ177" s="50"/>
      <c r="ACK177" s="50"/>
      <c r="ACL177" s="50"/>
      <c r="ACM177" s="50"/>
      <c r="ACN177" s="50">
        <v>21.36</v>
      </c>
      <c r="ACO177" s="50"/>
      <c r="ACP177" s="50"/>
      <c r="ACQ177" s="50"/>
      <c r="ACR177" s="50"/>
      <c r="ACT177">
        <v>16.98</v>
      </c>
      <c r="ADY177">
        <v>1.05</v>
      </c>
      <c r="BKT177" s="50"/>
      <c r="BKU177" s="50"/>
      <c r="BKV177" s="50"/>
      <c r="BKW177" s="50"/>
      <c r="BKX177" s="50"/>
      <c r="BKY177" s="50"/>
      <c r="BKZ177" s="50"/>
      <c r="BLA177" s="50"/>
      <c r="BLB177" s="50"/>
      <c r="BPG177">
        <v>1</v>
      </c>
      <c r="BPH177">
        <v>23.59</v>
      </c>
      <c r="BPJ177">
        <v>1</v>
      </c>
      <c r="BPK177">
        <v>84</v>
      </c>
      <c r="BZC177" s="50"/>
      <c r="BZD177" s="50"/>
      <c r="BZE177" s="50"/>
      <c r="BZF177" s="50"/>
      <c r="BZI177">
        <v>1</v>
      </c>
      <c r="BZK177">
        <v>999</v>
      </c>
      <c r="BZL177">
        <v>999</v>
      </c>
      <c r="BZM177">
        <v>26</v>
      </c>
      <c r="BZN177">
        <v>0</v>
      </c>
      <c r="EEP177">
        <v>1000</v>
      </c>
      <c r="EEQ177">
        <v>1</v>
      </c>
      <c r="EER177">
        <v>1</v>
      </c>
      <c r="EEU177">
        <v>3</v>
      </c>
      <c r="EEV177">
        <v>30</v>
      </c>
      <c r="EEW177">
        <v>28</v>
      </c>
      <c r="EEX177">
        <v>0</v>
      </c>
      <c r="GWH177">
        <v>1</v>
      </c>
      <c r="HCA177">
        <v>1</v>
      </c>
    </row>
    <row r="178" spans="1:1017 1026:2046 2049:3070 3073:4076 4351:4717 5294:5770" x14ac:dyDescent="0.25">
      <c r="A178" s="50">
        <v>9119854</v>
      </c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JJ178">
        <v>23</v>
      </c>
      <c r="JU178">
        <v>346</v>
      </c>
      <c r="JW178">
        <v>99</v>
      </c>
      <c r="JX178">
        <v>92</v>
      </c>
      <c r="KB178">
        <v>200</v>
      </c>
      <c r="KD178">
        <v>235</v>
      </c>
      <c r="KJ178">
        <v>140</v>
      </c>
      <c r="KL178">
        <v>126</v>
      </c>
      <c r="MY178">
        <v>17</v>
      </c>
      <c r="NJ178">
        <v>571</v>
      </c>
      <c r="NL178">
        <v>331</v>
      </c>
      <c r="NM178">
        <v>267</v>
      </c>
      <c r="NQ178">
        <v>343</v>
      </c>
      <c r="NS178">
        <v>449</v>
      </c>
      <c r="NY178">
        <v>360</v>
      </c>
      <c r="OA178">
        <v>305</v>
      </c>
      <c r="OD178">
        <v>23</v>
      </c>
      <c r="ACE178" s="50"/>
      <c r="ACF178" s="50"/>
      <c r="ACG178" s="50"/>
      <c r="ACH178" s="50"/>
      <c r="ACI178" s="50"/>
      <c r="ACJ178" s="50"/>
      <c r="ACK178" s="50"/>
      <c r="ACL178" s="50"/>
      <c r="ACM178" s="50"/>
      <c r="ACN178" s="50">
        <v>2.84</v>
      </c>
      <c r="ACO178" s="50"/>
      <c r="ACP178" s="50"/>
      <c r="ACQ178" s="50"/>
      <c r="ACR178" s="50">
        <v>2.39</v>
      </c>
      <c r="ADB178">
        <v>0.93</v>
      </c>
      <c r="AGN178">
        <v>83</v>
      </c>
      <c r="AHA178">
        <v>207</v>
      </c>
      <c r="AHB178">
        <v>217</v>
      </c>
      <c r="AHH178">
        <v>189</v>
      </c>
      <c r="AHP178">
        <v>165</v>
      </c>
      <c r="BKT178" s="50"/>
      <c r="BKU178" s="50"/>
      <c r="BKV178" s="50"/>
      <c r="BKW178" s="50"/>
      <c r="BKX178" s="50"/>
      <c r="BKY178" s="50"/>
      <c r="BKZ178" s="50"/>
      <c r="BLA178" s="50"/>
      <c r="BLB178" s="50"/>
      <c r="BPE178">
        <v>47</v>
      </c>
      <c r="BPG178">
        <v>1</v>
      </c>
      <c r="BPH178">
        <v>28.04</v>
      </c>
      <c r="BZC178" s="50"/>
      <c r="BZD178" s="50"/>
      <c r="BZE178" s="50">
        <v>400</v>
      </c>
      <c r="BZF178" s="50">
        <v>3</v>
      </c>
      <c r="BZI178">
        <v>1</v>
      </c>
      <c r="BZK178">
        <v>11</v>
      </c>
      <c r="BZL178">
        <v>9</v>
      </c>
      <c r="BZM178">
        <v>0</v>
      </c>
      <c r="BZN178">
        <v>4</v>
      </c>
      <c r="HCA178">
        <v>1</v>
      </c>
    </row>
    <row r="179" spans="1:1017 1026:2046 2049:3070 3073:4076 4351:4717 5294:5770" x14ac:dyDescent="0.25">
      <c r="A179" s="50">
        <v>9125126</v>
      </c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JT179">
        <v>232</v>
      </c>
      <c r="LB179">
        <v>23</v>
      </c>
      <c r="NK179">
        <v>361</v>
      </c>
      <c r="NL179">
        <v>356</v>
      </c>
      <c r="NP179">
        <v>128</v>
      </c>
      <c r="OQ179">
        <v>22</v>
      </c>
      <c r="ACE179" s="50"/>
      <c r="ACF179" s="50"/>
      <c r="ACG179" s="50"/>
      <c r="ACH179" s="50"/>
      <c r="ACI179" s="50"/>
      <c r="ACJ179" s="50"/>
      <c r="ACK179" s="50"/>
      <c r="ACL179" s="50"/>
      <c r="ACM179" s="50">
        <v>0.53</v>
      </c>
      <c r="ACN179" s="50"/>
      <c r="ACO179" s="50">
        <v>0.42</v>
      </c>
      <c r="ACP179" s="50"/>
      <c r="ACQ179" s="50"/>
      <c r="ACR179" s="50"/>
      <c r="AGZ179">
        <v>487</v>
      </c>
      <c r="AHA179">
        <v>398</v>
      </c>
      <c r="AHE179">
        <v>148</v>
      </c>
      <c r="AID179">
        <v>74</v>
      </c>
      <c r="BPE179">
        <v>55</v>
      </c>
      <c r="BPF179">
        <v>1</v>
      </c>
      <c r="BPH179">
        <v>21.85</v>
      </c>
      <c r="BPK179">
        <v>40</v>
      </c>
      <c r="BQD179">
        <v>1</v>
      </c>
      <c r="BRY179">
        <v>1</v>
      </c>
      <c r="BSF179">
        <v>1</v>
      </c>
      <c r="BZC179" s="50"/>
      <c r="BZD179" s="50"/>
      <c r="BZE179" s="50">
        <v>400</v>
      </c>
      <c r="BZF179" s="50"/>
      <c r="BZI179">
        <v>1</v>
      </c>
      <c r="BZK179">
        <v>10</v>
      </c>
      <c r="BZL179">
        <v>3</v>
      </c>
      <c r="BZM179">
        <v>0</v>
      </c>
      <c r="BZN179">
        <v>6</v>
      </c>
      <c r="HCA179">
        <v>1</v>
      </c>
    </row>
    <row r="180" spans="1:1017 1026:2046 2049:3070 3073:4076 4351:4717 5294:5770" x14ac:dyDescent="0.25">
      <c r="A180" s="50">
        <v>9174811</v>
      </c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JQ180">
        <v>99</v>
      </c>
      <c r="JR180">
        <v>83</v>
      </c>
      <c r="JZ180">
        <v>60</v>
      </c>
      <c r="LA180">
        <v>463</v>
      </c>
      <c r="LO180">
        <v>41</v>
      </c>
      <c r="NF180">
        <v>305</v>
      </c>
      <c r="NG180">
        <v>264</v>
      </c>
      <c r="NO180">
        <v>241</v>
      </c>
      <c r="OP180">
        <v>337</v>
      </c>
      <c r="PE180">
        <v>59</v>
      </c>
      <c r="QT180">
        <v>63</v>
      </c>
      <c r="SA180">
        <v>44</v>
      </c>
      <c r="SM180">
        <v>30</v>
      </c>
      <c r="ACE180" s="50"/>
      <c r="ACF180" s="50"/>
      <c r="ACG180" s="50">
        <v>0.53</v>
      </c>
      <c r="ACH180" s="50">
        <v>0.62</v>
      </c>
      <c r="ACI180" s="50"/>
      <c r="ACJ180" s="50"/>
      <c r="ACK180" s="50"/>
      <c r="ACL180" s="50"/>
      <c r="ACM180" s="50"/>
      <c r="ACN180" s="50"/>
      <c r="ACO180" s="50"/>
      <c r="ACP180" s="50"/>
      <c r="ACQ180" s="50"/>
      <c r="ACR180" s="50"/>
      <c r="AGU180">
        <v>116</v>
      </c>
      <c r="AGV180">
        <v>102</v>
      </c>
      <c r="AHD180">
        <v>77</v>
      </c>
      <c r="AIN180">
        <v>84</v>
      </c>
      <c r="BPE180">
        <v>28</v>
      </c>
      <c r="BPF180">
        <v>1</v>
      </c>
      <c r="BPH180">
        <v>21.56</v>
      </c>
      <c r="BPJ180">
        <v>1</v>
      </c>
      <c r="BPP180">
        <v>1</v>
      </c>
      <c r="BPW180">
        <v>1</v>
      </c>
      <c r="BQD180">
        <v>1</v>
      </c>
      <c r="BQG180">
        <v>1</v>
      </c>
      <c r="BQL180">
        <v>1</v>
      </c>
      <c r="BZC180" s="50"/>
      <c r="BZD180" s="50"/>
      <c r="BZE180" s="50">
        <v>200</v>
      </c>
      <c r="BZF180" s="50">
        <v>3</v>
      </c>
      <c r="BZI180">
        <v>1</v>
      </c>
      <c r="BZK180">
        <v>8</v>
      </c>
      <c r="BZL180">
        <v>29</v>
      </c>
      <c r="BZM180">
        <v>22</v>
      </c>
      <c r="BZN180">
        <v>0</v>
      </c>
      <c r="BZU180">
        <v>1</v>
      </c>
      <c r="BZW180">
        <v>8</v>
      </c>
      <c r="BZX180">
        <v>29</v>
      </c>
      <c r="BZY180">
        <v>22</v>
      </c>
      <c r="BZZ180">
        <v>1</v>
      </c>
      <c r="EMB180">
        <v>1</v>
      </c>
      <c r="EXV180">
        <v>2</v>
      </c>
      <c r="EXW180">
        <v>1</v>
      </c>
      <c r="EXX180">
        <v>1</v>
      </c>
      <c r="EYA180" s="35">
        <v>999</v>
      </c>
      <c r="EYB180">
        <v>83</v>
      </c>
      <c r="EYC180">
        <v>0</v>
      </c>
      <c r="EYD180">
        <v>999</v>
      </c>
      <c r="FXB180">
        <v>1</v>
      </c>
      <c r="FXC180">
        <v>4</v>
      </c>
      <c r="FXD180">
        <v>20</v>
      </c>
      <c r="FXE180">
        <v>17</v>
      </c>
      <c r="FXF180">
        <v>0</v>
      </c>
      <c r="FXS180" t="s">
        <v>2385</v>
      </c>
      <c r="FXW180">
        <v>1</v>
      </c>
      <c r="FXX180">
        <v>3</v>
      </c>
      <c r="FXY180">
        <v>3</v>
      </c>
      <c r="FXZ180">
        <v>1</v>
      </c>
      <c r="FYA180">
        <v>0</v>
      </c>
      <c r="GXZ180">
        <v>1</v>
      </c>
      <c r="GYA180">
        <v>1</v>
      </c>
      <c r="GZD180">
        <v>1</v>
      </c>
    </row>
    <row r="181" spans="1:1017 1026:2046 2049:3070 3073:4076 4351:4717 5294:5770" x14ac:dyDescent="0.25">
      <c r="A181" s="50">
        <v>10002875</v>
      </c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JR181">
        <v>137.4</v>
      </c>
      <c r="JS181">
        <v>118.8</v>
      </c>
      <c r="JT181">
        <v>127.2</v>
      </c>
      <c r="JU181">
        <v>151.80000000000001</v>
      </c>
      <c r="JV181">
        <v>161.4</v>
      </c>
      <c r="JW181" s="14">
        <v>200</v>
      </c>
      <c r="KE181">
        <v>145</v>
      </c>
      <c r="KM181">
        <v>211</v>
      </c>
      <c r="KR181">
        <v>231</v>
      </c>
      <c r="NG181" s="3">
        <v>55.8</v>
      </c>
      <c r="NH181" s="3">
        <v>47.4</v>
      </c>
      <c r="NI181">
        <v>46.2</v>
      </c>
      <c r="NJ181">
        <v>45</v>
      </c>
      <c r="NK181">
        <v>46.2</v>
      </c>
      <c r="NL181" s="14">
        <v>38.4</v>
      </c>
      <c r="NU181">
        <v>41.6</v>
      </c>
      <c r="OB181">
        <v>46.5</v>
      </c>
      <c r="OG181">
        <v>49.8</v>
      </c>
      <c r="QU181">
        <v>699.6</v>
      </c>
      <c r="QV181" s="3">
        <v>583.79999999999995</v>
      </c>
      <c r="QY181">
        <v>363.6</v>
      </c>
      <c r="QZ181" s="14">
        <v>370</v>
      </c>
      <c r="RH181">
        <v>243</v>
      </c>
      <c r="RP181">
        <v>268</v>
      </c>
      <c r="RS181">
        <v>272</v>
      </c>
      <c r="TR181">
        <v>282</v>
      </c>
      <c r="ACE181" s="50"/>
      <c r="ACF181" s="50"/>
      <c r="ACG181" s="50"/>
      <c r="ACH181" s="50">
        <v>11.29</v>
      </c>
      <c r="ACI181" s="50">
        <v>9.4600000000000009</v>
      </c>
      <c r="ACJ181" s="59">
        <v>9.4657999999999998</v>
      </c>
      <c r="ACK181" s="59">
        <v>11.3192</v>
      </c>
      <c r="ACL181" s="59">
        <v>13.470800000000001</v>
      </c>
      <c r="ACM181" s="59">
        <v>17.458200000000001</v>
      </c>
      <c r="ACN181" s="50"/>
      <c r="ACO181" s="50"/>
      <c r="ACP181" s="50"/>
      <c r="ACQ181" s="50"/>
      <c r="ACR181" s="50"/>
      <c r="ACU181" s="3">
        <v>19.235600000000002</v>
      </c>
      <c r="ADA181" s="3">
        <v>11.576499999999999</v>
      </c>
      <c r="ADC181" s="3">
        <v>9.5885999999999996</v>
      </c>
      <c r="ADF181" s="3">
        <v>6.9576000000000002</v>
      </c>
      <c r="AEK181" s="3">
        <v>10.646800000000001</v>
      </c>
      <c r="AEL181" s="3">
        <v>8.5419999999999998</v>
      </c>
      <c r="AEM181" s="3">
        <v>9.1033000000000008</v>
      </c>
      <c r="AEN181" s="3">
        <v>8.8811</v>
      </c>
      <c r="AEO181" s="3">
        <v>12.5646</v>
      </c>
      <c r="AEP181" s="3">
        <v>16.440899999999999</v>
      </c>
      <c r="AEQ181" s="3"/>
      <c r="AGV181">
        <v>210</v>
      </c>
      <c r="AGW181">
        <v>181.8</v>
      </c>
      <c r="AGY181">
        <v>197.4</v>
      </c>
      <c r="AGZ181">
        <v>216.6</v>
      </c>
      <c r="AHA181" s="14">
        <v>222</v>
      </c>
      <c r="AHI181">
        <v>202</v>
      </c>
      <c r="AHQ181">
        <v>160</v>
      </c>
      <c r="AHU181">
        <v>143</v>
      </c>
      <c r="ANZ181">
        <v>2.2999999999999998</v>
      </c>
      <c r="AOO181">
        <v>56.7</v>
      </c>
      <c r="AOR181">
        <v>33.9</v>
      </c>
      <c r="AOS181">
        <v>28.2</v>
      </c>
      <c r="AOU181">
        <v>22.2</v>
      </c>
      <c r="BNF181">
        <v>66</v>
      </c>
      <c r="BPE181">
        <v>51</v>
      </c>
      <c r="BPG181">
        <v>1</v>
      </c>
      <c r="BPH181">
        <v>26.57</v>
      </c>
      <c r="BPJ181">
        <v>1</v>
      </c>
      <c r="BPK181">
        <v>23</v>
      </c>
      <c r="BPL181">
        <v>1</v>
      </c>
      <c r="BPM181">
        <v>1</v>
      </c>
      <c r="BPO181">
        <v>1</v>
      </c>
      <c r="BQZ181">
        <v>1</v>
      </c>
      <c r="BRB181">
        <v>1</v>
      </c>
      <c r="BRD181">
        <v>1</v>
      </c>
      <c r="BRH181">
        <v>1</v>
      </c>
      <c r="BSZ181">
        <v>1</v>
      </c>
      <c r="BVK181">
        <v>1</v>
      </c>
      <c r="BZC181" s="50"/>
      <c r="BZD181" s="50"/>
      <c r="BZE181" s="50">
        <v>500</v>
      </c>
      <c r="BZF181" s="50">
        <v>6</v>
      </c>
      <c r="BZI181">
        <v>1</v>
      </c>
      <c r="BZK181">
        <v>8</v>
      </c>
      <c r="BZL181">
        <v>6</v>
      </c>
      <c r="BZM181">
        <v>0</v>
      </c>
      <c r="BZN181">
        <v>1</v>
      </c>
      <c r="BZQ181">
        <v>500</v>
      </c>
      <c r="BZR181">
        <v>6</v>
      </c>
      <c r="BZU181">
        <v>1</v>
      </c>
      <c r="BZW181">
        <v>999</v>
      </c>
      <c r="BZX181">
        <v>999</v>
      </c>
      <c r="BZY181">
        <v>7</v>
      </c>
      <c r="BZZ181">
        <v>0</v>
      </c>
      <c r="EMC181">
        <v>80</v>
      </c>
      <c r="EMD181">
        <v>1</v>
      </c>
      <c r="EMG181">
        <v>1</v>
      </c>
      <c r="EMH181" s="35">
        <v>999</v>
      </c>
      <c r="EMI181">
        <v>999</v>
      </c>
      <c r="EMJ181">
        <v>0</v>
      </c>
      <c r="EMK181">
        <v>999</v>
      </c>
      <c r="FYC181">
        <v>1</v>
      </c>
      <c r="FYD181">
        <v>1</v>
      </c>
      <c r="FYG181">
        <v>1</v>
      </c>
      <c r="FYH181" s="15">
        <v>999</v>
      </c>
      <c r="FYI181">
        <v>999</v>
      </c>
      <c r="FYJ181">
        <v>0</v>
      </c>
      <c r="FYK181">
        <v>1</v>
      </c>
      <c r="GWQ181">
        <v>1</v>
      </c>
      <c r="GZP181">
        <v>1</v>
      </c>
      <c r="HBZ181">
        <v>1</v>
      </c>
      <c r="HCA181">
        <v>1</v>
      </c>
      <c r="HCB181">
        <v>1</v>
      </c>
      <c r="HCP181">
        <v>1</v>
      </c>
      <c r="HDJ181">
        <v>1</v>
      </c>
      <c r="HDL181">
        <v>1</v>
      </c>
      <c r="HMQ181">
        <v>1</v>
      </c>
      <c r="HMT181">
        <v>1</v>
      </c>
      <c r="HMW181">
        <v>1</v>
      </c>
    </row>
    <row r="182" spans="1:1017 1026:2046 2049:3070 3073:4076 4351:4717 5294:5770" x14ac:dyDescent="0.25">
      <c r="A182" s="50">
        <v>10023080</v>
      </c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JP182">
        <v>94</v>
      </c>
      <c r="KU182">
        <v>35</v>
      </c>
      <c r="NF182">
        <v>306</v>
      </c>
      <c r="OI182">
        <v>38</v>
      </c>
      <c r="QS182">
        <v>357</v>
      </c>
      <c r="RV182">
        <v>62</v>
      </c>
      <c r="ACE182" s="50"/>
      <c r="ACF182" s="50">
        <v>8.1999999999999993</v>
      </c>
      <c r="ACG182" s="50"/>
      <c r="ACH182" s="50"/>
      <c r="ACI182" s="50"/>
      <c r="ACJ182" s="50"/>
      <c r="ACK182" s="50"/>
      <c r="ACL182" s="50"/>
      <c r="ACM182" s="50"/>
      <c r="ACN182" s="50"/>
      <c r="ACO182" s="50"/>
      <c r="ACP182" s="50"/>
      <c r="ACQ182" s="50"/>
      <c r="ACR182" s="50"/>
      <c r="ADI182">
        <v>8.1999999999999993</v>
      </c>
      <c r="AGT182">
        <v>323</v>
      </c>
      <c r="AHZ182">
        <v>94</v>
      </c>
      <c r="BPE182">
        <v>55</v>
      </c>
      <c r="BPF182">
        <v>1</v>
      </c>
      <c r="BPH182">
        <v>28.67</v>
      </c>
      <c r="BQD182">
        <v>1</v>
      </c>
      <c r="BZC182" s="50"/>
      <c r="BZD182" s="50"/>
      <c r="BZE182" s="50">
        <v>600</v>
      </c>
      <c r="BZF182" s="50">
        <v>2</v>
      </c>
      <c r="BZI182">
        <v>1</v>
      </c>
      <c r="BZK182">
        <v>13</v>
      </c>
      <c r="BZL182">
        <v>13</v>
      </c>
      <c r="BZM182">
        <v>1</v>
      </c>
      <c r="BZN182">
        <v>0</v>
      </c>
      <c r="EMC182">
        <v>20</v>
      </c>
      <c r="EMD182">
        <v>1</v>
      </c>
      <c r="EMG182">
        <v>1</v>
      </c>
      <c r="EMH182">
        <v>13</v>
      </c>
      <c r="EMI182">
        <v>13</v>
      </c>
      <c r="EMJ182">
        <v>1</v>
      </c>
      <c r="EMK182">
        <v>0</v>
      </c>
      <c r="EML182">
        <v>10</v>
      </c>
      <c r="GZP182">
        <v>1</v>
      </c>
      <c r="HCA182">
        <v>1</v>
      </c>
      <c r="HCB182">
        <v>1</v>
      </c>
      <c r="HCH182">
        <v>1</v>
      </c>
      <c r="HMX182">
        <v>1</v>
      </c>
    </row>
    <row r="183" spans="1:1017 1026:2046 2049:3070 3073:4076 4351:4717 5294:5770" x14ac:dyDescent="0.25">
      <c r="A183" s="50">
        <v>10025212</v>
      </c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KG183">
        <v>525</v>
      </c>
      <c r="KI183">
        <v>1087</v>
      </c>
      <c r="KJ183">
        <v>940</v>
      </c>
      <c r="KU183">
        <v>364</v>
      </c>
      <c r="LF183">
        <v>28</v>
      </c>
      <c r="NV183">
        <v>599</v>
      </c>
      <c r="NW183">
        <v>1046</v>
      </c>
      <c r="NY183">
        <v>1584</v>
      </c>
      <c r="OI183">
        <v>943</v>
      </c>
      <c r="OT183">
        <v>79</v>
      </c>
      <c r="RJ183">
        <v>85</v>
      </c>
      <c r="SD183">
        <v>85</v>
      </c>
      <c r="ACE183" s="50"/>
      <c r="ACF183" s="50"/>
      <c r="ACG183" s="50"/>
      <c r="ACH183" s="50"/>
      <c r="ACI183" s="50"/>
      <c r="ACJ183" s="50"/>
      <c r="ACK183" s="50"/>
      <c r="ACL183" s="50"/>
      <c r="ACM183" s="50"/>
      <c r="ACN183" s="50"/>
      <c r="ACO183" s="50"/>
      <c r="ACP183" s="50"/>
      <c r="ACQ183" s="50"/>
      <c r="ACR183" s="50"/>
      <c r="ACX183">
        <v>0.99</v>
      </c>
      <c r="ACY183">
        <v>1.8</v>
      </c>
      <c r="ADH183">
        <v>0.96</v>
      </c>
      <c r="AHK183">
        <v>81</v>
      </c>
      <c r="AHQ183">
        <v>111</v>
      </c>
      <c r="BPE183">
        <v>61</v>
      </c>
      <c r="BPF183">
        <v>1</v>
      </c>
      <c r="BQU183">
        <v>1</v>
      </c>
      <c r="BQY183">
        <v>1</v>
      </c>
      <c r="BSZ183">
        <v>1</v>
      </c>
      <c r="BTI183">
        <v>1</v>
      </c>
      <c r="BTM183">
        <v>1</v>
      </c>
      <c r="BZC183" s="50"/>
      <c r="BZD183" s="50"/>
      <c r="BZE183" s="50">
        <v>400</v>
      </c>
      <c r="BZF183" s="50">
        <v>1</v>
      </c>
      <c r="BZI183">
        <v>1</v>
      </c>
      <c r="BZJ183">
        <v>999</v>
      </c>
      <c r="BZK183">
        <v>999</v>
      </c>
      <c r="BZL183">
        <v>0</v>
      </c>
      <c r="BZM183">
        <v>2</v>
      </c>
      <c r="BZN183">
        <v>0</v>
      </c>
      <c r="BZO183">
        <v>50</v>
      </c>
      <c r="BZQ183">
        <v>500</v>
      </c>
      <c r="BZR183">
        <v>2</v>
      </c>
      <c r="BZU183">
        <v>1</v>
      </c>
      <c r="BZW183">
        <v>999</v>
      </c>
      <c r="BZX183">
        <v>999</v>
      </c>
      <c r="BZY183">
        <v>0</v>
      </c>
      <c r="BZZ183">
        <v>16</v>
      </c>
      <c r="CAA183">
        <v>30</v>
      </c>
      <c r="CMU183">
        <v>600</v>
      </c>
      <c r="CMV183">
        <v>3</v>
      </c>
      <c r="CMY183">
        <v>1</v>
      </c>
      <c r="CMZ183">
        <v>7</v>
      </c>
      <c r="CNA183">
        <v>3</v>
      </c>
      <c r="CNB183">
        <v>0</v>
      </c>
      <c r="CNC183">
        <v>3</v>
      </c>
      <c r="CND183">
        <v>30</v>
      </c>
      <c r="GXX183">
        <v>1</v>
      </c>
      <c r="GXZ183">
        <v>1</v>
      </c>
      <c r="HCA183">
        <v>1</v>
      </c>
    </row>
    <row r="184" spans="1:1017 1026:2046 2049:3070 3073:4076 4351:4717 5294:5770" x14ac:dyDescent="0.25">
      <c r="A184" s="50">
        <v>10069407</v>
      </c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IX184">
        <v>76</v>
      </c>
      <c r="JQ184">
        <v>279</v>
      </c>
      <c r="JX184">
        <v>147</v>
      </c>
      <c r="KP184">
        <v>17</v>
      </c>
      <c r="MK184">
        <v>131</v>
      </c>
      <c r="NF184">
        <v>790</v>
      </c>
      <c r="NM184">
        <v>465</v>
      </c>
      <c r="OE184">
        <v>47</v>
      </c>
      <c r="ACE184" s="50"/>
      <c r="ACF184" s="50"/>
      <c r="ACG184" s="50"/>
      <c r="ACH184" s="50"/>
      <c r="ACI184" s="50"/>
      <c r="ACJ184" s="50"/>
      <c r="ACK184" s="50"/>
      <c r="ACL184" s="50"/>
      <c r="ACM184" s="50"/>
      <c r="ACN184" s="50">
        <v>0.7</v>
      </c>
      <c r="ACO184" s="50"/>
      <c r="ACP184" s="50"/>
      <c r="ACQ184" s="50"/>
      <c r="ACR184" s="50"/>
      <c r="AGU184">
        <v>56</v>
      </c>
      <c r="AHB184">
        <v>57</v>
      </c>
      <c r="BPE184">
        <v>61</v>
      </c>
      <c r="BPG184">
        <v>1</v>
      </c>
      <c r="BPH184">
        <v>30.41</v>
      </c>
      <c r="BQY184">
        <v>1</v>
      </c>
      <c r="BSD184">
        <v>1</v>
      </c>
      <c r="BSS184">
        <v>1</v>
      </c>
      <c r="BSV184">
        <v>1</v>
      </c>
      <c r="BSZ184">
        <v>1</v>
      </c>
      <c r="BTX184">
        <v>1</v>
      </c>
      <c r="BUV184">
        <v>1</v>
      </c>
      <c r="BVK184">
        <v>1</v>
      </c>
      <c r="BZE184">
        <v>600</v>
      </c>
      <c r="BZF184">
        <v>1</v>
      </c>
      <c r="BZI184">
        <v>1</v>
      </c>
      <c r="BZK184">
        <v>57</v>
      </c>
      <c r="BZL184">
        <v>61</v>
      </c>
      <c r="BZM184">
        <v>0</v>
      </c>
      <c r="BZN184">
        <v>0</v>
      </c>
      <c r="CED184">
        <v>100</v>
      </c>
      <c r="CEE184">
        <v>4</v>
      </c>
      <c r="CEH184">
        <v>1</v>
      </c>
      <c r="CEI184">
        <v>59</v>
      </c>
      <c r="CEJ184">
        <v>54</v>
      </c>
      <c r="CEK184">
        <v>0</v>
      </c>
      <c r="CEL184">
        <v>4</v>
      </c>
      <c r="CJB184">
        <v>1</v>
      </c>
      <c r="CJC184">
        <v>59</v>
      </c>
      <c r="CJD184">
        <v>54</v>
      </c>
      <c r="CJE184">
        <v>0</v>
      </c>
      <c r="CJF184">
        <v>4</v>
      </c>
      <c r="DNA184">
        <v>2.5</v>
      </c>
      <c r="DNB184">
        <v>1</v>
      </c>
      <c r="DNE184">
        <v>1</v>
      </c>
      <c r="DNF184" s="35">
        <v>999</v>
      </c>
      <c r="DNG184">
        <v>999</v>
      </c>
      <c r="DNH184">
        <v>0</v>
      </c>
      <c r="DNI184">
        <v>999</v>
      </c>
      <c r="EEP184">
        <v>20</v>
      </c>
      <c r="EEQ184">
        <v>1</v>
      </c>
      <c r="EET184">
        <v>1</v>
      </c>
      <c r="EEU184">
        <v>8</v>
      </c>
      <c r="EEV184">
        <v>183</v>
      </c>
      <c r="EEW184">
        <v>175</v>
      </c>
      <c r="EEX184">
        <v>0</v>
      </c>
      <c r="EGR184">
        <v>100</v>
      </c>
      <c r="EGS184">
        <v>1</v>
      </c>
      <c r="EGV184">
        <v>1</v>
      </c>
      <c r="EGW184" s="35">
        <v>999</v>
      </c>
      <c r="EGY184">
        <v>0</v>
      </c>
      <c r="EGZ184">
        <v>999</v>
      </c>
      <c r="EYF184">
        <v>10</v>
      </c>
      <c r="EYG184">
        <v>1</v>
      </c>
      <c r="EYJ184">
        <v>1</v>
      </c>
      <c r="EYK184" s="35">
        <v>999</v>
      </c>
      <c r="EYL184">
        <v>153</v>
      </c>
      <c r="EYM184">
        <v>0</v>
      </c>
      <c r="EYN184">
        <v>999</v>
      </c>
      <c r="HCA184">
        <v>1</v>
      </c>
    </row>
    <row r="185" spans="1:1017 1026:2046 2049:3070 3073:4076 4351:4717 5294:5770" x14ac:dyDescent="0.25">
      <c r="A185" s="50">
        <v>10071135</v>
      </c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IC185">
        <v>6200</v>
      </c>
      <c r="KC185">
        <v>52.2</v>
      </c>
      <c r="KE185" s="3">
        <v>40.799999999999997</v>
      </c>
      <c r="KG185" s="3">
        <v>47.4</v>
      </c>
      <c r="KK185">
        <v>52.2</v>
      </c>
      <c r="NR185">
        <v>52.8</v>
      </c>
      <c r="NT185">
        <v>39</v>
      </c>
      <c r="NV185">
        <v>45</v>
      </c>
      <c r="NZ185">
        <v>58.8</v>
      </c>
      <c r="RF185">
        <v>277.2</v>
      </c>
      <c r="RH185">
        <v>235.2</v>
      </c>
      <c r="RJ185" s="3">
        <v>232.2</v>
      </c>
      <c r="RN185">
        <v>188.4</v>
      </c>
      <c r="VV185" s="3">
        <v>70.160399999999996</v>
      </c>
      <c r="AAF185">
        <v>16.59</v>
      </c>
      <c r="ACS185">
        <v>0.98219999999999996</v>
      </c>
      <c r="ACU185" s="3">
        <v>1.0173000000000001</v>
      </c>
      <c r="ACW185" s="3">
        <v>1.3097000000000001</v>
      </c>
      <c r="AHG185" t="s">
        <v>2338</v>
      </c>
      <c r="AHI185">
        <v>89.4</v>
      </c>
      <c r="AKR185" s="3">
        <v>3.6833999999999998</v>
      </c>
      <c r="AKS185" s="3"/>
      <c r="AKU185" s="3">
        <v>4.4435000000000002</v>
      </c>
      <c r="AKW185" s="3">
        <v>4.4435000000000002</v>
      </c>
      <c r="AMC185">
        <v>145.80000000000001</v>
      </c>
      <c r="AMX185">
        <v>486</v>
      </c>
      <c r="AMZ185">
        <v>138</v>
      </c>
      <c r="ANB185">
        <v>174</v>
      </c>
      <c r="AND185">
        <v>216</v>
      </c>
      <c r="AOK185">
        <v>3</v>
      </c>
      <c r="AOM185">
        <v>63.9</v>
      </c>
      <c r="AOO185">
        <v>18.5</v>
      </c>
      <c r="AOR185">
        <v>3</v>
      </c>
      <c r="ATH185">
        <v>368000</v>
      </c>
      <c r="BAX185">
        <v>48</v>
      </c>
      <c r="BHC185">
        <v>142</v>
      </c>
      <c r="BHG185">
        <v>137</v>
      </c>
      <c r="BII185">
        <v>3.8</v>
      </c>
      <c r="BIL185">
        <v>4</v>
      </c>
      <c r="BJK185">
        <v>2.6</v>
      </c>
      <c r="BJL185">
        <v>2.7</v>
      </c>
      <c r="BPE185">
        <v>29</v>
      </c>
      <c r="BPF185">
        <v>1</v>
      </c>
      <c r="BPH185">
        <v>26.79</v>
      </c>
      <c r="BPJ185">
        <v>1</v>
      </c>
      <c r="BPK185">
        <v>20</v>
      </c>
      <c r="BPL185">
        <v>1</v>
      </c>
      <c r="BPM185">
        <v>1</v>
      </c>
      <c r="BPR185">
        <v>1</v>
      </c>
      <c r="BYJ185">
        <v>1</v>
      </c>
      <c r="BZE185">
        <v>800</v>
      </c>
      <c r="BZF185">
        <v>3</v>
      </c>
      <c r="BZI185">
        <v>1</v>
      </c>
      <c r="BZK185">
        <v>34</v>
      </c>
      <c r="BZL185">
        <v>25</v>
      </c>
      <c r="BZM185">
        <v>0</v>
      </c>
      <c r="BZN185">
        <v>8</v>
      </c>
      <c r="DAO185">
        <v>384</v>
      </c>
      <c r="DAP185">
        <v>3</v>
      </c>
      <c r="DAS185">
        <v>1</v>
      </c>
      <c r="DAT185">
        <v>6</v>
      </c>
      <c r="DAU185">
        <v>25</v>
      </c>
      <c r="DAV185">
        <v>0</v>
      </c>
      <c r="DAW185">
        <v>11</v>
      </c>
      <c r="EAP185">
        <v>40</v>
      </c>
      <c r="EAQ185">
        <v>1</v>
      </c>
      <c r="EAT185">
        <v>1</v>
      </c>
      <c r="EAV185">
        <v>37</v>
      </c>
      <c r="EAW185">
        <v>25</v>
      </c>
      <c r="EAX185">
        <v>0</v>
      </c>
      <c r="EAY185">
        <v>11</v>
      </c>
      <c r="EMC185">
        <v>40</v>
      </c>
      <c r="EMD185">
        <v>1</v>
      </c>
      <c r="EMG185">
        <v>1</v>
      </c>
      <c r="EMH185" s="35">
        <v>999</v>
      </c>
      <c r="EMI185">
        <v>25</v>
      </c>
      <c r="EMJ185">
        <v>0</v>
      </c>
      <c r="EMK185">
        <v>999</v>
      </c>
      <c r="GYA185">
        <v>1</v>
      </c>
      <c r="GZD185">
        <v>1</v>
      </c>
      <c r="GZE185">
        <v>1</v>
      </c>
      <c r="HCB185">
        <v>1</v>
      </c>
      <c r="HCD185">
        <v>1</v>
      </c>
    </row>
    <row r="186" spans="1:1017 1026:2046 2049:3070 3073:4076 4351:4717 5294:5770" x14ac:dyDescent="0.25">
      <c r="A186" s="50">
        <v>10083649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BC186">
        <v>60</v>
      </c>
      <c r="BD186">
        <v>58</v>
      </c>
      <c r="JQ186">
        <v>89</v>
      </c>
      <c r="JR186">
        <v>49</v>
      </c>
      <c r="NF186">
        <v>70</v>
      </c>
      <c r="NG186">
        <v>53</v>
      </c>
      <c r="QT186">
        <v>178</v>
      </c>
      <c r="QU186">
        <v>139</v>
      </c>
      <c r="BPE186">
        <v>53</v>
      </c>
      <c r="BPG186">
        <v>1</v>
      </c>
      <c r="BPJ186">
        <v>1</v>
      </c>
      <c r="BPL186">
        <v>1</v>
      </c>
      <c r="BQQ186">
        <v>1</v>
      </c>
      <c r="BZI186">
        <v>1</v>
      </c>
      <c r="BZK186">
        <v>1</v>
      </c>
      <c r="BZL186">
        <v>0</v>
      </c>
      <c r="BZM186">
        <v>0</v>
      </c>
      <c r="BZN186">
        <v>0</v>
      </c>
      <c r="CHM186">
        <v>1</v>
      </c>
      <c r="CHN186">
        <v>1</v>
      </c>
      <c r="CHO186">
        <v>0</v>
      </c>
      <c r="CHP186">
        <v>0</v>
      </c>
      <c r="CHQ186">
        <v>0</v>
      </c>
      <c r="DOT186">
        <v>1</v>
      </c>
      <c r="DOU186">
        <v>0</v>
      </c>
      <c r="DOV186">
        <v>0</v>
      </c>
      <c r="DOW186">
        <v>0</v>
      </c>
      <c r="FNB186">
        <v>2450</v>
      </c>
      <c r="FNC186">
        <v>1</v>
      </c>
      <c r="FNF186">
        <v>1</v>
      </c>
      <c r="FNG186">
        <v>1</v>
      </c>
      <c r="FNH186">
        <v>0</v>
      </c>
      <c r="FNI186">
        <v>0</v>
      </c>
      <c r="FNJ186">
        <v>0</v>
      </c>
      <c r="GXB186">
        <v>1</v>
      </c>
    </row>
    <row r="187" spans="1:1017 1026:2046 2049:3070 3073:4076 4351:4717 5294:5770" x14ac:dyDescent="0.25">
      <c r="A187" s="50">
        <v>10102021</v>
      </c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JR187">
        <v>55.2</v>
      </c>
      <c r="JT187">
        <v>55.2</v>
      </c>
      <c r="XP187">
        <v>66</v>
      </c>
      <c r="ACG187" s="50"/>
      <c r="ANY187">
        <v>31.2</v>
      </c>
      <c r="AOB187">
        <v>3.51</v>
      </c>
      <c r="AZE187">
        <v>1800.15</v>
      </c>
      <c r="AZJ187">
        <v>4200.34</v>
      </c>
      <c r="BCD187" s="3">
        <v>73</v>
      </c>
      <c r="BCG187" s="3">
        <v>73.599999999999994</v>
      </c>
      <c r="BDJ187" s="3">
        <v>24.332100000000001</v>
      </c>
      <c r="BDM187" s="3">
        <v>24.009899999999998</v>
      </c>
      <c r="BPE187">
        <v>1</v>
      </c>
      <c r="BPF187">
        <v>1</v>
      </c>
      <c r="BPH187">
        <v>13.49</v>
      </c>
      <c r="BPK187">
        <v>1</v>
      </c>
      <c r="BUR187">
        <v>1</v>
      </c>
      <c r="BZI187">
        <v>1</v>
      </c>
      <c r="BZK187" s="35">
        <v>999</v>
      </c>
      <c r="BZL187">
        <v>0</v>
      </c>
      <c r="BZM187">
        <v>0</v>
      </c>
      <c r="BZN187">
        <v>999</v>
      </c>
      <c r="GXL187">
        <v>1</v>
      </c>
      <c r="GYA187">
        <v>1</v>
      </c>
      <c r="GYE187">
        <v>1</v>
      </c>
      <c r="HAJ187">
        <v>1</v>
      </c>
      <c r="HEZ187">
        <v>1</v>
      </c>
    </row>
    <row r="188" spans="1:1017 1026:2046 2049:3070 3073:4076 4351:4717 5294:5770" x14ac:dyDescent="0.25">
      <c r="A188" s="50">
        <v>10123729</v>
      </c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JQ188">
        <v>93.6</v>
      </c>
      <c r="JR188">
        <v>139</v>
      </c>
      <c r="JT188">
        <v>37</v>
      </c>
      <c r="KB188">
        <v>47.4</v>
      </c>
      <c r="LZ188">
        <v>42</v>
      </c>
      <c r="NF188">
        <v>107</v>
      </c>
      <c r="NG188">
        <v>155</v>
      </c>
      <c r="NI188">
        <v>32</v>
      </c>
      <c r="NQ188">
        <v>78.599999999999994</v>
      </c>
      <c r="PQ188">
        <v>26</v>
      </c>
      <c r="ACG188" s="50"/>
      <c r="ACH188">
        <v>16.600000000000001</v>
      </c>
      <c r="ACL188">
        <v>24.4</v>
      </c>
      <c r="ACR188">
        <v>14.7</v>
      </c>
      <c r="AEE188">
        <v>0.9</v>
      </c>
      <c r="AGV188">
        <v>545</v>
      </c>
      <c r="AHF188">
        <v>469</v>
      </c>
      <c r="AML188" s="50"/>
      <c r="AMM188" s="50"/>
      <c r="AMN188" s="50"/>
      <c r="AMO188" s="50"/>
      <c r="AMP188" s="50"/>
      <c r="AMQ188" s="50"/>
      <c r="AMR188" s="50"/>
      <c r="AMS188" s="50"/>
      <c r="AMT188" s="50"/>
      <c r="BPE188">
        <v>88</v>
      </c>
      <c r="BPG188">
        <v>1</v>
      </c>
      <c r="BPH188">
        <v>17.97</v>
      </c>
      <c r="BSU188">
        <v>1</v>
      </c>
      <c r="BSZ188">
        <v>1</v>
      </c>
      <c r="BTM188">
        <v>1</v>
      </c>
      <c r="BUW188">
        <v>1</v>
      </c>
      <c r="BVT188">
        <v>1</v>
      </c>
      <c r="BZI188">
        <v>1</v>
      </c>
      <c r="BZK188">
        <v>180</v>
      </c>
      <c r="BZL188">
        <v>180</v>
      </c>
      <c r="BZM188">
        <v>1</v>
      </c>
      <c r="BZN188">
        <v>0</v>
      </c>
      <c r="BZO188">
        <v>50</v>
      </c>
      <c r="DEN188">
        <v>25</v>
      </c>
      <c r="DEO188">
        <v>1</v>
      </c>
      <c r="DER188">
        <v>1</v>
      </c>
      <c r="DES188" s="35">
        <v>999</v>
      </c>
      <c r="DET188">
        <v>26</v>
      </c>
      <c r="DEU188">
        <v>0</v>
      </c>
      <c r="DEV188">
        <v>999</v>
      </c>
      <c r="DNA188">
        <v>2.5</v>
      </c>
      <c r="DNB188">
        <v>1</v>
      </c>
      <c r="DNE188">
        <v>1</v>
      </c>
      <c r="DNF188" s="35">
        <v>999</v>
      </c>
      <c r="DNG188">
        <v>153</v>
      </c>
      <c r="DNH188">
        <v>0</v>
      </c>
      <c r="DNI188">
        <v>999</v>
      </c>
      <c r="DWL188">
        <v>15</v>
      </c>
      <c r="DWM188">
        <v>1</v>
      </c>
      <c r="DWP188">
        <v>1</v>
      </c>
      <c r="DWQ188">
        <v>122</v>
      </c>
      <c r="DWR188">
        <v>122</v>
      </c>
      <c r="DWS188">
        <v>0</v>
      </c>
      <c r="DWT188">
        <v>1</v>
      </c>
      <c r="DWU188">
        <v>50</v>
      </c>
      <c r="EEP188">
        <v>5</v>
      </c>
      <c r="EEQ188">
        <v>1</v>
      </c>
      <c r="EET188">
        <v>1</v>
      </c>
      <c r="EEU188" s="35">
        <v>999</v>
      </c>
      <c r="EEV188">
        <v>915</v>
      </c>
      <c r="EEW188">
        <v>0</v>
      </c>
      <c r="EEX188">
        <v>999</v>
      </c>
      <c r="EMC188">
        <v>20</v>
      </c>
      <c r="EMD188">
        <v>1</v>
      </c>
      <c r="EMG188">
        <v>1</v>
      </c>
      <c r="EMH188" s="35">
        <v>999</v>
      </c>
      <c r="EMI188">
        <v>214</v>
      </c>
      <c r="EMJ188">
        <v>0</v>
      </c>
      <c r="EMK188">
        <v>999</v>
      </c>
      <c r="EZO188">
        <v>1</v>
      </c>
      <c r="EZP188">
        <v>92</v>
      </c>
      <c r="EZQ188">
        <v>92</v>
      </c>
      <c r="EZT188">
        <v>50</v>
      </c>
      <c r="GUP188">
        <v>1</v>
      </c>
      <c r="HCA188">
        <v>1</v>
      </c>
    </row>
    <row r="189" spans="1:1017 1026:2046 2049:3070 3073:4076 4351:4717 5294:5770" x14ac:dyDescent="0.25">
      <c r="A189" s="50">
        <v>10144736</v>
      </c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IZ189">
        <v>12</v>
      </c>
      <c r="JQ189">
        <v>204</v>
      </c>
      <c r="JR189">
        <v>131</v>
      </c>
      <c r="JT189">
        <v>19</v>
      </c>
      <c r="MO189">
        <v>11</v>
      </c>
      <c r="NF189">
        <v>85</v>
      </c>
      <c r="NG189">
        <v>214</v>
      </c>
      <c r="NI189">
        <v>96</v>
      </c>
      <c r="ACG189" s="50">
        <v>0.73</v>
      </c>
      <c r="AGU189">
        <v>92</v>
      </c>
      <c r="AML189" s="50"/>
      <c r="AMM189" s="50"/>
      <c r="AMN189" s="50"/>
      <c r="AMO189" s="50"/>
      <c r="AMP189" s="50"/>
      <c r="AMQ189" s="50"/>
      <c r="AMR189" s="50"/>
      <c r="AMS189" s="50"/>
      <c r="AMT189" s="50"/>
      <c r="BPE189">
        <v>56</v>
      </c>
      <c r="BPG189">
        <v>1</v>
      </c>
      <c r="BPH189">
        <v>23.8</v>
      </c>
      <c r="BQZ189">
        <v>1</v>
      </c>
      <c r="BSD189">
        <v>1</v>
      </c>
      <c r="BXN189">
        <v>1</v>
      </c>
      <c r="BZE189">
        <v>800</v>
      </c>
      <c r="BZF189">
        <v>1</v>
      </c>
      <c r="BZI189">
        <v>1</v>
      </c>
      <c r="BZK189">
        <v>732</v>
      </c>
      <c r="BZL189">
        <v>732</v>
      </c>
      <c r="BZM189">
        <v>1</v>
      </c>
      <c r="BZN189">
        <v>0</v>
      </c>
      <c r="BZO189">
        <v>30</v>
      </c>
      <c r="CBM189">
        <v>1</v>
      </c>
      <c r="CBN189">
        <v>1</v>
      </c>
      <c r="CBO189">
        <v>1</v>
      </c>
      <c r="CBP189">
        <v>1</v>
      </c>
      <c r="CBQ189">
        <v>0</v>
      </c>
      <c r="CBR189">
        <v>50</v>
      </c>
      <c r="CHM189">
        <v>1</v>
      </c>
      <c r="CHN189">
        <v>1</v>
      </c>
      <c r="CHO189">
        <v>1</v>
      </c>
      <c r="CHP189">
        <v>1</v>
      </c>
      <c r="CHQ189">
        <v>0</v>
      </c>
      <c r="GXZ189">
        <v>1</v>
      </c>
      <c r="GYA189">
        <v>1</v>
      </c>
      <c r="GZE189">
        <v>1</v>
      </c>
      <c r="HCA189">
        <v>1</v>
      </c>
    </row>
    <row r="190" spans="1:1017 1026:2046 2049:3070 3073:4076 4351:4717 5294:5770" x14ac:dyDescent="0.25">
      <c r="A190" s="50">
        <v>10157275</v>
      </c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EF190">
        <v>7</v>
      </c>
      <c r="JR190">
        <v>462</v>
      </c>
      <c r="KV190">
        <v>38</v>
      </c>
      <c r="KZ190">
        <v>462</v>
      </c>
      <c r="LU190">
        <v>125</v>
      </c>
      <c r="MD190">
        <v>102</v>
      </c>
      <c r="NF190">
        <v>401</v>
      </c>
      <c r="ON190">
        <v>401</v>
      </c>
      <c r="PH190">
        <v>77</v>
      </c>
      <c r="PU190">
        <v>67</v>
      </c>
      <c r="PW190">
        <v>18</v>
      </c>
      <c r="QS190">
        <v>168</v>
      </c>
      <c r="RA190">
        <v>173</v>
      </c>
      <c r="SY190">
        <v>53</v>
      </c>
      <c r="ACG190" s="59"/>
      <c r="AEI190" s="50">
        <v>106</v>
      </c>
      <c r="AGT190">
        <v>133</v>
      </c>
      <c r="AIZ190" s="50"/>
      <c r="AJA190" s="50"/>
      <c r="AJB190" s="50"/>
      <c r="AJC190" s="50"/>
      <c r="AJD190" s="50"/>
      <c r="AJE190" s="50"/>
      <c r="AJF190" s="50"/>
      <c r="AJG190" s="50"/>
      <c r="AJH190" s="50"/>
      <c r="AJI190" s="50"/>
      <c r="AJJ190" s="50"/>
      <c r="AJK190" s="50"/>
      <c r="AJL190" s="50"/>
      <c r="AJM190" s="50"/>
      <c r="AJN190" s="50"/>
      <c r="AJO190" s="50"/>
      <c r="ALO190">
        <v>110</v>
      </c>
      <c r="AML190" s="50"/>
      <c r="AMM190" s="50">
        <v>92</v>
      </c>
      <c r="AMN190" s="50"/>
      <c r="AMO190" s="50"/>
      <c r="AMP190" s="50"/>
      <c r="AMQ190" s="50"/>
      <c r="AMR190" s="50"/>
      <c r="AMS190" s="50"/>
      <c r="AMT190" s="50"/>
      <c r="BPE190">
        <v>71</v>
      </c>
      <c r="BPG190">
        <v>1</v>
      </c>
      <c r="BPH190">
        <v>25.08</v>
      </c>
      <c r="BPJ190">
        <v>1</v>
      </c>
      <c r="BSV190">
        <v>1</v>
      </c>
      <c r="BTQ190">
        <v>1</v>
      </c>
      <c r="BXR190">
        <v>1</v>
      </c>
      <c r="BYG190">
        <v>1</v>
      </c>
      <c r="BZE190">
        <v>3000</v>
      </c>
      <c r="BZF190">
        <v>1</v>
      </c>
      <c r="BZI190">
        <v>1</v>
      </c>
      <c r="BZP190">
        <v>1</v>
      </c>
      <c r="CAB190">
        <v>1</v>
      </c>
      <c r="CBH190">
        <v>1</v>
      </c>
      <c r="CCC190">
        <v>1660</v>
      </c>
      <c r="CCD190">
        <v>1</v>
      </c>
      <c r="CPX190">
        <v>400</v>
      </c>
      <c r="CPY190">
        <v>1</v>
      </c>
      <c r="CQB190">
        <v>1</v>
      </c>
      <c r="CQC190">
        <v>11</v>
      </c>
      <c r="CQD190">
        <v>0</v>
      </c>
      <c r="CQE190">
        <v>0</v>
      </c>
      <c r="CQF190">
        <v>10</v>
      </c>
      <c r="DVQ190">
        <v>1</v>
      </c>
      <c r="DXL190">
        <v>22</v>
      </c>
      <c r="DXM190">
        <v>11</v>
      </c>
      <c r="DXN190">
        <v>0</v>
      </c>
      <c r="DXO190">
        <v>10</v>
      </c>
      <c r="EBU190">
        <v>10</v>
      </c>
      <c r="EBV190">
        <v>1</v>
      </c>
      <c r="ECP190">
        <v>20</v>
      </c>
      <c r="ECQ190">
        <v>2</v>
      </c>
      <c r="ECT190">
        <v>1</v>
      </c>
      <c r="FKI190">
        <v>1</v>
      </c>
      <c r="FKJ190">
        <v>1</v>
      </c>
      <c r="FKM190">
        <v>1</v>
      </c>
      <c r="GXC190">
        <v>1</v>
      </c>
      <c r="GXP190">
        <v>1</v>
      </c>
      <c r="GYS190">
        <v>1</v>
      </c>
      <c r="HBU190">
        <v>1</v>
      </c>
      <c r="HBX190">
        <v>1</v>
      </c>
      <c r="HCA190">
        <v>1</v>
      </c>
    </row>
    <row r="191" spans="1:1017 1026:2046 2049:3070 3073:4076 4351:4717 5294:5770" x14ac:dyDescent="0.25">
      <c r="A191" s="56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ACG191" s="50"/>
      <c r="AIZ191" s="50"/>
      <c r="AJA191" s="50"/>
      <c r="AJB191" s="50"/>
      <c r="AJC191" s="50"/>
      <c r="AJD191" s="50"/>
      <c r="AJE191" s="50"/>
      <c r="AJF191" s="50"/>
      <c r="AJG191" s="50"/>
      <c r="AJH191" s="50"/>
      <c r="AJI191" s="50"/>
      <c r="AJJ191" s="50"/>
      <c r="AJK191" s="50"/>
      <c r="AJL191" s="50"/>
      <c r="AJM191" s="50"/>
      <c r="AJN191" s="50"/>
      <c r="AJO191" s="50"/>
      <c r="AML191" s="50"/>
      <c r="AMM191" s="50"/>
      <c r="AMN191" s="50"/>
      <c r="AMO191" s="50"/>
      <c r="AMP191" s="50"/>
      <c r="AMQ191" s="50"/>
      <c r="AMR191" s="50"/>
      <c r="AMS191" s="50"/>
      <c r="AMT191" s="50"/>
    </row>
    <row r="192" spans="1:1017 1026:2046 2049:3070 3073:4076 4351:4717 5294:5770" x14ac:dyDescent="0.25">
      <c r="A192" s="53" t="s">
        <v>131</v>
      </c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ACG192" s="50"/>
      <c r="AIZ192" s="50"/>
      <c r="AJA192" s="50"/>
      <c r="AJB192" s="50"/>
      <c r="AJC192" s="50"/>
      <c r="AJD192" s="50"/>
      <c r="AJE192" s="50"/>
      <c r="AJF192" s="50"/>
      <c r="AJG192" s="50"/>
      <c r="AJH192" s="50"/>
      <c r="AJI192" s="50"/>
      <c r="AJJ192" s="50"/>
      <c r="AJK192" s="50"/>
      <c r="AJL192" s="50"/>
      <c r="AJM192" s="50"/>
      <c r="AJN192" s="50"/>
      <c r="AJO192" s="50"/>
      <c r="AML192" s="50"/>
      <c r="AMM192" s="50"/>
      <c r="AMN192" s="50"/>
      <c r="AMO192" s="50"/>
      <c r="AMP192" s="50"/>
      <c r="AMQ192" s="50"/>
      <c r="AMR192" s="50"/>
      <c r="AMS192" s="50"/>
      <c r="AMT192" s="50"/>
    </row>
    <row r="193" spans="1:1019 1026:2047 2049:3067 3171:4095 4214:4828 5202:5763" x14ac:dyDescent="0.25">
      <c r="A193" s="50">
        <v>5281</v>
      </c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BB193">
        <v>18</v>
      </c>
      <c r="JP193">
        <v>5300</v>
      </c>
      <c r="JX193">
        <v>136</v>
      </c>
      <c r="NE193">
        <v>5300</v>
      </c>
      <c r="NM193">
        <v>849</v>
      </c>
      <c r="UM193">
        <v>128</v>
      </c>
      <c r="ACF193" s="3">
        <v>5.8467000000000002</v>
      </c>
      <c r="ACG193" s="50"/>
      <c r="AIZ193" s="50"/>
      <c r="AJA193" s="50"/>
      <c r="AJB193" s="50"/>
      <c r="AJC193" s="50"/>
      <c r="AJD193" s="50"/>
      <c r="AJE193" s="50"/>
      <c r="AJF193" s="50"/>
      <c r="AJG193" s="50"/>
      <c r="AJH193" s="50"/>
      <c r="AJI193" s="50"/>
      <c r="AJJ193" s="50"/>
      <c r="AJK193" s="50"/>
      <c r="AJL193" s="50"/>
      <c r="AJM193" s="50"/>
      <c r="AJN193" s="50"/>
      <c r="AJO193" s="50"/>
      <c r="AML193" s="50"/>
      <c r="AMM193" s="50"/>
      <c r="AMN193" s="50"/>
      <c r="AMO193" s="50"/>
      <c r="AMP193" s="50"/>
      <c r="AMQ193" s="50"/>
      <c r="AMR193" s="50"/>
      <c r="AMS193" s="50"/>
      <c r="AMT193" s="50"/>
      <c r="BPE193">
        <v>24</v>
      </c>
      <c r="BPG193">
        <v>1</v>
      </c>
      <c r="BPH193">
        <v>18.8</v>
      </c>
      <c r="BPJ193">
        <v>1</v>
      </c>
      <c r="BPM193">
        <v>1</v>
      </c>
      <c r="BYV193">
        <v>1</v>
      </c>
      <c r="BYY193">
        <v>1</v>
      </c>
      <c r="BYZ193">
        <v>0</v>
      </c>
      <c r="BZA193">
        <v>0</v>
      </c>
      <c r="BZB193">
        <v>0</v>
      </c>
      <c r="BZQ193" s="50">
        <v>16</v>
      </c>
      <c r="BZR193" s="50">
        <v>1</v>
      </c>
      <c r="BZU193">
        <v>1</v>
      </c>
      <c r="BZW193">
        <v>1</v>
      </c>
      <c r="BZX193">
        <v>0</v>
      </c>
      <c r="BZY193">
        <v>0</v>
      </c>
      <c r="BZZ193">
        <v>0</v>
      </c>
      <c r="CHI193" s="50"/>
      <c r="CHJ193">
        <v>1</v>
      </c>
      <c r="CHM193">
        <v>1</v>
      </c>
      <c r="CHN193">
        <v>1</v>
      </c>
      <c r="CHO193">
        <v>0</v>
      </c>
      <c r="CHP193">
        <v>0</v>
      </c>
      <c r="CHQ193">
        <v>0</v>
      </c>
      <c r="FAE193">
        <v>20</v>
      </c>
      <c r="FAF193">
        <v>1</v>
      </c>
      <c r="FAI193">
        <v>1</v>
      </c>
      <c r="FAJ193">
        <v>1</v>
      </c>
      <c r="FAK193">
        <v>0</v>
      </c>
      <c r="FAL193">
        <v>0</v>
      </c>
      <c r="FAM193">
        <v>0</v>
      </c>
      <c r="HBV193">
        <v>1</v>
      </c>
    </row>
    <row r="194" spans="1:1019 1026:2047 2049:3067 3171:4095 4214:4828 5202:5763" x14ac:dyDescent="0.25">
      <c r="A194" s="50">
        <v>200085</v>
      </c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>
        <v>20</v>
      </c>
      <c r="M194" s="50">
        <v>12</v>
      </c>
      <c r="N194" s="50"/>
      <c r="O194" s="50"/>
      <c r="P194" s="50"/>
      <c r="Q194" s="50">
        <v>8</v>
      </c>
      <c r="R194">
        <v>8</v>
      </c>
      <c r="S194">
        <v>8</v>
      </c>
      <c r="U194">
        <v>9</v>
      </c>
      <c r="BG194">
        <v>100</v>
      </c>
      <c r="BI194">
        <v>100</v>
      </c>
      <c r="BL194">
        <v>100</v>
      </c>
      <c r="BN194">
        <v>100</v>
      </c>
      <c r="BQ194">
        <v>100</v>
      </c>
      <c r="BR194">
        <v>100</v>
      </c>
      <c r="EA194">
        <v>43</v>
      </c>
      <c r="EB194">
        <v>37</v>
      </c>
      <c r="EC194">
        <v>25</v>
      </c>
      <c r="ED194">
        <v>26</v>
      </c>
      <c r="EK194">
        <v>29</v>
      </c>
      <c r="EM194">
        <v>26</v>
      </c>
      <c r="EP194">
        <v>23</v>
      </c>
      <c r="ER194">
        <v>23</v>
      </c>
      <c r="ET194">
        <v>23</v>
      </c>
      <c r="EU194">
        <v>25</v>
      </c>
      <c r="JD194">
        <v>14</v>
      </c>
      <c r="JE194">
        <v>14</v>
      </c>
      <c r="JL194">
        <v>26</v>
      </c>
      <c r="JP194">
        <v>125</v>
      </c>
      <c r="JQ194">
        <v>42</v>
      </c>
      <c r="JR194">
        <v>88</v>
      </c>
      <c r="JS194">
        <v>104</v>
      </c>
      <c r="JT194">
        <v>125</v>
      </c>
      <c r="JU194">
        <v>105</v>
      </c>
      <c r="JV194">
        <v>70</v>
      </c>
      <c r="JW194">
        <v>51</v>
      </c>
      <c r="JX194">
        <v>41</v>
      </c>
      <c r="JZ194">
        <v>36</v>
      </c>
      <c r="KB194">
        <v>21</v>
      </c>
      <c r="KF194">
        <v>17</v>
      </c>
      <c r="KI194">
        <v>12</v>
      </c>
      <c r="KM194">
        <v>13</v>
      </c>
      <c r="KO194">
        <v>13</v>
      </c>
      <c r="MS194">
        <v>27</v>
      </c>
      <c r="MZ194">
        <v>36</v>
      </c>
      <c r="NA194">
        <v>58</v>
      </c>
      <c r="NE194">
        <v>343</v>
      </c>
      <c r="NF194">
        <v>110</v>
      </c>
      <c r="NG194">
        <v>205</v>
      </c>
      <c r="NH194">
        <v>277</v>
      </c>
      <c r="NI194">
        <v>343</v>
      </c>
      <c r="NJ194">
        <v>302</v>
      </c>
      <c r="NK194">
        <v>278</v>
      </c>
      <c r="NL194">
        <v>241</v>
      </c>
      <c r="NM194">
        <v>195</v>
      </c>
      <c r="NO194">
        <v>145</v>
      </c>
      <c r="NQ194">
        <v>102</v>
      </c>
      <c r="NU194">
        <v>48</v>
      </c>
      <c r="NW194">
        <v>29</v>
      </c>
      <c r="NX194">
        <v>23</v>
      </c>
      <c r="OB194">
        <v>22</v>
      </c>
      <c r="OE194">
        <v>21</v>
      </c>
      <c r="QH194">
        <v>42</v>
      </c>
      <c r="QM194">
        <v>38</v>
      </c>
      <c r="QN194">
        <v>33</v>
      </c>
      <c r="QS194">
        <v>240</v>
      </c>
      <c r="QT194">
        <v>82</v>
      </c>
      <c r="QU194">
        <v>174</v>
      </c>
      <c r="QV194">
        <v>216</v>
      </c>
      <c r="QW194">
        <v>242</v>
      </c>
      <c r="QX194">
        <v>221</v>
      </c>
      <c r="QY194">
        <v>215</v>
      </c>
      <c r="QZ194">
        <v>216</v>
      </c>
      <c r="RA194">
        <v>191</v>
      </c>
      <c r="RC194">
        <v>192</v>
      </c>
      <c r="RE194">
        <v>168</v>
      </c>
      <c r="RI194">
        <v>135</v>
      </c>
      <c r="RK194">
        <v>98</v>
      </c>
      <c r="RP194">
        <v>78</v>
      </c>
      <c r="RR194">
        <v>56</v>
      </c>
      <c r="TA194">
        <v>166</v>
      </c>
      <c r="TL194">
        <v>170</v>
      </c>
      <c r="TM194">
        <v>222</v>
      </c>
      <c r="TN194">
        <v>248</v>
      </c>
      <c r="TO194">
        <v>257</v>
      </c>
      <c r="TP194">
        <v>254</v>
      </c>
      <c r="TQ194">
        <v>193</v>
      </c>
      <c r="TR194">
        <v>182</v>
      </c>
      <c r="TS194">
        <v>169</v>
      </c>
      <c r="TU194">
        <v>157</v>
      </c>
      <c r="TW194">
        <v>147</v>
      </c>
      <c r="TZ194">
        <v>156</v>
      </c>
      <c r="ABV194">
        <v>0.42</v>
      </c>
      <c r="ACH194">
        <v>0.73</v>
      </c>
      <c r="ACI194">
        <v>0.7</v>
      </c>
      <c r="ACK194">
        <v>0.57999999999999996</v>
      </c>
      <c r="ACL194">
        <v>0.55000000000000004</v>
      </c>
      <c r="ACM194">
        <v>0.59</v>
      </c>
      <c r="ACN194">
        <v>0.45</v>
      </c>
      <c r="ACP194">
        <v>0.54</v>
      </c>
      <c r="ACR194">
        <v>0.48</v>
      </c>
      <c r="ADE194">
        <v>0.51</v>
      </c>
      <c r="AGH194">
        <v>203</v>
      </c>
      <c r="AGI194">
        <v>203</v>
      </c>
      <c r="AGO194">
        <v>164</v>
      </c>
      <c r="AGP194">
        <v>156</v>
      </c>
      <c r="AGT194">
        <v>240</v>
      </c>
      <c r="AGU194">
        <v>152</v>
      </c>
      <c r="AGW194">
        <v>188</v>
      </c>
      <c r="AGX194">
        <v>206</v>
      </c>
      <c r="AGY194">
        <v>198</v>
      </c>
      <c r="AGZ194">
        <v>185</v>
      </c>
      <c r="AHA194">
        <v>199</v>
      </c>
      <c r="AHB194">
        <v>241</v>
      </c>
      <c r="AHD194">
        <v>221</v>
      </c>
      <c r="AHF194">
        <v>212</v>
      </c>
      <c r="AHJ194">
        <v>198</v>
      </c>
      <c r="AHL194">
        <v>184</v>
      </c>
      <c r="AHQ194">
        <v>174</v>
      </c>
      <c r="AHT194">
        <v>159</v>
      </c>
      <c r="AIZ194" s="50">
        <v>8.74</v>
      </c>
      <c r="AJA194" s="50"/>
      <c r="AJB194" s="50"/>
      <c r="AJC194" s="50">
        <v>5.89</v>
      </c>
      <c r="AJD194" s="50">
        <v>4.67</v>
      </c>
      <c r="AJE194" s="50">
        <v>5.54</v>
      </c>
      <c r="AJF194" s="50"/>
      <c r="AJG194" s="50"/>
      <c r="AJH194" s="50">
        <v>6.33</v>
      </c>
      <c r="AJI194" s="50">
        <v>6.55</v>
      </c>
      <c r="AJJ194" s="50"/>
      <c r="AJK194" s="50">
        <v>7.66</v>
      </c>
      <c r="AJL194" s="50"/>
      <c r="AJM194" s="50"/>
      <c r="AJN194" s="50"/>
      <c r="AJO194" s="50"/>
      <c r="AML194" s="50"/>
      <c r="AMM194" s="50"/>
      <c r="AMN194" s="50"/>
      <c r="AMO194" s="50"/>
      <c r="AMP194" s="50"/>
      <c r="AMQ194" s="50"/>
      <c r="AMR194" s="50"/>
      <c r="AMS194" s="50"/>
      <c r="AMT194" s="50"/>
      <c r="BPE194">
        <v>60</v>
      </c>
      <c r="BPG194">
        <v>1</v>
      </c>
      <c r="BPK194">
        <v>26</v>
      </c>
      <c r="BSN194">
        <v>1</v>
      </c>
      <c r="BWG194">
        <v>1</v>
      </c>
      <c r="BZQ194" s="50">
        <v>500</v>
      </c>
      <c r="BZR194" s="50">
        <v>3</v>
      </c>
      <c r="BZU194">
        <v>1</v>
      </c>
      <c r="BZW194">
        <v>13</v>
      </c>
      <c r="BZX194">
        <v>11</v>
      </c>
      <c r="BZY194">
        <v>0</v>
      </c>
      <c r="BZZ194">
        <v>1</v>
      </c>
      <c r="CAC194">
        <v>35000</v>
      </c>
      <c r="CAE194">
        <v>1</v>
      </c>
      <c r="CAH194">
        <v>5</v>
      </c>
      <c r="CAI194">
        <v>6</v>
      </c>
      <c r="CAJ194">
        <v>2</v>
      </c>
      <c r="CAK194">
        <v>0</v>
      </c>
      <c r="DJO194">
        <v>2.5</v>
      </c>
      <c r="DJP194">
        <v>1</v>
      </c>
      <c r="DJS194">
        <v>1</v>
      </c>
      <c r="EEP194">
        <v>80</v>
      </c>
      <c r="EEQ194">
        <v>1</v>
      </c>
      <c r="EET194">
        <v>1</v>
      </c>
      <c r="EEU194">
        <v>5</v>
      </c>
      <c r="EEV194">
        <v>3</v>
      </c>
      <c r="EEW194">
        <v>0</v>
      </c>
      <c r="EEX194">
        <v>1</v>
      </c>
      <c r="EJJ194">
        <v>150</v>
      </c>
      <c r="EJK194">
        <v>1</v>
      </c>
      <c r="EJN194">
        <v>1</v>
      </c>
      <c r="EJO194">
        <v>5</v>
      </c>
      <c r="EJP194">
        <v>3</v>
      </c>
      <c r="EJQ194">
        <v>1</v>
      </c>
      <c r="FYW194">
        <v>50</v>
      </c>
      <c r="FYX194">
        <v>0.14299999999999999</v>
      </c>
      <c r="HCA194">
        <v>1</v>
      </c>
    </row>
    <row r="195" spans="1:1019 1026:2047 2049:3067 3171:4095 4214:4828 5202:5763" x14ac:dyDescent="0.25">
      <c r="A195" s="50">
        <v>500129</v>
      </c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BL195">
        <v>39</v>
      </c>
      <c r="BO195">
        <v>48</v>
      </c>
      <c r="BW195">
        <v>88</v>
      </c>
      <c r="CR195">
        <v>1.2</v>
      </c>
      <c r="CT195">
        <v>1.73</v>
      </c>
      <c r="EL195">
        <v>31</v>
      </c>
      <c r="EN195">
        <v>36</v>
      </c>
      <c r="ER195">
        <v>30.9</v>
      </c>
      <c r="EX195">
        <v>28</v>
      </c>
      <c r="FP195">
        <v>25</v>
      </c>
      <c r="GR195">
        <v>240</v>
      </c>
      <c r="GS195">
        <v>250</v>
      </c>
      <c r="JV195">
        <v>29.9</v>
      </c>
      <c r="JX195">
        <v>52</v>
      </c>
      <c r="JZ195">
        <v>4125</v>
      </c>
      <c r="KB195">
        <v>2577</v>
      </c>
      <c r="KC195">
        <v>1223</v>
      </c>
      <c r="KJ195">
        <v>132</v>
      </c>
      <c r="KV195">
        <v>269</v>
      </c>
      <c r="KW195">
        <v>125</v>
      </c>
      <c r="LV195">
        <v>120</v>
      </c>
      <c r="NK195">
        <v>24.6</v>
      </c>
      <c r="NM195">
        <v>8.6</v>
      </c>
      <c r="NO195">
        <v>4298</v>
      </c>
      <c r="NQ195">
        <v>3607</v>
      </c>
      <c r="NR195">
        <v>2361</v>
      </c>
      <c r="NY195">
        <v>274</v>
      </c>
      <c r="OH195">
        <v>186</v>
      </c>
      <c r="OK195">
        <v>76</v>
      </c>
      <c r="PL195">
        <v>69</v>
      </c>
      <c r="QY195">
        <v>10.73</v>
      </c>
      <c r="RA195">
        <v>9.1199999999999992</v>
      </c>
      <c r="RC195">
        <v>526</v>
      </c>
      <c r="RE195">
        <v>399</v>
      </c>
      <c r="RF195">
        <v>362</v>
      </c>
      <c r="RM195">
        <v>399</v>
      </c>
      <c r="RW195">
        <v>619</v>
      </c>
      <c r="RX195">
        <v>900</v>
      </c>
      <c r="ACP195" s="3">
        <v>18.23</v>
      </c>
      <c r="ACR195" s="3">
        <v>20.8201</v>
      </c>
      <c r="ACS195" s="3">
        <v>20.825900000000001</v>
      </c>
      <c r="ADJ195" s="3">
        <v>24.965399999999999</v>
      </c>
      <c r="ADK195" s="3">
        <v>12.2781</v>
      </c>
      <c r="AEA195" s="3">
        <v>5.8467000000000002</v>
      </c>
      <c r="AEB195" s="3"/>
      <c r="AER195" s="3">
        <v>15.7042</v>
      </c>
      <c r="AES195" s="3"/>
      <c r="AGZ195">
        <v>5.4</v>
      </c>
      <c r="AHB195">
        <v>4.9400000000000004</v>
      </c>
      <c r="AHD195">
        <v>144</v>
      </c>
      <c r="AHF195">
        <v>135</v>
      </c>
      <c r="AHG195">
        <v>139</v>
      </c>
      <c r="AHN195">
        <v>211</v>
      </c>
      <c r="AIA195">
        <v>437</v>
      </c>
      <c r="AIB195">
        <v>440</v>
      </c>
      <c r="AIZ195" s="50"/>
      <c r="AJA195" s="50"/>
      <c r="AJB195" s="50"/>
      <c r="AJC195" s="50"/>
      <c r="AJD195" s="50"/>
      <c r="AJE195" s="50"/>
      <c r="AJF195" s="50"/>
      <c r="AJG195" s="50"/>
      <c r="AJH195" s="50"/>
      <c r="AJI195" s="50"/>
      <c r="AJJ195" s="50"/>
      <c r="AJK195" s="50"/>
      <c r="AJL195" s="50"/>
      <c r="AJM195" s="50"/>
      <c r="AJN195" s="50"/>
      <c r="AJO195" s="50"/>
      <c r="AKK195">
        <v>0.88229999999999997</v>
      </c>
      <c r="AKO195">
        <v>0.8054</v>
      </c>
      <c r="AKQ195">
        <v>0.6663</v>
      </c>
      <c r="AKR195">
        <v>0.58030000000000004</v>
      </c>
      <c r="ALD195">
        <v>0.69</v>
      </c>
      <c r="ALU195">
        <v>152</v>
      </c>
      <c r="AME195">
        <v>142</v>
      </c>
      <c r="AML195" s="50"/>
      <c r="AMM195" s="50"/>
      <c r="AMN195" s="50"/>
      <c r="AMO195" s="50"/>
      <c r="AMP195" s="50"/>
      <c r="AMQ195" s="50"/>
      <c r="AMR195" s="50"/>
      <c r="AMS195" s="50"/>
      <c r="AMT195" s="50"/>
      <c r="ANH195">
        <v>200</v>
      </c>
      <c r="AOD195">
        <v>54</v>
      </c>
      <c r="AQD195" s="3">
        <v>52.6008</v>
      </c>
      <c r="AQE195" s="3"/>
      <c r="ATU195">
        <v>156000</v>
      </c>
      <c r="BGV195">
        <v>135</v>
      </c>
      <c r="BHB195">
        <v>144</v>
      </c>
      <c r="BHC195">
        <v>141</v>
      </c>
      <c r="BHJ195">
        <v>140</v>
      </c>
      <c r="BIB195">
        <v>3.69</v>
      </c>
      <c r="BIH195">
        <v>5.01</v>
      </c>
      <c r="BII195">
        <v>3.4</v>
      </c>
      <c r="BIN195">
        <v>3.64</v>
      </c>
      <c r="BPE195">
        <v>72</v>
      </c>
      <c r="BPG195">
        <v>1</v>
      </c>
      <c r="BPJ195">
        <v>1</v>
      </c>
      <c r="BPO195">
        <v>1</v>
      </c>
      <c r="BPZ195">
        <v>1</v>
      </c>
      <c r="BQD195">
        <v>1</v>
      </c>
      <c r="BQW195">
        <v>1</v>
      </c>
      <c r="BQY195">
        <v>1</v>
      </c>
      <c r="BRI195">
        <v>1</v>
      </c>
      <c r="BSX195">
        <v>1</v>
      </c>
      <c r="BSZ195">
        <v>1</v>
      </c>
      <c r="BUX195">
        <v>1</v>
      </c>
      <c r="BZQ195" s="50">
        <v>500</v>
      </c>
      <c r="BZR195" s="50">
        <v>1</v>
      </c>
      <c r="BZU195">
        <v>1</v>
      </c>
      <c r="BZW195" s="15">
        <v>999</v>
      </c>
      <c r="BZX195">
        <v>999</v>
      </c>
      <c r="BZY195">
        <v>0</v>
      </c>
      <c r="BZZ195">
        <v>9</v>
      </c>
      <c r="CAD195">
        <v>3</v>
      </c>
      <c r="CAG195">
        <v>1</v>
      </c>
      <c r="CAH195" s="15">
        <v>999</v>
      </c>
      <c r="CAI195">
        <v>999</v>
      </c>
      <c r="DDC195">
        <v>1</v>
      </c>
      <c r="DDD195" s="15">
        <v>999</v>
      </c>
      <c r="DDE195">
        <v>999</v>
      </c>
      <c r="DDF195">
        <v>0</v>
      </c>
      <c r="DDG195">
        <v>9</v>
      </c>
      <c r="DMU195">
        <v>1</v>
      </c>
      <c r="DMV195" s="15">
        <v>999</v>
      </c>
      <c r="DMW195">
        <v>999</v>
      </c>
      <c r="DMX195">
        <v>0</v>
      </c>
      <c r="DMY195">
        <v>9</v>
      </c>
      <c r="DQY195">
        <v>7.0000000000000007E-2</v>
      </c>
      <c r="DQZ195">
        <v>1</v>
      </c>
      <c r="DRC195">
        <v>1</v>
      </c>
      <c r="DUM195">
        <v>120</v>
      </c>
      <c r="DUN195">
        <v>2</v>
      </c>
      <c r="DUQ195">
        <v>1</v>
      </c>
      <c r="DUR195" s="15">
        <v>999</v>
      </c>
      <c r="DUS195">
        <v>999</v>
      </c>
      <c r="DUT195">
        <v>0</v>
      </c>
      <c r="DUU195">
        <v>9</v>
      </c>
      <c r="EEP195">
        <v>5</v>
      </c>
      <c r="EEQ195">
        <v>1</v>
      </c>
      <c r="EET195">
        <v>1</v>
      </c>
      <c r="EEU195" s="35">
        <v>999</v>
      </c>
      <c r="EEV195">
        <v>360</v>
      </c>
      <c r="EEW195">
        <v>0</v>
      </c>
      <c r="EEX195">
        <v>999</v>
      </c>
      <c r="EZJ195">
        <v>8</v>
      </c>
      <c r="EZK195">
        <v>2</v>
      </c>
      <c r="EZN195">
        <v>1</v>
      </c>
      <c r="GWW195">
        <v>1</v>
      </c>
      <c r="GXQ195">
        <v>1</v>
      </c>
      <c r="GXZ195">
        <v>1</v>
      </c>
      <c r="GYA195">
        <v>1</v>
      </c>
      <c r="GYU195">
        <v>1</v>
      </c>
      <c r="HBW195">
        <v>1</v>
      </c>
      <c r="HCB195">
        <v>1</v>
      </c>
      <c r="HCO195">
        <v>1</v>
      </c>
      <c r="HDF195">
        <v>1</v>
      </c>
    </row>
    <row r="196" spans="1:1019 1026:2047 2049:3067 3171:4095 4214:4828 5202:5763" x14ac:dyDescent="0.25">
      <c r="A196" s="55">
        <v>1002033</v>
      </c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JB196">
        <v>9</v>
      </c>
      <c r="JJ196">
        <v>22</v>
      </c>
      <c r="JQ196">
        <v>47</v>
      </c>
      <c r="JV196">
        <v>18</v>
      </c>
      <c r="KJ196">
        <v>13</v>
      </c>
      <c r="KX196">
        <v>17</v>
      </c>
      <c r="MQ196">
        <v>34</v>
      </c>
      <c r="MY196">
        <v>49</v>
      </c>
      <c r="NF196">
        <v>190</v>
      </c>
      <c r="NK196">
        <v>111</v>
      </c>
      <c r="NY196">
        <v>30</v>
      </c>
      <c r="OL196">
        <v>50</v>
      </c>
      <c r="QF196">
        <v>17</v>
      </c>
      <c r="QJ196">
        <v>20</v>
      </c>
      <c r="QT196">
        <v>57</v>
      </c>
      <c r="QU196" s="50"/>
      <c r="QV196" s="50"/>
      <c r="QW196" s="50"/>
      <c r="QX196" s="50"/>
      <c r="QY196" s="50">
        <v>45</v>
      </c>
      <c r="QZ196" s="50"/>
      <c r="RA196" s="50"/>
      <c r="RB196" s="50"/>
      <c r="RC196" s="50"/>
      <c r="RD196" s="50"/>
      <c r="RE196" s="50"/>
      <c r="RF196" s="50"/>
      <c r="RG196" s="50"/>
      <c r="RH196" s="50"/>
      <c r="RI196" s="50"/>
      <c r="RJ196" s="50"/>
      <c r="RK196" s="50"/>
      <c r="RL196" s="50"/>
      <c r="RM196" s="50">
        <v>20</v>
      </c>
      <c r="RN196" s="50"/>
      <c r="RO196" s="50"/>
      <c r="RY196">
        <v>30</v>
      </c>
      <c r="WC196" s="50"/>
      <c r="WD196" s="50"/>
      <c r="WE196" s="50"/>
      <c r="WF196" s="50"/>
      <c r="WG196" s="50"/>
      <c r="WH196" s="50"/>
      <c r="WI196" s="50"/>
      <c r="WJ196" s="50"/>
      <c r="WK196" s="50"/>
      <c r="WL196" s="50"/>
      <c r="WM196" s="50"/>
      <c r="WN196" s="50"/>
      <c r="WO196" s="50"/>
      <c r="WP196" s="50"/>
      <c r="AIZ196" s="50"/>
      <c r="AJA196" s="50"/>
      <c r="AJB196" s="50"/>
      <c r="AJC196" s="50"/>
      <c r="AJD196" s="50"/>
      <c r="AJE196" s="50"/>
      <c r="AJF196" s="50"/>
      <c r="AJG196" s="50"/>
      <c r="AJH196" s="50"/>
      <c r="AJI196" s="50"/>
      <c r="AJJ196" s="50"/>
      <c r="AJK196" s="50"/>
      <c r="AJL196" s="50"/>
      <c r="AJM196" s="50"/>
      <c r="AJN196" s="50"/>
      <c r="AJO196" s="50"/>
      <c r="AML196" s="50"/>
      <c r="AMM196" s="50"/>
      <c r="AMN196" s="50"/>
      <c r="AMO196" s="50"/>
      <c r="AMP196" s="50"/>
      <c r="AMQ196" s="50"/>
      <c r="AMR196" s="50"/>
      <c r="AMS196" s="50"/>
      <c r="AMT196" s="50"/>
      <c r="ANA196" s="50"/>
      <c r="ANB196" s="50"/>
      <c r="ANC196" s="50"/>
      <c r="AND196" s="50"/>
      <c r="ANE196" s="50"/>
      <c r="ANF196" s="50"/>
      <c r="ANG196" s="50"/>
      <c r="ANH196" s="50"/>
      <c r="ANI196" s="50"/>
      <c r="ANJ196" s="50"/>
      <c r="BBS196">
        <v>91</v>
      </c>
      <c r="BBV196">
        <v>90</v>
      </c>
      <c r="BCD196">
        <v>91</v>
      </c>
      <c r="BPE196">
        <v>28</v>
      </c>
      <c r="BPG196">
        <v>1</v>
      </c>
      <c r="BPL196">
        <v>1</v>
      </c>
      <c r="BQU196">
        <v>1</v>
      </c>
      <c r="BZQ196" s="50">
        <v>2000</v>
      </c>
      <c r="BZR196" s="50">
        <v>1</v>
      </c>
      <c r="BZU196">
        <v>1</v>
      </c>
      <c r="BZW196" s="35">
        <v>999</v>
      </c>
      <c r="BZX196">
        <v>8</v>
      </c>
      <c r="BZY196">
        <v>0</v>
      </c>
      <c r="BZZ196">
        <v>999</v>
      </c>
      <c r="FLW196" s="50">
        <v>75</v>
      </c>
      <c r="FLX196">
        <v>1</v>
      </c>
      <c r="FMA196">
        <v>1</v>
      </c>
      <c r="FMB196">
        <v>12</v>
      </c>
      <c r="FMC196">
        <v>20</v>
      </c>
      <c r="FMD196">
        <v>9</v>
      </c>
      <c r="FME196">
        <v>0</v>
      </c>
      <c r="FPT196">
        <v>20</v>
      </c>
      <c r="FPU196">
        <v>1</v>
      </c>
      <c r="FPX196">
        <v>1</v>
      </c>
      <c r="FPY196">
        <v>12</v>
      </c>
      <c r="FPZ196">
        <v>0</v>
      </c>
      <c r="FQA196">
        <v>0</v>
      </c>
      <c r="FQB196">
        <v>11</v>
      </c>
      <c r="FQD196">
        <v>5</v>
      </c>
      <c r="FQE196">
        <v>1</v>
      </c>
      <c r="FQH196">
        <v>1</v>
      </c>
      <c r="FQI196">
        <v>12</v>
      </c>
      <c r="FQJ196">
        <v>20</v>
      </c>
      <c r="FQK196">
        <v>9</v>
      </c>
      <c r="FQL196">
        <v>0</v>
      </c>
      <c r="HBV196">
        <v>1</v>
      </c>
    </row>
    <row r="197" spans="1:1019 1026:2047 2049:3067 3171:4095 4214:4828 5202:5763" x14ac:dyDescent="0.25">
      <c r="A197" s="50">
        <v>1003457</v>
      </c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JQ197">
        <v>75</v>
      </c>
      <c r="NF197">
        <v>193</v>
      </c>
      <c r="QU197" s="50"/>
      <c r="QV197" s="50">
        <v>158</v>
      </c>
      <c r="QW197" s="50"/>
      <c r="QX197" s="50"/>
      <c r="QY197" s="50"/>
      <c r="QZ197" s="50"/>
      <c r="RA197" s="50"/>
      <c r="RB197" s="50"/>
      <c r="RC197" s="50"/>
      <c r="RD197" s="50"/>
      <c r="RE197" s="50"/>
      <c r="RF197" s="50"/>
      <c r="RG197" s="50"/>
      <c r="RH197" s="50"/>
      <c r="RI197" s="50"/>
      <c r="RJ197" s="50"/>
      <c r="RK197" s="50"/>
      <c r="RL197" s="50"/>
      <c r="RM197" s="50"/>
      <c r="RN197" s="50"/>
      <c r="RO197" s="50"/>
      <c r="WC197" s="50"/>
      <c r="WD197" s="50"/>
      <c r="WE197" s="50"/>
      <c r="WF197" s="50"/>
      <c r="WG197" s="50"/>
      <c r="WH197" s="50"/>
      <c r="WI197" s="50"/>
      <c r="WJ197" s="50"/>
      <c r="WK197" s="50"/>
      <c r="WL197" s="50"/>
      <c r="WM197" s="50"/>
      <c r="WN197" s="50"/>
      <c r="WO197" s="50"/>
      <c r="WP197" s="50"/>
      <c r="AIZ197" s="50"/>
      <c r="AJA197" s="50"/>
      <c r="AJB197" s="50"/>
      <c r="AJC197" s="50"/>
      <c r="AJD197" s="50"/>
      <c r="AJE197" s="50"/>
      <c r="AJF197" s="50"/>
      <c r="AJG197" s="50"/>
      <c r="AJH197" s="50"/>
      <c r="AJI197" s="50"/>
      <c r="AJJ197" s="50"/>
      <c r="AJK197" s="50"/>
      <c r="AJL197" s="50"/>
      <c r="AJM197" s="50"/>
      <c r="AJN197" s="50"/>
      <c r="AJO197" s="50"/>
      <c r="AML197" s="50"/>
      <c r="AMM197" s="50"/>
      <c r="AMN197" s="50"/>
      <c r="AMO197" s="50"/>
      <c r="AMP197" s="50"/>
      <c r="AMQ197" s="50"/>
      <c r="AMR197" s="50"/>
      <c r="AMS197" s="50"/>
      <c r="AMT197" s="50"/>
      <c r="ANA197" s="50"/>
      <c r="ANB197" s="50"/>
      <c r="ANC197" s="50"/>
      <c r="AND197" s="50"/>
      <c r="ANE197" s="50"/>
      <c r="ANF197" s="50"/>
      <c r="ANG197" s="50"/>
      <c r="ANH197" s="50"/>
      <c r="ANI197" s="50"/>
      <c r="ANJ197" s="50"/>
      <c r="BPE197">
        <v>48</v>
      </c>
      <c r="BPG197">
        <v>1</v>
      </c>
      <c r="BPK197">
        <v>35</v>
      </c>
      <c r="BQT197">
        <v>1</v>
      </c>
      <c r="BQV197">
        <v>1</v>
      </c>
      <c r="BYE197">
        <v>1</v>
      </c>
      <c r="BZQ197" s="50"/>
      <c r="BZR197" s="50"/>
      <c r="BZU197">
        <v>1</v>
      </c>
      <c r="BZW197" s="35">
        <v>999</v>
      </c>
      <c r="BZX197">
        <v>3</v>
      </c>
      <c r="BZY197">
        <v>0</v>
      </c>
      <c r="BZZ197">
        <v>999</v>
      </c>
      <c r="CKB197">
        <v>20</v>
      </c>
      <c r="CKC197">
        <v>1</v>
      </c>
      <c r="CKF197">
        <v>1</v>
      </c>
      <c r="CKG197" s="35">
        <v>999</v>
      </c>
      <c r="CKH197">
        <v>580</v>
      </c>
      <c r="CKI197">
        <v>0</v>
      </c>
      <c r="CKJ197">
        <v>999</v>
      </c>
      <c r="DAI197">
        <v>1</v>
      </c>
      <c r="DAJ197">
        <v>6</v>
      </c>
      <c r="DAK197">
        <v>4</v>
      </c>
      <c r="DAL197">
        <v>0</v>
      </c>
      <c r="DAM197">
        <v>1</v>
      </c>
      <c r="FIT197">
        <v>150</v>
      </c>
      <c r="FIU197">
        <v>1</v>
      </c>
      <c r="FIX197">
        <v>1</v>
      </c>
      <c r="FIY197">
        <v>5</v>
      </c>
      <c r="FIZ197">
        <v>3</v>
      </c>
      <c r="FJA197">
        <v>0</v>
      </c>
      <c r="FJB197">
        <v>1</v>
      </c>
      <c r="FPJ197">
        <v>375</v>
      </c>
      <c r="FPK197">
        <v>1</v>
      </c>
      <c r="FPN197">
        <v>1</v>
      </c>
      <c r="FPO197" s="35">
        <v>999</v>
      </c>
      <c r="FPP197">
        <v>32</v>
      </c>
      <c r="FPQ197">
        <v>0</v>
      </c>
      <c r="FPR197">
        <v>999</v>
      </c>
      <c r="FQD197" s="50">
        <v>5</v>
      </c>
      <c r="FQE197">
        <v>1</v>
      </c>
      <c r="FQH197">
        <v>1</v>
      </c>
      <c r="FQI197">
        <v>50</v>
      </c>
      <c r="FQJ197">
        <v>397</v>
      </c>
      <c r="FQK197">
        <v>336</v>
      </c>
      <c r="FQL197">
        <v>0</v>
      </c>
      <c r="GWQ197">
        <v>1</v>
      </c>
      <c r="HBV197">
        <v>1</v>
      </c>
    </row>
    <row r="198" spans="1:1019 1026:2047 2049:3067 3171:4095 4214:4828 5202:5763" x14ac:dyDescent="0.25">
      <c r="A198" s="50">
        <v>2005223</v>
      </c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>
        <v>348.6</v>
      </c>
      <c r="O198" s="50"/>
      <c r="P198" s="50"/>
      <c r="Q198" s="50"/>
      <c r="HQ198">
        <v>12700</v>
      </c>
      <c r="JQ198">
        <v>84.6</v>
      </c>
      <c r="JS198">
        <v>111</v>
      </c>
      <c r="KH198">
        <v>96</v>
      </c>
      <c r="NF198">
        <v>173.4</v>
      </c>
      <c r="NH198">
        <v>142.80000000000001</v>
      </c>
      <c r="NW198">
        <v>252</v>
      </c>
      <c r="QU198" s="50"/>
      <c r="QV198" s="50"/>
      <c r="QW198" s="50"/>
      <c r="QX198" s="50"/>
      <c r="QY198" s="50"/>
      <c r="QZ198" s="50"/>
      <c r="RA198" s="50"/>
      <c r="RB198" s="50"/>
      <c r="RC198" s="50"/>
      <c r="RD198" s="50"/>
      <c r="RE198" s="50"/>
      <c r="RF198" s="50"/>
      <c r="RG198" s="50"/>
      <c r="RH198" s="50"/>
      <c r="RI198" s="50"/>
      <c r="RJ198" s="50"/>
      <c r="RK198" s="50"/>
      <c r="RL198" s="50"/>
      <c r="RM198" s="50"/>
      <c r="RN198" s="50"/>
      <c r="RO198" s="50"/>
      <c r="WC198" s="50"/>
      <c r="WD198" s="50"/>
      <c r="WE198" s="50"/>
      <c r="WF198" s="50"/>
      <c r="WG198" s="50"/>
      <c r="WH198" s="50"/>
      <c r="WI198" s="50"/>
      <c r="WJ198" s="50"/>
      <c r="WK198" s="50"/>
      <c r="WL198" s="50"/>
      <c r="WM198" s="50"/>
      <c r="WN198" s="50"/>
      <c r="WO198" s="50"/>
      <c r="WP198" s="50"/>
      <c r="AAK198">
        <v>8.1</v>
      </c>
      <c r="ACG198" s="3">
        <v>6.0922999999999998</v>
      </c>
      <c r="ACI198" s="3">
        <v>5.6421000000000001</v>
      </c>
      <c r="ACX198" s="3">
        <v>1.6721999999999999</v>
      </c>
      <c r="AEL198" s="3">
        <v>6.1390000000000002</v>
      </c>
      <c r="AEX198" s="3">
        <v>1.0289999999999999</v>
      </c>
      <c r="AGQ198" s="50"/>
      <c r="AGR198" s="50"/>
      <c r="AGS198" s="50"/>
      <c r="AGT198" s="50"/>
      <c r="AGU198" s="50"/>
      <c r="AGV198" s="50"/>
      <c r="AGW198" s="50"/>
      <c r="AGX198" s="50"/>
      <c r="AGY198" s="50"/>
      <c r="AGZ198" s="50"/>
      <c r="AHA198" s="50"/>
      <c r="AHB198" s="50"/>
      <c r="AHC198" s="50"/>
      <c r="AHD198" s="50"/>
      <c r="AHE198" s="50"/>
      <c r="AHF198" s="50"/>
      <c r="AHG198" s="50"/>
      <c r="AHH198" s="50"/>
      <c r="AHI198" s="50"/>
      <c r="AHJ198" s="50"/>
      <c r="AHK198" s="50"/>
      <c r="AHL198" s="50"/>
      <c r="AHM198" s="50"/>
      <c r="AHN198" s="50"/>
      <c r="AIZ198" s="50"/>
      <c r="AJA198" s="50"/>
      <c r="AJB198" s="50"/>
      <c r="AJC198" s="50"/>
      <c r="AJD198" s="50"/>
      <c r="AJE198" s="50"/>
      <c r="AJF198" s="50"/>
      <c r="AJG198" s="50"/>
      <c r="AJH198" s="50"/>
      <c r="AJI198" s="50"/>
      <c r="AJJ198" s="50"/>
      <c r="AJK198" s="50"/>
      <c r="AJL198" s="50"/>
      <c r="AJM198" s="50"/>
      <c r="AJN198" s="50"/>
      <c r="AJO198" s="50"/>
      <c r="AML198" s="50"/>
      <c r="AMM198" s="50"/>
      <c r="AMN198" s="50"/>
      <c r="AMO198" s="50"/>
      <c r="AMP198" s="50"/>
      <c r="AMQ198" s="50"/>
      <c r="AMR198" s="50"/>
      <c r="AMS198" s="50"/>
      <c r="AMT198" s="50"/>
      <c r="ANA198" s="50"/>
      <c r="ANB198" s="50"/>
      <c r="ANC198" s="50"/>
      <c r="AND198" s="50"/>
      <c r="ANE198" s="50"/>
      <c r="ANF198" s="50"/>
      <c r="ANG198" s="50"/>
      <c r="ANH198" s="50"/>
      <c r="ANI198" s="50"/>
      <c r="ANJ198" s="50"/>
      <c r="ANY198">
        <v>237.3</v>
      </c>
      <c r="BGQ198">
        <v>134.9</v>
      </c>
      <c r="BKG198" s="50"/>
      <c r="BKH198" s="50"/>
      <c r="BKI198" s="50"/>
      <c r="BKJ198" s="50"/>
      <c r="BKK198" s="50"/>
      <c r="BKL198" s="50"/>
      <c r="BKM198" s="50"/>
      <c r="BKN198" s="50"/>
      <c r="BKO198" s="50"/>
      <c r="BKP198" s="50"/>
      <c r="BKQ198" s="50"/>
      <c r="BKR198" s="50"/>
      <c r="BKS198" s="50"/>
      <c r="BKT198" s="50"/>
      <c r="BKU198" s="50"/>
      <c r="BKV198" s="50"/>
      <c r="BKW198" s="50"/>
      <c r="BKX198" s="50"/>
      <c r="BLW198" s="3">
        <v>102.69119999999999</v>
      </c>
      <c r="BPE198">
        <v>39</v>
      </c>
      <c r="BPF198">
        <v>1</v>
      </c>
      <c r="BPJ198">
        <v>1</v>
      </c>
      <c r="BPK198">
        <v>28</v>
      </c>
      <c r="BYA198">
        <v>1</v>
      </c>
      <c r="BZQ198" s="50">
        <v>500</v>
      </c>
      <c r="BZR198" s="50">
        <v>3</v>
      </c>
      <c r="BZU198">
        <v>1</v>
      </c>
      <c r="BZW198">
        <v>5</v>
      </c>
      <c r="BZX198">
        <v>4</v>
      </c>
      <c r="BZY198">
        <v>0</v>
      </c>
      <c r="BZZ198">
        <v>0</v>
      </c>
      <c r="CMA198">
        <v>4.5</v>
      </c>
      <c r="CMB198">
        <v>1</v>
      </c>
      <c r="CME198">
        <v>1</v>
      </c>
      <c r="CMF198">
        <v>5</v>
      </c>
      <c r="CMG198">
        <v>4</v>
      </c>
      <c r="CMH198">
        <v>0</v>
      </c>
      <c r="CMI198">
        <v>0</v>
      </c>
      <c r="EVZ198">
        <v>1</v>
      </c>
      <c r="EWA198">
        <v>5</v>
      </c>
      <c r="EWB198">
        <v>4</v>
      </c>
      <c r="EWC198">
        <v>0</v>
      </c>
      <c r="EWD198">
        <v>0</v>
      </c>
      <c r="EXB198">
        <v>250</v>
      </c>
      <c r="EXC198">
        <v>2</v>
      </c>
      <c r="EXF198">
        <v>1</v>
      </c>
      <c r="EXG198">
        <v>5</v>
      </c>
      <c r="EXH198">
        <v>4</v>
      </c>
      <c r="EXI198">
        <v>0</v>
      </c>
      <c r="EXJ198">
        <v>0</v>
      </c>
      <c r="GYA198">
        <v>1</v>
      </c>
      <c r="GYC198">
        <v>1</v>
      </c>
      <c r="GYE198">
        <v>1</v>
      </c>
      <c r="GYG198">
        <v>1</v>
      </c>
      <c r="GZC198">
        <v>1</v>
      </c>
      <c r="GZD198">
        <v>1</v>
      </c>
      <c r="GZE198">
        <v>1</v>
      </c>
      <c r="GZN198">
        <v>1</v>
      </c>
      <c r="HAB198">
        <v>1</v>
      </c>
      <c r="HCB198">
        <v>1</v>
      </c>
      <c r="HDJ198">
        <v>1</v>
      </c>
    </row>
    <row r="199" spans="1:1019 1026:2047 2049:3067 3171:4095 4214:4828 5202:5763" x14ac:dyDescent="0.25">
      <c r="A199" s="50">
        <v>2006107</v>
      </c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NF199">
        <v>523</v>
      </c>
      <c r="NM199">
        <v>77</v>
      </c>
      <c r="QT199">
        <v>128</v>
      </c>
      <c r="QU199" s="50"/>
      <c r="QV199" s="50"/>
      <c r="QW199" s="50"/>
      <c r="QX199" s="50"/>
      <c r="QY199" s="50"/>
      <c r="QZ199" s="50"/>
      <c r="RA199" s="50"/>
      <c r="RB199" s="50"/>
      <c r="RC199" s="50"/>
      <c r="RD199" s="50"/>
      <c r="RE199" s="50"/>
      <c r="RF199" s="50"/>
      <c r="RG199" s="50"/>
      <c r="RH199" s="50"/>
      <c r="RI199" s="50"/>
      <c r="RJ199" s="50"/>
      <c r="RK199" s="50"/>
      <c r="RL199" s="50"/>
      <c r="RM199" s="50"/>
      <c r="RN199" s="50"/>
      <c r="RO199" s="50"/>
      <c r="TL199">
        <v>346</v>
      </c>
      <c r="WC199" s="50"/>
      <c r="WD199" s="50"/>
      <c r="WE199" s="50"/>
      <c r="WF199" s="50"/>
      <c r="WG199" s="50"/>
      <c r="WH199" s="50"/>
      <c r="WI199" s="50"/>
      <c r="WJ199" s="50"/>
      <c r="WK199" s="50"/>
      <c r="WL199" s="50"/>
      <c r="WM199" s="50"/>
      <c r="WN199" s="50"/>
      <c r="WO199" s="50"/>
      <c r="WP199" s="50"/>
      <c r="ACG199">
        <v>4.1500000000000004</v>
      </c>
      <c r="AGQ199" s="50"/>
      <c r="AGR199" s="50"/>
      <c r="AGS199" s="50"/>
      <c r="AGT199" s="50"/>
      <c r="AGU199" s="50">
        <v>328</v>
      </c>
      <c r="AGV199" s="50"/>
      <c r="AGW199" s="50"/>
      <c r="AGX199" s="50"/>
      <c r="AGY199" s="50"/>
      <c r="AGZ199" s="50"/>
      <c r="AHA199" s="50"/>
      <c r="AHB199" s="50"/>
      <c r="AHC199" s="50"/>
      <c r="AHD199" s="50"/>
      <c r="AHE199" s="50"/>
      <c r="AHF199" s="50"/>
      <c r="AHG199" s="50"/>
      <c r="AHH199" s="50"/>
      <c r="AHI199" s="50"/>
      <c r="AHJ199" s="50"/>
      <c r="AHK199" s="50"/>
      <c r="AHL199" s="50"/>
      <c r="AHM199" s="50"/>
      <c r="AHN199" s="50"/>
      <c r="AIZ199" s="50"/>
      <c r="AJA199" s="50"/>
      <c r="AJB199" s="50"/>
      <c r="AJC199" s="50"/>
      <c r="AJD199" s="50"/>
      <c r="AJE199" s="50"/>
      <c r="AJF199" s="50"/>
      <c r="AJG199" s="50"/>
      <c r="AJH199" s="50"/>
      <c r="AJI199" s="50"/>
      <c r="AJJ199" s="50"/>
      <c r="AJK199" s="50"/>
      <c r="AJL199" s="50"/>
      <c r="AJM199" s="50"/>
      <c r="AJN199" s="50"/>
      <c r="AJO199" s="50"/>
      <c r="ALH199" s="50"/>
      <c r="ALI199" s="50"/>
      <c r="ALJ199" s="50"/>
      <c r="ALK199" s="50"/>
      <c r="ALL199" s="50"/>
      <c r="ALM199" s="50"/>
      <c r="ALN199" s="50"/>
      <c r="ALO199" s="50"/>
      <c r="ALP199" s="50"/>
      <c r="AML199" s="50"/>
      <c r="AMM199" s="50"/>
      <c r="AMN199" s="50"/>
      <c r="AMO199" s="50"/>
      <c r="AMP199" s="50"/>
      <c r="AMQ199" s="50"/>
      <c r="AMR199" s="50"/>
      <c r="AMS199" s="50"/>
      <c r="AMT199" s="50"/>
      <c r="ANA199" s="50"/>
      <c r="ANB199" s="50"/>
      <c r="ANC199" s="50"/>
      <c r="AND199" s="50"/>
      <c r="ANE199" s="50"/>
      <c r="ANF199" s="50"/>
      <c r="ANG199" s="50"/>
      <c r="ANH199" s="50"/>
      <c r="ANI199" s="50"/>
      <c r="ANJ199" s="50"/>
      <c r="BKG199" s="50"/>
      <c r="BKH199" s="50"/>
      <c r="BKI199" s="50"/>
      <c r="BKJ199" s="50"/>
      <c r="BKK199" s="50"/>
      <c r="BKL199" s="50"/>
      <c r="BKM199" s="50"/>
      <c r="BKN199" s="50"/>
      <c r="BKO199" s="50"/>
      <c r="BKP199" s="50"/>
      <c r="BKQ199" s="50"/>
      <c r="BKR199" s="50"/>
      <c r="BKS199" s="50"/>
      <c r="BKT199" s="50"/>
      <c r="BKU199" s="50"/>
      <c r="BKV199" s="50"/>
      <c r="BKW199" s="50"/>
      <c r="BKX199" s="50"/>
      <c r="BPE199">
        <v>15</v>
      </c>
      <c r="BPG199">
        <v>1</v>
      </c>
      <c r="BZQ199" s="50"/>
      <c r="BZR199" s="50"/>
      <c r="BZU199">
        <v>1</v>
      </c>
      <c r="BZW199" s="23">
        <v>1</v>
      </c>
      <c r="BZX199">
        <v>1</v>
      </c>
      <c r="BZY199">
        <v>0</v>
      </c>
      <c r="BZZ199">
        <v>0</v>
      </c>
      <c r="FWR199">
        <v>1</v>
      </c>
      <c r="FWS199">
        <v>13</v>
      </c>
      <c r="FWT199">
        <v>12</v>
      </c>
      <c r="FWU199">
        <v>0</v>
      </c>
      <c r="FWV199">
        <v>0</v>
      </c>
      <c r="GXZ199">
        <v>1</v>
      </c>
      <c r="GYA199">
        <v>1</v>
      </c>
      <c r="HCB199">
        <v>1</v>
      </c>
    </row>
    <row r="200" spans="1:1019 1026:2047 2049:3067 3171:4095 4214:4828 5202:5763" x14ac:dyDescent="0.25">
      <c r="A200" s="50">
        <v>2012014</v>
      </c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AV200">
        <v>114</v>
      </c>
      <c r="BF200">
        <v>95</v>
      </c>
      <c r="DY200">
        <v>31</v>
      </c>
      <c r="EJ200">
        <v>31</v>
      </c>
      <c r="GD200">
        <v>441</v>
      </c>
      <c r="HF200">
        <v>8800</v>
      </c>
      <c r="HS200">
        <v>62400</v>
      </c>
      <c r="HT200">
        <v>40500</v>
      </c>
      <c r="JF200">
        <v>7</v>
      </c>
      <c r="MU200">
        <v>8</v>
      </c>
      <c r="QI200">
        <v>5</v>
      </c>
      <c r="QU200" s="50"/>
      <c r="QV200" s="50"/>
      <c r="QW200" s="50"/>
      <c r="QX200" s="50"/>
      <c r="QY200" s="50"/>
      <c r="QZ200" s="50"/>
      <c r="RA200" s="50"/>
      <c r="RB200" s="50"/>
      <c r="RC200" s="50"/>
      <c r="RD200" s="50"/>
      <c r="RE200" s="50"/>
      <c r="RF200" s="50"/>
      <c r="RG200" s="50"/>
      <c r="RH200" s="50"/>
      <c r="RI200" s="50"/>
      <c r="RJ200" s="50"/>
      <c r="RK200" s="50"/>
      <c r="RL200" s="50"/>
      <c r="RM200" s="50"/>
      <c r="RN200" s="50"/>
      <c r="RO200" s="50"/>
      <c r="TC200">
        <v>153</v>
      </c>
      <c r="UM200" s="50"/>
      <c r="WC200" s="50"/>
      <c r="WD200" s="50"/>
      <c r="WE200" s="50"/>
      <c r="WF200" s="50"/>
      <c r="WG200" s="50"/>
      <c r="WH200" s="50"/>
      <c r="WI200" s="50"/>
      <c r="WJ200" s="50"/>
      <c r="WK200" s="50"/>
      <c r="WL200" s="50"/>
      <c r="WM200" s="50"/>
      <c r="WN200" s="50"/>
      <c r="WO200" s="50"/>
      <c r="WP200" s="50"/>
      <c r="XH200">
        <v>20.7</v>
      </c>
      <c r="XO200">
        <v>2</v>
      </c>
      <c r="YP200">
        <v>4</v>
      </c>
      <c r="ZK200">
        <v>13.4</v>
      </c>
      <c r="ZW200">
        <v>10.8</v>
      </c>
      <c r="ABW200">
        <v>0.3</v>
      </c>
      <c r="AFJ200">
        <v>7.1</v>
      </c>
      <c r="AGQ200" s="50"/>
      <c r="AGR200" s="50"/>
      <c r="AGS200" s="50"/>
      <c r="AGT200" s="50"/>
      <c r="AGU200" s="50"/>
      <c r="AGV200" s="50"/>
      <c r="AGW200" s="50"/>
      <c r="AGX200" s="50"/>
      <c r="AGY200" s="50"/>
      <c r="AGZ200" s="50"/>
      <c r="AHA200" s="50"/>
      <c r="AHB200" s="50"/>
      <c r="AHC200" s="50"/>
      <c r="AHD200" s="50"/>
      <c r="AHE200" s="50"/>
      <c r="AHF200" s="50"/>
      <c r="AHG200" s="50"/>
      <c r="AHH200" s="50"/>
      <c r="AHI200" s="50"/>
      <c r="AHJ200" s="50"/>
      <c r="AHK200" s="50"/>
      <c r="AHL200" s="50"/>
      <c r="AHM200" s="50"/>
      <c r="AHN200" s="50"/>
      <c r="AIW200">
        <v>5100</v>
      </c>
      <c r="AIZ200" s="50"/>
      <c r="AJA200" s="50"/>
      <c r="AJB200" s="50"/>
      <c r="AJC200" s="50"/>
      <c r="AJD200" s="50"/>
      <c r="AJE200" s="50"/>
      <c r="AJF200" s="50"/>
      <c r="AJG200" s="50"/>
      <c r="AJH200" s="50"/>
      <c r="AJI200" s="50"/>
      <c r="AJJ200" s="50"/>
      <c r="AJK200" s="50"/>
      <c r="AJL200" s="50"/>
      <c r="AJM200" s="50"/>
      <c r="AJN200" s="50"/>
      <c r="AJO200" s="50"/>
      <c r="AJV200">
        <v>0.7</v>
      </c>
      <c r="ALH200" s="50"/>
      <c r="ALI200" s="50"/>
      <c r="ALJ200" s="50"/>
      <c r="ALK200" s="50"/>
      <c r="ALL200" s="50"/>
      <c r="ALM200" s="50"/>
      <c r="ALN200" s="50"/>
      <c r="ALO200" s="50"/>
      <c r="ALP200" s="50"/>
      <c r="AML200" s="50"/>
      <c r="AMM200" s="50"/>
      <c r="AMN200" s="50"/>
      <c r="AMO200" s="50"/>
      <c r="AMP200" s="50"/>
      <c r="AMQ200" s="50"/>
      <c r="AMR200" s="50"/>
      <c r="AMS200" s="50"/>
      <c r="AMT200" s="50"/>
      <c r="ANA200" s="50"/>
      <c r="ANB200" s="50"/>
      <c r="ANC200" s="50"/>
      <c r="AND200" s="50"/>
      <c r="ANE200" s="50"/>
      <c r="ANF200" s="50"/>
      <c r="ANG200" s="50"/>
      <c r="ANH200" s="50"/>
      <c r="ANI200" s="50"/>
      <c r="ANJ200" s="50"/>
      <c r="ANP200">
        <v>4.8</v>
      </c>
      <c r="AQH200">
        <v>3.1</v>
      </c>
      <c r="AQO200">
        <v>4.7</v>
      </c>
      <c r="ARB200">
        <v>4100000</v>
      </c>
      <c r="ARM200">
        <v>3980000</v>
      </c>
      <c r="ARN200">
        <v>3320000</v>
      </c>
      <c r="ASL200">
        <v>340000</v>
      </c>
      <c r="ASX200">
        <v>312000</v>
      </c>
      <c r="ASY200">
        <v>106000</v>
      </c>
      <c r="AUP200">
        <v>3.9</v>
      </c>
      <c r="AUY200">
        <v>1.5</v>
      </c>
      <c r="AVE200">
        <v>2</v>
      </c>
      <c r="AVY200">
        <v>36.5</v>
      </c>
      <c r="AWO200">
        <v>0.6</v>
      </c>
      <c r="AWU200">
        <v>1</v>
      </c>
      <c r="BAC200">
        <v>40</v>
      </c>
      <c r="BAO200">
        <v>32.200000000000003</v>
      </c>
      <c r="BBU200">
        <v>98</v>
      </c>
      <c r="BCF200">
        <v>95</v>
      </c>
      <c r="BDB200">
        <v>33</v>
      </c>
      <c r="BDL200">
        <v>33.6</v>
      </c>
      <c r="BEE200">
        <v>33.299999999999997</v>
      </c>
      <c r="BEO200">
        <v>33.5</v>
      </c>
      <c r="BFF200" s="50"/>
      <c r="BGH200">
        <v>142</v>
      </c>
      <c r="BHN200">
        <v>4.4000000000000004</v>
      </c>
      <c r="BHZ200">
        <v>3</v>
      </c>
      <c r="BIR200">
        <v>2.4</v>
      </c>
      <c r="BJC200">
        <v>2.46</v>
      </c>
      <c r="BJP200">
        <v>0.8</v>
      </c>
      <c r="BJX200">
        <v>0.67</v>
      </c>
      <c r="BKF200">
        <v>62</v>
      </c>
      <c r="BKG200" s="50"/>
      <c r="BKH200" s="50"/>
      <c r="BKI200" s="50"/>
      <c r="BKJ200" s="50"/>
      <c r="BKK200" s="50"/>
      <c r="BKL200" s="50"/>
      <c r="BKM200" s="50"/>
      <c r="BKN200" s="50"/>
      <c r="BKO200" s="50"/>
      <c r="BKP200" s="50"/>
      <c r="BKQ200" s="50"/>
      <c r="BKR200" s="50"/>
      <c r="BKS200" s="50"/>
      <c r="BKT200" s="50"/>
      <c r="BKU200" s="50"/>
      <c r="BKV200" s="50"/>
      <c r="BKW200" s="50"/>
      <c r="BKX200" s="50"/>
      <c r="BLP200">
        <v>102</v>
      </c>
      <c r="BPE200">
        <v>36</v>
      </c>
      <c r="BPG200">
        <v>1</v>
      </c>
      <c r="BPH200">
        <v>24.2</v>
      </c>
      <c r="BPJ200">
        <v>1</v>
      </c>
      <c r="BPK200">
        <v>18</v>
      </c>
      <c r="BZQ200" s="50">
        <v>500</v>
      </c>
      <c r="BZR200" s="50">
        <v>1</v>
      </c>
      <c r="BZW200">
        <v>5</v>
      </c>
      <c r="BZX200">
        <v>1</v>
      </c>
      <c r="BZY200">
        <v>0</v>
      </c>
      <c r="BZZ200">
        <v>3</v>
      </c>
      <c r="GRB200">
        <v>700</v>
      </c>
      <c r="GRE200">
        <v>1</v>
      </c>
      <c r="GRH200">
        <v>4</v>
      </c>
      <c r="GRI200">
        <v>1</v>
      </c>
      <c r="GRJ200">
        <v>0</v>
      </c>
      <c r="GRK200">
        <v>2</v>
      </c>
      <c r="HCG200">
        <v>1</v>
      </c>
      <c r="HIP200">
        <v>1</v>
      </c>
      <c r="HMQ200">
        <v>1</v>
      </c>
    </row>
    <row r="201" spans="1:1019 1026:2047 2049:3067 3171:4095 4214:4828 5202:5763" x14ac:dyDescent="0.25">
      <c r="A201" s="50">
        <v>3000152</v>
      </c>
      <c r="B201" s="50"/>
      <c r="C201" s="50"/>
      <c r="D201" s="50"/>
      <c r="E201" s="50"/>
      <c r="F201" s="50"/>
      <c r="G201" s="50"/>
      <c r="H201" s="50"/>
      <c r="I201" s="50"/>
      <c r="J201" s="50"/>
      <c r="K201" s="50">
        <v>65.400000000000006</v>
      </c>
      <c r="L201" s="50"/>
      <c r="M201" s="50"/>
      <c r="N201" s="50"/>
      <c r="O201" s="50"/>
      <c r="P201" s="50"/>
      <c r="Q201" s="50"/>
      <c r="BB201">
        <v>74</v>
      </c>
      <c r="EF201">
        <v>36.9</v>
      </c>
      <c r="FM201">
        <v>105</v>
      </c>
      <c r="FS201">
        <v>26.5</v>
      </c>
      <c r="JP201" s="14">
        <v>17.34</v>
      </c>
      <c r="NE201" s="14">
        <v>47.32</v>
      </c>
      <c r="QS201" s="14">
        <v>9</v>
      </c>
      <c r="QU201" s="50"/>
      <c r="QV201" s="50"/>
      <c r="QW201" s="50"/>
      <c r="QX201" s="50"/>
      <c r="QY201" s="50"/>
      <c r="QZ201" s="50"/>
      <c r="RA201" s="50"/>
      <c r="RB201" s="50"/>
      <c r="RC201" s="50"/>
      <c r="RD201" s="50"/>
      <c r="RE201" s="50"/>
      <c r="RF201" s="50"/>
      <c r="RG201" s="50"/>
      <c r="RH201" s="50"/>
      <c r="RI201" s="50"/>
      <c r="RJ201" s="50"/>
      <c r="RK201" s="50"/>
      <c r="RL201" s="50"/>
      <c r="RM201" s="50"/>
      <c r="RN201" s="50"/>
      <c r="RO201" s="50"/>
      <c r="UM201" s="14">
        <v>1421.3330000000001</v>
      </c>
      <c r="WC201" s="50"/>
      <c r="WD201" s="50"/>
      <c r="WE201" s="50"/>
      <c r="WF201" s="50"/>
      <c r="WG201" s="50"/>
      <c r="WH201" s="50"/>
      <c r="WI201" s="50"/>
      <c r="WJ201" s="50"/>
      <c r="WK201" s="50"/>
      <c r="WL201" s="50"/>
      <c r="WM201" s="50"/>
      <c r="WN201" s="50"/>
      <c r="WO201" s="50"/>
      <c r="WP201" s="50"/>
      <c r="WV201">
        <v>21.9</v>
      </c>
      <c r="ZS201">
        <v>9.1999999999999993</v>
      </c>
      <c r="ACF201" s="3">
        <v>7.8929999999999998</v>
      </c>
      <c r="AEI201" s="3">
        <v>5.8467000000000002</v>
      </c>
      <c r="AGQ201" s="50"/>
      <c r="AGR201" s="50"/>
      <c r="AGS201" s="50"/>
      <c r="AGT201" s="50"/>
      <c r="AGU201" s="50"/>
      <c r="AGV201" s="50"/>
      <c r="AGW201" s="50"/>
      <c r="AGX201" s="50"/>
      <c r="AGY201" s="50"/>
      <c r="AGZ201" s="50"/>
      <c r="AHA201" s="50"/>
      <c r="AHB201" s="50"/>
      <c r="AHC201" s="50"/>
      <c r="AHD201" s="50"/>
      <c r="AHE201" s="50"/>
      <c r="AHF201" s="50"/>
      <c r="AHG201" s="50"/>
      <c r="AHH201" s="50"/>
      <c r="AHI201" s="50"/>
      <c r="AHJ201" s="50"/>
      <c r="AHK201" s="50"/>
      <c r="AHL201" s="50"/>
      <c r="AHM201" s="50"/>
      <c r="AHN201" s="50"/>
      <c r="AIX201" s="14">
        <v>5391</v>
      </c>
      <c r="AIZ201" s="50"/>
      <c r="AJA201" s="50"/>
      <c r="AJB201" s="50"/>
      <c r="AJC201" s="50"/>
      <c r="AJD201" s="50"/>
      <c r="AJE201" s="50"/>
      <c r="AJF201" s="50"/>
      <c r="AJG201" s="50"/>
      <c r="AJH201" s="50"/>
      <c r="AJI201" s="50"/>
      <c r="AJJ201" s="50"/>
      <c r="AJK201" s="50"/>
      <c r="AJL201" s="50"/>
      <c r="AJM201" s="50"/>
      <c r="AJN201" s="50"/>
      <c r="AJO201" s="50"/>
      <c r="AKE201">
        <v>74</v>
      </c>
      <c r="ALH201" s="50"/>
      <c r="ALI201" s="50"/>
      <c r="ALJ201" s="50"/>
      <c r="ALK201" s="50"/>
      <c r="ALL201" s="50"/>
      <c r="ALM201" s="50"/>
      <c r="ALN201" s="50"/>
      <c r="ALO201" s="50"/>
      <c r="ALP201" s="50"/>
      <c r="AML201" s="50"/>
      <c r="AMM201" s="50"/>
      <c r="AMN201" s="50"/>
      <c r="AMO201" s="50"/>
      <c r="AMP201" s="50"/>
      <c r="AMQ201" s="50"/>
      <c r="AMR201" s="50"/>
      <c r="AMS201" s="50"/>
      <c r="AMT201" s="50"/>
      <c r="ANA201" s="50"/>
      <c r="ANB201" s="50"/>
      <c r="ANC201" s="50"/>
      <c r="AND201" s="50"/>
      <c r="ANE201" s="50"/>
      <c r="ANF201" s="50"/>
      <c r="ANG201" s="50"/>
      <c r="ANH201" s="50"/>
      <c r="ANI201" s="50"/>
      <c r="ANJ201" s="50"/>
      <c r="ANX201">
        <v>0.3</v>
      </c>
      <c r="APK201">
        <v>5.69</v>
      </c>
      <c r="AQL201" s="3">
        <v>4.2195999999999998</v>
      </c>
      <c r="AUQ201">
        <v>14</v>
      </c>
      <c r="AVB201">
        <v>14</v>
      </c>
      <c r="AVV201">
        <v>7</v>
      </c>
      <c r="BAK201">
        <v>44</v>
      </c>
      <c r="BGP201">
        <v>131</v>
      </c>
      <c r="BHV201">
        <v>3.69</v>
      </c>
      <c r="BIY201">
        <v>2.38</v>
      </c>
      <c r="BKA201">
        <v>95.9</v>
      </c>
      <c r="BKG201" s="50"/>
      <c r="BKH201" s="50"/>
      <c r="BKI201" s="50"/>
      <c r="BKJ201" s="50"/>
      <c r="BKK201" s="50"/>
      <c r="BKL201" s="50"/>
      <c r="BKM201" s="50"/>
      <c r="BKN201" s="50"/>
      <c r="BKO201" s="50"/>
      <c r="BKP201" s="50"/>
      <c r="BKQ201" s="50"/>
      <c r="BKR201" s="50"/>
      <c r="BKS201" s="50"/>
      <c r="BKT201" s="50"/>
      <c r="BKU201" s="50"/>
      <c r="BKV201" s="50"/>
      <c r="BKW201" s="50"/>
      <c r="BKX201" s="50"/>
      <c r="BLV201" s="50"/>
      <c r="BND201">
        <v>27</v>
      </c>
      <c r="BPE201">
        <v>48</v>
      </c>
      <c r="BPF201">
        <v>1</v>
      </c>
      <c r="BPH201">
        <v>25.4</v>
      </c>
      <c r="BPJ201">
        <v>1</v>
      </c>
      <c r="BPK201">
        <v>10</v>
      </c>
      <c r="BZQ201" s="50">
        <v>1000</v>
      </c>
      <c r="BZR201" s="50">
        <v>1</v>
      </c>
      <c r="BZU201">
        <v>1</v>
      </c>
      <c r="BZW201">
        <v>3</v>
      </c>
      <c r="BZX201">
        <v>2</v>
      </c>
      <c r="BZY201">
        <v>0</v>
      </c>
      <c r="BZZ201">
        <v>0</v>
      </c>
      <c r="GYU201">
        <v>1</v>
      </c>
      <c r="GYX201">
        <v>1</v>
      </c>
      <c r="GYZ201">
        <v>1</v>
      </c>
      <c r="GZO201">
        <v>1</v>
      </c>
      <c r="HCA201">
        <v>1</v>
      </c>
      <c r="HCB201">
        <v>1</v>
      </c>
    </row>
    <row r="202" spans="1:1019 1026:2047 2049:3067 3171:4095 4214:4828 5202:5763" x14ac:dyDescent="0.25">
      <c r="A202" s="50">
        <v>3014566</v>
      </c>
      <c r="B202" s="50"/>
      <c r="C202" s="50"/>
      <c r="D202" s="50"/>
      <c r="E202" s="50"/>
      <c r="F202" s="50"/>
      <c r="G202" s="50"/>
      <c r="H202" s="50"/>
      <c r="JQ202">
        <v>49</v>
      </c>
      <c r="NF202">
        <v>24</v>
      </c>
      <c r="QU202" s="50"/>
      <c r="QV202" s="50"/>
      <c r="QW202" s="50"/>
      <c r="QX202" s="50"/>
      <c r="QY202" s="50"/>
      <c r="QZ202" s="50"/>
      <c r="RA202" s="50"/>
      <c r="RB202" s="50"/>
      <c r="RC202" s="50"/>
      <c r="RD202" s="50"/>
      <c r="RE202" s="50"/>
      <c r="RF202" s="50"/>
      <c r="RG202" s="50"/>
      <c r="RH202" s="50"/>
      <c r="RI202" s="50"/>
      <c r="RJ202" s="50"/>
      <c r="RK202" s="50"/>
      <c r="RL202" s="50"/>
      <c r="RM202" s="50"/>
      <c r="RN202" s="50"/>
      <c r="RO202" s="50"/>
      <c r="UK202" s="50"/>
      <c r="UL202" s="50"/>
      <c r="UM202" s="50"/>
      <c r="UN202" s="50"/>
      <c r="UO202" s="50"/>
      <c r="UP202" s="50"/>
      <c r="UQ202" s="50"/>
      <c r="UR202" s="50"/>
      <c r="US202" s="50"/>
      <c r="UT202" s="50"/>
      <c r="UU202" s="50"/>
      <c r="UV202" s="50"/>
      <c r="WC202" s="50"/>
      <c r="WD202" s="50"/>
      <c r="WE202" s="50"/>
      <c r="WF202" s="50"/>
      <c r="WG202" s="50"/>
      <c r="WH202" s="50"/>
      <c r="WI202" s="50"/>
      <c r="WJ202" s="50"/>
      <c r="WK202" s="50"/>
      <c r="WL202" s="50"/>
      <c r="WM202" s="50"/>
      <c r="WN202" s="50"/>
      <c r="WO202" s="50"/>
      <c r="WP202" s="50"/>
      <c r="AGQ202" s="50"/>
      <c r="AGR202" s="50"/>
      <c r="AGS202" s="50"/>
      <c r="AGT202" s="50"/>
      <c r="AGU202" s="50"/>
      <c r="AGV202" s="50"/>
      <c r="AGW202" s="50"/>
      <c r="AGX202" s="50"/>
      <c r="AGY202" s="50"/>
      <c r="AGZ202" s="50"/>
      <c r="AHA202" s="50"/>
      <c r="AHB202" s="50"/>
      <c r="AHC202" s="50"/>
      <c r="AHD202" s="50"/>
      <c r="AHE202" s="50"/>
      <c r="AHF202" s="50"/>
      <c r="AHG202" s="50"/>
      <c r="AHH202" s="50"/>
      <c r="AHI202" s="50"/>
      <c r="AHJ202" s="50"/>
      <c r="AHK202" s="50"/>
      <c r="AHL202" s="50"/>
      <c r="AHM202" s="50"/>
      <c r="AHN202" s="50"/>
      <c r="AIZ202" s="50"/>
      <c r="AJA202" s="50"/>
      <c r="AJB202" s="50"/>
      <c r="AJC202" s="50"/>
      <c r="AJD202" s="50"/>
      <c r="AJE202" s="50"/>
      <c r="AJF202" s="50"/>
      <c r="AJG202" s="50"/>
      <c r="AJH202" s="50"/>
      <c r="AJI202" s="50"/>
      <c r="AJJ202" s="50"/>
      <c r="AJK202" s="50"/>
      <c r="AJL202" s="50"/>
      <c r="AJM202" s="50"/>
      <c r="AJN202" s="50"/>
      <c r="AJO202" s="50"/>
      <c r="ALH202" s="50"/>
      <c r="ALI202" s="50"/>
      <c r="ALJ202" s="50">
        <v>1747</v>
      </c>
      <c r="ALK202" s="50"/>
      <c r="ALL202" s="50"/>
      <c r="ALM202" s="50"/>
      <c r="ALN202" s="50"/>
      <c r="ALO202" s="50"/>
      <c r="ALP202" s="50"/>
      <c r="AML202" s="50"/>
      <c r="AMM202" s="50"/>
      <c r="AMN202" s="50"/>
      <c r="AMO202" s="50"/>
      <c r="AMP202" s="50"/>
      <c r="AMQ202" s="50"/>
      <c r="AMR202" s="50"/>
      <c r="AMS202" s="50"/>
      <c r="AMT202" s="50"/>
      <c r="ANA202" s="50"/>
      <c r="ANB202" s="50"/>
      <c r="ANC202" s="50"/>
      <c r="AND202" s="50"/>
      <c r="ANE202" s="50"/>
      <c r="ANF202" s="50"/>
      <c r="ANG202" s="50"/>
      <c r="ANH202" s="50"/>
      <c r="ANI202" s="50"/>
      <c r="ANJ202" s="50"/>
      <c r="ANY202">
        <v>7</v>
      </c>
      <c r="BKG202" s="50"/>
      <c r="BKH202" s="50"/>
      <c r="BKI202" s="50"/>
      <c r="BKJ202" s="50"/>
      <c r="BKK202" s="50"/>
      <c r="BKL202" s="50"/>
      <c r="BKM202" s="50"/>
      <c r="BKN202" s="50"/>
      <c r="BKO202" s="50"/>
      <c r="BKP202" s="50"/>
      <c r="BKQ202" s="50"/>
      <c r="BKR202" s="50"/>
      <c r="BKS202" s="50"/>
      <c r="BKT202" s="50"/>
      <c r="BKU202" s="50"/>
      <c r="BKV202" s="50"/>
      <c r="BKW202" s="50"/>
      <c r="BKX202" s="50"/>
      <c r="BNZ202">
        <v>49</v>
      </c>
      <c r="BOA202">
        <v>23</v>
      </c>
      <c r="BPE202">
        <v>8</v>
      </c>
      <c r="BPF202">
        <v>1</v>
      </c>
      <c r="BPJ202">
        <v>1</v>
      </c>
      <c r="BPK202">
        <v>10</v>
      </c>
      <c r="BZQ202" s="50"/>
      <c r="BZR202" s="50"/>
      <c r="BZW202" s="35">
        <v>999</v>
      </c>
      <c r="BZZ202">
        <v>999</v>
      </c>
      <c r="GYV202">
        <v>1</v>
      </c>
      <c r="HBL202">
        <v>1</v>
      </c>
      <c r="HBV202">
        <v>1</v>
      </c>
    </row>
    <row r="203" spans="1:1019 1026:2047 2049:3067 3171:4095 4214:4828 5202:5763" x14ac:dyDescent="0.25">
      <c r="A203" s="50">
        <v>3015058</v>
      </c>
      <c r="B203" s="50"/>
      <c r="C203" s="50"/>
      <c r="D203" s="50">
        <v>105</v>
      </c>
      <c r="E203" s="50"/>
      <c r="F203" s="50"/>
      <c r="G203" s="50"/>
      <c r="H203" s="50"/>
      <c r="M203">
        <v>56</v>
      </c>
      <c r="N203">
        <v>37</v>
      </c>
      <c r="T203">
        <v>132</v>
      </c>
      <c r="AV203">
        <v>105</v>
      </c>
      <c r="AW203" s="14">
        <v>77</v>
      </c>
      <c r="BC203">
        <v>23</v>
      </c>
      <c r="BD203">
        <v>64</v>
      </c>
      <c r="BE203">
        <v>91</v>
      </c>
      <c r="BK203">
        <v>93</v>
      </c>
      <c r="CF203">
        <v>1</v>
      </c>
      <c r="CG203" s="14">
        <v>1.1499999999999999</v>
      </c>
      <c r="CM203">
        <v>3.4</v>
      </c>
      <c r="CN203">
        <v>64</v>
      </c>
      <c r="CO203">
        <v>91</v>
      </c>
      <c r="CU203">
        <v>1</v>
      </c>
      <c r="DY203">
        <v>28</v>
      </c>
      <c r="DZ203">
        <v>26.5</v>
      </c>
      <c r="EG203">
        <v>36</v>
      </c>
      <c r="EH203">
        <v>27</v>
      </c>
      <c r="EI203">
        <v>24</v>
      </c>
      <c r="EO203">
        <v>26</v>
      </c>
      <c r="FO203">
        <v>103</v>
      </c>
      <c r="GD203">
        <v>493</v>
      </c>
      <c r="GE203" s="14">
        <v>421</v>
      </c>
      <c r="GJ203">
        <v>599</v>
      </c>
      <c r="GK203">
        <v>547</v>
      </c>
      <c r="GL203">
        <v>524</v>
      </c>
      <c r="GO203">
        <v>364</v>
      </c>
      <c r="HF203">
        <v>7100</v>
      </c>
      <c r="HH203" s="14">
        <v>13300</v>
      </c>
      <c r="HI203">
        <v>11300</v>
      </c>
      <c r="HK203">
        <v>10200</v>
      </c>
      <c r="HR203">
        <v>11500</v>
      </c>
      <c r="HS203">
        <v>13300</v>
      </c>
      <c r="HW203">
        <v>8200</v>
      </c>
      <c r="HY203">
        <v>11000</v>
      </c>
      <c r="JF203">
        <v>19</v>
      </c>
      <c r="JR203">
        <v>127</v>
      </c>
      <c r="JS203">
        <v>66</v>
      </c>
      <c r="JY203">
        <v>42</v>
      </c>
      <c r="MU203">
        <v>7</v>
      </c>
      <c r="NG203">
        <v>138</v>
      </c>
      <c r="NH203">
        <v>110</v>
      </c>
      <c r="NN203">
        <v>47</v>
      </c>
      <c r="QI203">
        <v>17</v>
      </c>
      <c r="QU203" s="50">
        <v>269</v>
      </c>
      <c r="QV203" s="50">
        <v>269</v>
      </c>
      <c r="QW203" s="50"/>
      <c r="QX203" s="50"/>
      <c r="QY203" s="50"/>
      <c r="QZ203" s="50"/>
      <c r="RA203" s="50"/>
      <c r="RB203" s="50">
        <v>153</v>
      </c>
      <c r="RC203" s="50"/>
      <c r="RD203" s="50"/>
      <c r="RE203" s="50"/>
      <c r="RF203" s="50"/>
      <c r="RG203" s="50"/>
      <c r="RH203" s="50"/>
      <c r="RI203" s="50"/>
      <c r="RJ203" s="50"/>
      <c r="RK203" s="50"/>
      <c r="RL203" s="50"/>
      <c r="RM203" s="50"/>
      <c r="RN203" s="50"/>
      <c r="RO203" s="50"/>
      <c r="TC203">
        <v>193</v>
      </c>
      <c r="TM203">
        <v>269</v>
      </c>
      <c r="TN203">
        <v>188</v>
      </c>
      <c r="TT203">
        <v>203</v>
      </c>
      <c r="UK203" s="50"/>
      <c r="UL203" s="50"/>
      <c r="UM203" s="50"/>
      <c r="UN203" s="50"/>
      <c r="UO203" s="50"/>
      <c r="UP203" s="50"/>
      <c r="UQ203" s="50"/>
      <c r="UR203" s="50"/>
      <c r="US203" s="50"/>
      <c r="UT203" s="50"/>
      <c r="UU203" s="50"/>
      <c r="UV203" s="50"/>
      <c r="WC203" s="50"/>
      <c r="WD203" s="50"/>
      <c r="WE203" s="50"/>
      <c r="WF203" s="50"/>
      <c r="WG203" s="50"/>
      <c r="WH203" s="50"/>
      <c r="WI203" s="50"/>
      <c r="WJ203" s="50"/>
      <c r="WK203" s="50"/>
      <c r="WL203" s="50"/>
      <c r="WM203" s="50"/>
      <c r="WN203" s="50"/>
      <c r="WO203" s="50"/>
      <c r="WP203" s="50"/>
      <c r="ZK203">
        <v>11.4</v>
      </c>
      <c r="ZL203" s="14">
        <v>11.25</v>
      </c>
      <c r="ZM203">
        <v>10</v>
      </c>
      <c r="ZO203">
        <v>10.199999999999999</v>
      </c>
      <c r="ZU203">
        <v>10.4</v>
      </c>
      <c r="ZV203">
        <v>11.2</v>
      </c>
      <c r="ZZ203">
        <v>10.199999999999999</v>
      </c>
      <c r="AAB203">
        <v>10.9</v>
      </c>
      <c r="ABW203">
        <v>0.6</v>
      </c>
      <c r="ABX203" s="14">
        <v>0.6</v>
      </c>
      <c r="ACH203">
        <v>0.3</v>
      </c>
      <c r="ACI203">
        <v>0.4</v>
      </c>
      <c r="ACO203">
        <v>0.3</v>
      </c>
      <c r="AGK203">
        <v>75</v>
      </c>
      <c r="AGQ203" s="50"/>
      <c r="AGR203" s="50"/>
      <c r="AGS203" s="50"/>
      <c r="AGT203" s="50"/>
      <c r="AGU203" s="50"/>
      <c r="AGV203" s="50">
        <v>111</v>
      </c>
      <c r="AGW203" s="50">
        <v>106</v>
      </c>
      <c r="AGX203" s="50"/>
      <c r="AGY203" s="50"/>
      <c r="AGZ203" s="50"/>
      <c r="AHA203" s="50"/>
      <c r="AHB203" s="50"/>
      <c r="AHC203" s="50">
        <v>93</v>
      </c>
      <c r="AHD203" s="50"/>
      <c r="AHE203" s="50"/>
      <c r="AHF203" s="50"/>
      <c r="AHG203" s="50"/>
      <c r="AHH203" s="50"/>
      <c r="AHI203" s="50"/>
      <c r="AHJ203" s="50"/>
      <c r="AHK203" s="50"/>
      <c r="AHL203" s="50"/>
      <c r="AHM203" s="50"/>
      <c r="AHN203" s="50"/>
      <c r="AIZ203" s="50" t="s">
        <v>2693</v>
      </c>
      <c r="AJA203" s="50"/>
      <c r="AJB203" s="50"/>
      <c r="AJC203" s="50"/>
      <c r="AJD203" s="50"/>
      <c r="AJE203" s="50"/>
      <c r="AJF203" s="50"/>
      <c r="AJG203" s="50" t="s">
        <v>2694</v>
      </c>
      <c r="AJH203" s="50"/>
      <c r="AJI203" s="50"/>
      <c r="AJJ203" s="50"/>
      <c r="AJK203" s="50"/>
      <c r="AJL203" s="50"/>
      <c r="AJM203" s="50"/>
      <c r="AJN203" s="50"/>
      <c r="AJO203" s="50"/>
      <c r="AJV203">
        <v>2.2000000000000002</v>
      </c>
      <c r="AJW203">
        <v>1.95</v>
      </c>
      <c r="AJX203">
        <v>2.1</v>
      </c>
      <c r="AJZ203">
        <v>1.5</v>
      </c>
      <c r="AKD203">
        <v>1</v>
      </c>
      <c r="AKG203">
        <v>1.1000000000000001</v>
      </c>
      <c r="AKH203">
        <v>1.1000000000000001</v>
      </c>
      <c r="AKL203">
        <v>1</v>
      </c>
      <c r="AKN203">
        <v>1</v>
      </c>
      <c r="ALH203" s="50"/>
      <c r="ALI203" s="50"/>
      <c r="ALJ203" s="50"/>
      <c r="ALK203" s="50"/>
      <c r="ALL203" s="50"/>
      <c r="ALM203" s="50"/>
      <c r="ALN203" s="50"/>
      <c r="ALO203" s="50"/>
      <c r="ALP203" s="50"/>
      <c r="ALR203">
        <v>71</v>
      </c>
      <c r="ALW203">
        <v>51</v>
      </c>
      <c r="AML203" s="50"/>
      <c r="AMM203" s="50"/>
      <c r="AMN203" s="50"/>
      <c r="AMO203" s="50"/>
      <c r="AMP203" s="50">
        <v>483</v>
      </c>
      <c r="AMQ203" s="50"/>
      <c r="AMR203" s="50"/>
      <c r="AMS203" s="50"/>
      <c r="AMT203" s="50"/>
      <c r="AMU203">
        <v>184</v>
      </c>
      <c r="ANA203" s="50"/>
      <c r="ANB203" s="50"/>
      <c r="ANC203" s="50"/>
      <c r="AND203" s="50"/>
      <c r="ANE203" s="50"/>
      <c r="ANF203" s="50"/>
      <c r="ANG203" s="50"/>
      <c r="ANH203" s="50"/>
      <c r="ANI203" s="50"/>
      <c r="ANJ203" s="50"/>
      <c r="ANP203">
        <v>13.8</v>
      </c>
      <c r="ANR203">
        <v>228.2</v>
      </c>
      <c r="ANT203">
        <v>155.80000000000001</v>
      </c>
      <c r="ANZ203">
        <v>63.7</v>
      </c>
      <c r="AOA203">
        <v>45.4</v>
      </c>
      <c r="AOE203">
        <v>164.9</v>
      </c>
      <c r="AOG203">
        <v>40</v>
      </c>
      <c r="APC203">
        <v>32</v>
      </c>
      <c r="APD203" s="14">
        <v>19.5</v>
      </c>
      <c r="APE203">
        <v>17</v>
      </c>
      <c r="APG203">
        <v>16</v>
      </c>
      <c r="APM203">
        <v>5</v>
      </c>
      <c r="APN203">
        <v>7</v>
      </c>
      <c r="APQ203">
        <v>9</v>
      </c>
      <c r="APR203">
        <v>7</v>
      </c>
      <c r="AQH203">
        <v>6.7</v>
      </c>
      <c r="AQI203">
        <v>6.4</v>
      </c>
      <c r="AQJ203">
        <v>6.8</v>
      </c>
      <c r="AQN203">
        <v>4.4000000000000004</v>
      </c>
      <c r="AQO203">
        <v>4.9000000000000004</v>
      </c>
      <c r="AQQ203">
        <v>3.5</v>
      </c>
      <c r="AQR203">
        <v>4.0999999999999996</v>
      </c>
      <c r="ARB203">
        <v>4000000</v>
      </c>
      <c r="ARC203" s="14">
        <v>3950000</v>
      </c>
      <c r="ARD203">
        <v>3500000</v>
      </c>
      <c r="ARF203">
        <v>3600000</v>
      </c>
      <c r="ARL203">
        <v>11500000</v>
      </c>
      <c r="ARM203">
        <v>13300000</v>
      </c>
      <c r="ARQ203">
        <v>3700000</v>
      </c>
      <c r="ARS203">
        <v>3900000</v>
      </c>
      <c r="ASL203">
        <v>263000</v>
      </c>
      <c r="ASN203">
        <v>244000</v>
      </c>
      <c r="ASO203">
        <v>178000</v>
      </c>
      <c r="ASQ203">
        <v>232000</v>
      </c>
      <c r="ASW203">
        <v>411000</v>
      </c>
      <c r="ASX203">
        <v>553000</v>
      </c>
      <c r="ATB203">
        <v>648000</v>
      </c>
      <c r="ATD203">
        <v>834000</v>
      </c>
      <c r="AXB203">
        <v>44</v>
      </c>
      <c r="AXC203" s="14">
        <v>28</v>
      </c>
      <c r="BAC203">
        <v>34.9</v>
      </c>
      <c r="BAD203" s="14">
        <v>34.299999999999997</v>
      </c>
      <c r="BAE203">
        <v>39.9</v>
      </c>
      <c r="BAG203">
        <v>31.7</v>
      </c>
      <c r="BAM203">
        <v>31.2</v>
      </c>
      <c r="BAN203">
        <v>34.700000000000003</v>
      </c>
      <c r="BAR203">
        <v>32.200000000000003</v>
      </c>
      <c r="BAT203">
        <v>33.200000000000003</v>
      </c>
      <c r="BBU203">
        <v>86.3</v>
      </c>
      <c r="BBW203">
        <v>86.75</v>
      </c>
      <c r="BCE203">
        <v>86.2</v>
      </c>
      <c r="BCF203">
        <v>87.6</v>
      </c>
      <c r="BCK203">
        <v>85.6</v>
      </c>
      <c r="BDB203">
        <v>28.1</v>
      </c>
      <c r="BDC203" s="14">
        <v>28.25</v>
      </c>
      <c r="BDK203">
        <v>28.8</v>
      </c>
      <c r="BDL203">
        <v>28.4</v>
      </c>
      <c r="BDQ203">
        <v>28.1</v>
      </c>
      <c r="BEE203">
        <v>32.6</v>
      </c>
      <c r="BEF203" s="14">
        <v>32.6</v>
      </c>
      <c r="BEN203">
        <v>33.4</v>
      </c>
      <c r="BEO203">
        <v>32.4</v>
      </c>
      <c r="BET203">
        <v>32.799999999999997</v>
      </c>
      <c r="BGH203">
        <v>141</v>
      </c>
      <c r="BGJ203" s="14">
        <v>143.5</v>
      </c>
      <c r="BGK203">
        <v>143</v>
      </c>
      <c r="BGL203">
        <v>142</v>
      </c>
      <c r="BGR203">
        <v>140</v>
      </c>
      <c r="BGS203">
        <v>140</v>
      </c>
      <c r="BGW203">
        <v>137</v>
      </c>
      <c r="BGY203">
        <v>135</v>
      </c>
      <c r="BHN203">
        <v>4.8</v>
      </c>
      <c r="BHP203">
        <v>4.6500000000000004</v>
      </c>
      <c r="BHQ203">
        <v>3.5</v>
      </c>
      <c r="BHR203">
        <v>3.4</v>
      </c>
      <c r="BHX203">
        <v>3</v>
      </c>
      <c r="BHY203">
        <v>2.9</v>
      </c>
      <c r="BIC203">
        <v>3.3</v>
      </c>
      <c r="BIE203">
        <v>3.3</v>
      </c>
      <c r="BIR203">
        <v>2.5</v>
      </c>
      <c r="BIS203">
        <v>2.4</v>
      </c>
      <c r="BIT203">
        <v>2.1</v>
      </c>
      <c r="BIU203">
        <v>2</v>
      </c>
      <c r="BJA203">
        <v>2.1</v>
      </c>
      <c r="BJB203">
        <v>2.1</v>
      </c>
      <c r="BJF203">
        <v>2.2000000000000002</v>
      </c>
      <c r="BJH203">
        <v>2.2000000000000002</v>
      </c>
      <c r="BJQ203">
        <v>0.94499999999999995</v>
      </c>
      <c r="BKG203" s="50"/>
      <c r="BKH203" s="50"/>
      <c r="BKI203" s="50"/>
      <c r="BKJ203" s="50"/>
      <c r="BKK203" s="50"/>
      <c r="BKL203" s="50"/>
      <c r="BKM203" s="50"/>
      <c r="BKN203" s="50"/>
      <c r="BKO203" s="50"/>
      <c r="BKP203" s="50"/>
      <c r="BKQ203" s="50"/>
      <c r="BKR203" s="50"/>
      <c r="BKS203" s="50"/>
      <c r="BKT203" s="50"/>
      <c r="BKU203" s="50"/>
      <c r="BKV203" s="50"/>
      <c r="BKW203" s="50"/>
      <c r="BKX203" s="50"/>
      <c r="BLP203">
        <v>76</v>
      </c>
      <c r="BLQ203" s="14">
        <v>163</v>
      </c>
      <c r="BLY203">
        <v>103</v>
      </c>
      <c r="BNJ203" s="14">
        <v>1.3</v>
      </c>
      <c r="BNP203" s="14">
        <v>1.79</v>
      </c>
      <c r="BPE203">
        <v>23</v>
      </c>
      <c r="BPF203">
        <v>1</v>
      </c>
      <c r="BPH203">
        <v>23</v>
      </c>
      <c r="BPJ203">
        <v>1</v>
      </c>
      <c r="BWX203">
        <v>1</v>
      </c>
      <c r="BXJ203">
        <v>1</v>
      </c>
      <c r="BZQ203" s="50">
        <v>1000</v>
      </c>
      <c r="BZR203" s="50">
        <v>4</v>
      </c>
      <c r="BZS203">
        <v>1</v>
      </c>
      <c r="BZW203">
        <v>4</v>
      </c>
      <c r="BZX203">
        <v>6</v>
      </c>
      <c r="BZY203">
        <v>2</v>
      </c>
      <c r="BZZ203">
        <v>0</v>
      </c>
      <c r="COJ203">
        <v>0.5</v>
      </c>
      <c r="COK203">
        <v>2</v>
      </c>
      <c r="COL203">
        <v>1</v>
      </c>
      <c r="COO203">
        <v>1</v>
      </c>
      <c r="COP203">
        <v>9</v>
      </c>
      <c r="COQ203">
        <v>9</v>
      </c>
      <c r="COR203">
        <v>0</v>
      </c>
      <c r="COT203">
        <v>2000</v>
      </c>
      <c r="COU203">
        <v>2</v>
      </c>
      <c r="COV203">
        <v>1</v>
      </c>
      <c r="COY203">
        <v>1</v>
      </c>
      <c r="COZ203">
        <v>9</v>
      </c>
      <c r="CPA203">
        <v>9</v>
      </c>
      <c r="CPB203">
        <v>0</v>
      </c>
      <c r="EAP203">
        <v>40</v>
      </c>
      <c r="EAQ203">
        <v>1</v>
      </c>
      <c r="EAT203">
        <v>1</v>
      </c>
      <c r="EAV203">
        <v>1</v>
      </c>
      <c r="EAW203">
        <v>10</v>
      </c>
      <c r="EAX203">
        <v>10</v>
      </c>
      <c r="EAY203">
        <v>0</v>
      </c>
      <c r="EUR203">
        <v>30</v>
      </c>
      <c r="EUS203">
        <v>3</v>
      </c>
      <c r="EUT203">
        <v>1</v>
      </c>
      <c r="EUW203">
        <v>1</v>
      </c>
      <c r="EUX203">
        <v>10</v>
      </c>
      <c r="EUY203">
        <v>10</v>
      </c>
      <c r="EUZ203">
        <v>0</v>
      </c>
    </row>
    <row r="204" spans="1:1019 1026:2047 2049:3067 3171:4095 4214:4828 5202:5763" x14ac:dyDescent="0.25">
      <c r="A204" s="55">
        <v>4000996</v>
      </c>
      <c r="B204" s="50"/>
      <c r="C204" s="50"/>
      <c r="D204" s="50"/>
      <c r="E204" s="50"/>
      <c r="F204" s="50"/>
      <c r="G204" s="50"/>
      <c r="H204" s="50"/>
      <c r="V204">
        <v>13.8</v>
      </c>
      <c r="BD204">
        <v>98</v>
      </c>
      <c r="BF204">
        <v>92</v>
      </c>
      <c r="CN204">
        <v>1</v>
      </c>
      <c r="CP204">
        <v>1.1000000000000001</v>
      </c>
      <c r="EH204">
        <v>31.5</v>
      </c>
      <c r="EJ204">
        <v>32</v>
      </c>
      <c r="HR204">
        <v>3500</v>
      </c>
      <c r="HS204">
        <v>3500</v>
      </c>
      <c r="IA204">
        <v>5100</v>
      </c>
      <c r="JS204">
        <v>71.400000000000006</v>
      </c>
      <c r="JT204" s="3">
        <v>55.8</v>
      </c>
      <c r="JX204">
        <v>79.2</v>
      </c>
      <c r="KE204">
        <v>19.2</v>
      </c>
      <c r="NG204">
        <v>142.80000000000001</v>
      </c>
      <c r="NH204">
        <v>129</v>
      </c>
      <c r="NI204">
        <v>112.2</v>
      </c>
      <c r="NM204">
        <v>7080</v>
      </c>
      <c r="NT204">
        <v>40.200000000000003</v>
      </c>
      <c r="QU204" s="50">
        <v>69</v>
      </c>
      <c r="QV204" s="50">
        <v>67.8</v>
      </c>
      <c r="QW204" s="50">
        <v>75</v>
      </c>
      <c r="QX204" s="50"/>
      <c r="QY204" s="50"/>
      <c r="QZ204" s="50"/>
      <c r="RA204" s="50">
        <v>121.2</v>
      </c>
      <c r="RB204" s="50"/>
      <c r="RC204" s="50"/>
      <c r="RD204" s="50"/>
      <c r="RE204" s="50"/>
      <c r="RF204" s="50"/>
      <c r="RG204" s="50"/>
      <c r="RH204" s="50">
        <v>83.4</v>
      </c>
      <c r="RI204" s="50"/>
      <c r="RJ204" s="50"/>
      <c r="RK204" s="50"/>
      <c r="RL204" s="50"/>
      <c r="RM204" s="50"/>
      <c r="RN204" s="50"/>
      <c r="RO204" s="50"/>
      <c r="TM204">
        <v>319.8</v>
      </c>
      <c r="TN204" s="3">
        <v>266.39999999999998</v>
      </c>
      <c r="TO204">
        <v>270.60000000000002</v>
      </c>
      <c r="TS204">
        <v>238.8</v>
      </c>
      <c r="UK204" s="50"/>
      <c r="UL204" s="50"/>
      <c r="UM204" s="50"/>
      <c r="UN204" s="50"/>
      <c r="UO204" s="50"/>
      <c r="UP204" s="50">
        <v>20.04</v>
      </c>
      <c r="UQ204" s="50">
        <v>15.48</v>
      </c>
      <c r="UR204" s="50"/>
      <c r="US204" s="50"/>
      <c r="UT204" s="50"/>
      <c r="UU204" s="50"/>
      <c r="UV204" s="50"/>
      <c r="VT204" s="3">
        <v>36.345100000000002</v>
      </c>
      <c r="WC204" s="50"/>
      <c r="WD204" s="50"/>
      <c r="WE204" s="50"/>
      <c r="WF204" s="50"/>
      <c r="WG204" s="50"/>
      <c r="WH204" s="50"/>
      <c r="WI204" s="50"/>
      <c r="WJ204" s="50">
        <v>0.1338</v>
      </c>
      <c r="WK204" s="50"/>
      <c r="WL204" s="50"/>
      <c r="WM204" s="50"/>
      <c r="WN204" s="50"/>
      <c r="WO204" s="50"/>
      <c r="WP204" s="50"/>
      <c r="ZU204">
        <v>12.9</v>
      </c>
      <c r="ACI204">
        <v>0.61980000000000002</v>
      </c>
      <c r="ACJ204">
        <v>0.42680000000000001</v>
      </c>
      <c r="ACU204">
        <v>0.57879999999999998</v>
      </c>
      <c r="AEL204">
        <v>0.18709999999999999</v>
      </c>
      <c r="AEM204" t="s">
        <v>2030</v>
      </c>
      <c r="AFN204">
        <v>5.86</v>
      </c>
      <c r="AFO204" s="3">
        <v>5.72</v>
      </c>
      <c r="AGQ204" s="50"/>
      <c r="AGR204" s="50"/>
      <c r="AGS204" s="50"/>
      <c r="AGT204" s="50"/>
      <c r="AGU204" s="50"/>
      <c r="AGV204" s="50">
        <v>58.2</v>
      </c>
      <c r="AGW204" s="50">
        <v>53.4</v>
      </c>
      <c r="AGX204" s="50">
        <v>54</v>
      </c>
      <c r="AGY204" s="50"/>
      <c r="AGZ204" s="50"/>
      <c r="AHA204" s="50"/>
      <c r="AHB204" s="50">
        <v>59.4</v>
      </c>
      <c r="AHC204" s="50"/>
      <c r="AHD204" s="50"/>
      <c r="AHE204" s="50"/>
      <c r="AHF204" s="50"/>
      <c r="AHG204" s="50"/>
      <c r="AHH204" s="50"/>
      <c r="AHI204" s="50"/>
      <c r="AHJ204" s="50"/>
      <c r="AHK204" s="50"/>
      <c r="AHL204" s="50"/>
      <c r="AHM204" s="50"/>
      <c r="AHN204" s="50"/>
      <c r="AIZ204" s="50"/>
      <c r="AJA204" s="50">
        <v>4020</v>
      </c>
      <c r="AJB204" s="50">
        <v>4200</v>
      </c>
      <c r="AJC204" s="50"/>
      <c r="AJD204" s="50"/>
      <c r="AJE204" s="50"/>
      <c r="AJF204" s="50">
        <v>4380</v>
      </c>
      <c r="AJG204" s="50"/>
      <c r="AJH204" s="50"/>
      <c r="AJI204" s="50"/>
      <c r="AJJ204" s="50"/>
      <c r="AJK204" s="50"/>
      <c r="AJL204" s="50"/>
      <c r="AJM204" s="50"/>
      <c r="AJN204" s="50"/>
      <c r="AJO204" s="50"/>
      <c r="AKG204">
        <v>0.31830000000000003</v>
      </c>
      <c r="AKI204">
        <v>0.3664</v>
      </c>
      <c r="ALH204" s="50"/>
      <c r="ALI204" s="50"/>
      <c r="ALJ204" s="50"/>
      <c r="ALK204" s="50"/>
      <c r="ALL204" s="50"/>
      <c r="ALM204" s="50"/>
      <c r="ALN204" s="50"/>
      <c r="ALO204" s="50"/>
      <c r="ALP204" s="50"/>
      <c r="AMA204">
        <v>15</v>
      </c>
      <c r="AML204" s="50"/>
      <c r="AMM204" s="50"/>
      <c r="AMN204" s="50"/>
      <c r="AMO204" s="59">
        <v>20.399999999999999</v>
      </c>
      <c r="AMP204" s="50"/>
      <c r="AMQ204" s="50">
        <v>17.399999999999999</v>
      </c>
      <c r="AMR204" s="50"/>
      <c r="AMS204" s="50"/>
      <c r="AMT204" s="50">
        <v>33</v>
      </c>
      <c r="AMZ204">
        <v>19.2</v>
      </c>
      <c r="ANA204" s="50"/>
      <c r="ANB204" s="50"/>
      <c r="ANC204" s="50"/>
      <c r="AND204" s="50"/>
      <c r="ANE204" s="50"/>
      <c r="ANF204" s="50"/>
      <c r="ANG204" s="50"/>
      <c r="ANH204" s="50"/>
      <c r="ANI204" s="50"/>
      <c r="ANJ204" s="50"/>
      <c r="ANZ204">
        <v>135.1</v>
      </c>
      <c r="APM204" s="3">
        <v>12.6126</v>
      </c>
      <c r="APO204" s="3">
        <v>10.8108</v>
      </c>
      <c r="APW204" s="3">
        <v>12.012</v>
      </c>
      <c r="ARL204">
        <v>4500000</v>
      </c>
      <c r="ASW204">
        <v>222000</v>
      </c>
      <c r="AXJ204">
        <v>28.3</v>
      </c>
      <c r="AYH204">
        <v>7.45</v>
      </c>
      <c r="AYX204">
        <v>24.5</v>
      </c>
      <c r="BAM204">
        <v>36</v>
      </c>
      <c r="BCE204">
        <v>81</v>
      </c>
      <c r="BGR204">
        <v>138</v>
      </c>
      <c r="BHX204">
        <v>4.0999999999999996</v>
      </c>
      <c r="BJA204">
        <v>2</v>
      </c>
      <c r="BKG204" s="50"/>
      <c r="BKH204" s="50"/>
      <c r="BKI204" s="50"/>
      <c r="BKJ204" s="50"/>
      <c r="BKK204" s="50"/>
      <c r="BKL204" s="50"/>
      <c r="BKM204" s="50"/>
      <c r="BKN204" s="50"/>
      <c r="BKO204" s="50"/>
      <c r="BKP204" s="50"/>
      <c r="BKQ204" s="50"/>
      <c r="BKR204" s="50"/>
      <c r="BKS204" s="50"/>
      <c r="BKT204" s="50"/>
      <c r="BKU204" s="50"/>
      <c r="BKV204" s="50"/>
      <c r="BKW204" s="50"/>
      <c r="BKX204" s="50"/>
      <c r="BLY204">
        <v>85</v>
      </c>
      <c r="BPE204">
        <v>64</v>
      </c>
      <c r="BPG204">
        <v>1</v>
      </c>
      <c r="BPH204">
        <v>25.3</v>
      </c>
      <c r="BPK204">
        <v>19</v>
      </c>
      <c r="BPN204">
        <v>1</v>
      </c>
      <c r="BZQ204" s="50">
        <v>500</v>
      </c>
      <c r="BZR204" s="50">
        <v>2</v>
      </c>
      <c r="BZU204">
        <v>1</v>
      </c>
      <c r="BZW204">
        <v>6</v>
      </c>
      <c r="BZX204">
        <v>5</v>
      </c>
      <c r="BZY204">
        <v>0</v>
      </c>
      <c r="BZZ204">
        <v>0</v>
      </c>
      <c r="CNY204">
        <v>100</v>
      </c>
      <c r="CNZ204">
        <v>3</v>
      </c>
      <c r="COC204">
        <v>1</v>
      </c>
      <c r="COD204">
        <v>3</v>
      </c>
      <c r="COE204">
        <v>2</v>
      </c>
      <c r="COF204">
        <v>0</v>
      </c>
      <c r="COG204">
        <v>0</v>
      </c>
      <c r="GCN204">
        <v>1</v>
      </c>
      <c r="GCO204" s="35">
        <v>999</v>
      </c>
      <c r="GCP204">
        <v>9</v>
      </c>
      <c r="GCQ204">
        <v>0</v>
      </c>
      <c r="GCR204">
        <v>999</v>
      </c>
      <c r="GYE204">
        <v>1</v>
      </c>
    </row>
    <row r="205" spans="1:1019 1026:2047 2049:3067 3171:4095 4214:4828 5202:5763" x14ac:dyDescent="0.25">
      <c r="A205" s="50">
        <v>4003768</v>
      </c>
      <c r="B205" s="50"/>
      <c r="C205" s="50"/>
      <c r="D205" s="50"/>
      <c r="E205" s="50"/>
      <c r="F205" s="50"/>
      <c r="G205" s="50"/>
      <c r="H205" s="50"/>
      <c r="JK205">
        <v>15</v>
      </c>
      <c r="JN205">
        <v>10</v>
      </c>
      <c r="JQ205">
        <v>506</v>
      </c>
      <c r="JR205">
        <v>4543</v>
      </c>
      <c r="JS205">
        <v>4396</v>
      </c>
      <c r="JT205">
        <v>1897</v>
      </c>
      <c r="MZ205">
        <v>12</v>
      </c>
      <c r="NC205">
        <v>14</v>
      </c>
      <c r="NF205">
        <v>390</v>
      </c>
      <c r="NG205">
        <v>3135</v>
      </c>
      <c r="NH205">
        <v>4112</v>
      </c>
      <c r="NI205">
        <v>2774</v>
      </c>
      <c r="QN205">
        <v>12</v>
      </c>
      <c r="QQ205">
        <v>7</v>
      </c>
      <c r="QT205">
        <v>23</v>
      </c>
      <c r="QU205" s="50">
        <v>47</v>
      </c>
      <c r="QV205" s="50">
        <v>55</v>
      </c>
      <c r="QW205" s="50">
        <v>82</v>
      </c>
      <c r="QX205" s="50"/>
      <c r="QY205" s="50"/>
      <c r="QZ205" s="50"/>
      <c r="RA205" s="50"/>
      <c r="RB205" s="50"/>
      <c r="RC205" s="50"/>
      <c r="RD205" s="50"/>
      <c r="RE205" s="50"/>
      <c r="RF205" s="50"/>
      <c r="RG205" s="50"/>
      <c r="RH205" s="50"/>
      <c r="RI205" s="50"/>
      <c r="RJ205" s="50"/>
      <c r="RK205" s="50"/>
      <c r="RL205" s="50"/>
      <c r="RM205" s="50"/>
      <c r="RN205" s="50"/>
      <c r="RO205" s="50"/>
      <c r="TF205">
        <v>110</v>
      </c>
      <c r="TM205">
        <v>6331</v>
      </c>
      <c r="TN205">
        <v>6636</v>
      </c>
      <c r="TO205">
        <v>3323</v>
      </c>
      <c r="UK205" s="50"/>
      <c r="UL205" s="50"/>
      <c r="UM205" s="50"/>
      <c r="UN205" s="50"/>
      <c r="UO205" s="50"/>
      <c r="UP205" s="50"/>
      <c r="UQ205" s="50"/>
      <c r="UR205" s="50"/>
      <c r="US205" s="50"/>
      <c r="UT205" s="50"/>
      <c r="UU205" s="50"/>
      <c r="UV205" s="50"/>
      <c r="WC205" s="50"/>
      <c r="WD205" s="50"/>
      <c r="WE205" s="50"/>
      <c r="WF205" s="50"/>
      <c r="WG205" s="50"/>
      <c r="WH205" s="50"/>
      <c r="WI205" s="50"/>
      <c r="WJ205" s="50"/>
      <c r="WK205" s="50"/>
      <c r="WL205" s="50"/>
      <c r="WM205" s="50"/>
      <c r="WN205" s="50"/>
      <c r="WO205" s="50"/>
      <c r="WP205" s="50"/>
      <c r="ACA205">
        <v>0.41</v>
      </c>
      <c r="ACD205">
        <v>0.52</v>
      </c>
      <c r="ACG205">
        <v>3.74</v>
      </c>
      <c r="ACH205">
        <v>10.41</v>
      </c>
      <c r="ACI205">
        <v>13.46</v>
      </c>
      <c r="ACJ205">
        <v>14.36</v>
      </c>
      <c r="AGO205">
        <v>60</v>
      </c>
      <c r="AGQ205" s="50"/>
      <c r="AGR205" s="50"/>
      <c r="AGS205" s="50"/>
      <c r="AGT205" s="50"/>
      <c r="AGU205" s="50"/>
      <c r="AGV205" s="50">
        <v>131</v>
      </c>
      <c r="AGW205" s="50">
        <v>163</v>
      </c>
      <c r="AGX205" s="50">
        <v>153</v>
      </c>
      <c r="AGY205" s="50"/>
      <c r="AGZ205" s="50"/>
      <c r="AHA205" s="50"/>
      <c r="AHB205" s="50"/>
      <c r="AHC205" s="50"/>
      <c r="AHD205" s="50"/>
      <c r="AHE205" s="50"/>
      <c r="AHF205" s="50"/>
      <c r="AHG205" s="50"/>
      <c r="AHH205" s="50"/>
      <c r="AHI205" s="50"/>
      <c r="AHJ205" s="50"/>
      <c r="AHK205" s="50"/>
      <c r="AHL205" s="50"/>
      <c r="AHM205" s="50"/>
      <c r="AHN205" s="50"/>
      <c r="AIZ205" s="50"/>
      <c r="AJA205" s="50"/>
      <c r="AJB205" s="50"/>
      <c r="AJC205" s="50"/>
      <c r="AJD205" s="50"/>
      <c r="AJE205" s="50"/>
      <c r="AJF205" s="50"/>
      <c r="AJG205" s="50"/>
      <c r="AJH205" s="50"/>
      <c r="AJI205" s="50"/>
      <c r="AJJ205" s="50"/>
      <c r="AJK205" s="50"/>
      <c r="AJL205" s="50"/>
      <c r="AJM205" s="50"/>
      <c r="AJN205" s="50"/>
      <c r="AJO205" s="50"/>
      <c r="ALH205" s="50"/>
      <c r="ALI205" s="50"/>
      <c r="ALJ205" s="50"/>
      <c r="ALK205" s="50"/>
      <c r="ALL205" s="50"/>
      <c r="ALM205" s="50"/>
      <c r="ALN205" s="50"/>
      <c r="ALO205" s="50"/>
      <c r="ALP205" s="50"/>
      <c r="AML205" s="50"/>
      <c r="AMM205" s="50"/>
      <c r="AMN205" s="50"/>
      <c r="AMO205" s="50"/>
      <c r="AMP205" s="50"/>
      <c r="AMQ205" s="50"/>
      <c r="AMR205" s="50"/>
      <c r="AMS205" s="50"/>
      <c r="AMT205" s="50"/>
      <c r="ANA205" s="50"/>
      <c r="ANB205" s="50"/>
      <c r="ANC205" s="50"/>
      <c r="AND205" s="50"/>
      <c r="ANE205" s="50"/>
      <c r="ANF205" s="50"/>
      <c r="ANG205" s="50"/>
      <c r="ANH205" s="50"/>
      <c r="ANI205" s="50"/>
      <c r="ANJ205" s="50"/>
      <c r="AOF205">
        <v>71.599999999999994</v>
      </c>
      <c r="BKG205" s="50"/>
      <c r="BKH205" s="50"/>
      <c r="BKI205" s="50"/>
      <c r="BKJ205" s="50"/>
      <c r="BKK205" s="50"/>
      <c r="BKL205" s="50"/>
      <c r="BKM205" s="50"/>
      <c r="BKN205" s="50"/>
      <c r="BKO205" s="50"/>
      <c r="BKP205" s="50"/>
      <c r="BKQ205" s="50"/>
      <c r="BKR205" s="50"/>
      <c r="BKS205" s="50"/>
      <c r="BKT205" s="50"/>
      <c r="BKU205" s="50"/>
      <c r="BKV205" s="50"/>
      <c r="BKW205" s="50"/>
      <c r="BKX205" s="50"/>
      <c r="BPE205">
        <v>64</v>
      </c>
      <c r="BPG205">
        <v>1</v>
      </c>
      <c r="BPI205">
        <v>1</v>
      </c>
      <c r="BUE205">
        <v>1</v>
      </c>
      <c r="BZQ205" s="50">
        <v>4000</v>
      </c>
      <c r="BZR205" s="50">
        <v>1</v>
      </c>
      <c r="BZS205">
        <v>1</v>
      </c>
      <c r="BZW205">
        <v>4</v>
      </c>
      <c r="BZX205">
        <v>3</v>
      </c>
      <c r="BZY205">
        <v>0</v>
      </c>
      <c r="BZZ205">
        <v>0</v>
      </c>
      <c r="CAS205">
        <v>1</v>
      </c>
      <c r="CAT205">
        <v>3</v>
      </c>
      <c r="CAU205">
        <v>3</v>
      </c>
      <c r="CAV205">
        <v>0</v>
      </c>
      <c r="CIS205">
        <v>1</v>
      </c>
      <c r="CIT205">
        <v>3</v>
      </c>
      <c r="CIU205">
        <v>3</v>
      </c>
      <c r="CIV205">
        <v>0</v>
      </c>
      <c r="CJW205">
        <v>1</v>
      </c>
      <c r="CJX205">
        <v>2</v>
      </c>
      <c r="CJY205">
        <v>2</v>
      </c>
      <c r="CJZ205">
        <v>0</v>
      </c>
      <c r="COJ205">
        <v>1500</v>
      </c>
      <c r="COK205">
        <v>1</v>
      </c>
      <c r="COO205">
        <v>6</v>
      </c>
      <c r="COP205">
        <v>8</v>
      </c>
      <c r="COQ205">
        <v>3</v>
      </c>
      <c r="COR205">
        <v>0</v>
      </c>
      <c r="CVJ205">
        <v>80</v>
      </c>
      <c r="CVK205">
        <v>1</v>
      </c>
      <c r="CVO205">
        <v>6</v>
      </c>
      <c r="CVP205">
        <v>8</v>
      </c>
      <c r="CVQ205">
        <v>3</v>
      </c>
      <c r="CVR205">
        <v>0</v>
      </c>
      <c r="DCG205">
        <v>1</v>
      </c>
      <c r="DCH205">
        <v>1</v>
      </c>
      <c r="DCI205">
        <v>3</v>
      </c>
      <c r="DCJ205">
        <v>3</v>
      </c>
      <c r="DCK205">
        <v>0</v>
      </c>
      <c r="DFB205">
        <v>1</v>
      </c>
      <c r="DHZ205">
        <v>80</v>
      </c>
      <c r="DIA205">
        <v>1</v>
      </c>
      <c r="DID205">
        <v>1</v>
      </c>
      <c r="EIF205">
        <v>500</v>
      </c>
      <c r="EIG205">
        <v>1</v>
      </c>
      <c r="EQV205">
        <v>20</v>
      </c>
      <c r="EQW205">
        <v>1</v>
      </c>
      <c r="FFB205">
        <v>1</v>
      </c>
      <c r="FFC205">
        <v>3</v>
      </c>
      <c r="FFD205">
        <v>3</v>
      </c>
      <c r="FFE205">
        <v>0</v>
      </c>
      <c r="GWG205">
        <v>1</v>
      </c>
      <c r="GWJ205">
        <v>1</v>
      </c>
      <c r="GWN205">
        <v>1</v>
      </c>
      <c r="GWO205">
        <v>1</v>
      </c>
      <c r="GZR205">
        <v>1</v>
      </c>
      <c r="HAE205">
        <v>1</v>
      </c>
      <c r="HAF205">
        <v>1</v>
      </c>
      <c r="HAH205">
        <v>1</v>
      </c>
      <c r="HBP205">
        <v>1</v>
      </c>
      <c r="HBX205">
        <v>1</v>
      </c>
      <c r="HCB205">
        <v>1</v>
      </c>
    </row>
    <row r="206" spans="1:1019 1026:2047 2049:3067 3171:4095 4214:4828 5202:5763" x14ac:dyDescent="0.25">
      <c r="A206" s="50">
        <v>4006540</v>
      </c>
      <c r="B206" s="50"/>
      <c r="C206" s="50"/>
      <c r="D206" s="50"/>
      <c r="E206" s="50"/>
      <c r="F206" s="50"/>
      <c r="G206" s="50"/>
      <c r="H206" s="50"/>
      <c r="BM206">
        <v>96</v>
      </c>
      <c r="CW206">
        <v>1</v>
      </c>
      <c r="EQ206">
        <v>32.799999999999997</v>
      </c>
      <c r="FL206">
        <v>40.700000000000003</v>
      </c>
      <c r="IA206">
        <v>9400</v>
      </c>
      <c r="IB206">
        <v>10000</v>
      </c>
      <c r="KA206" s="3">
        <v>1485.6</v>
      </c>
      <c r="KB206">
        <v>1614</v>
      </c>
      <c r="KE206">
        <v>1728</v>
      </c>
      <c r="KH206">
        <v>912</v>
      </c>
      <c r="NP206">
        <v>2376</v>
      </c>
      <c r="NQ206">
        <v>2262</v>
      </c>
      <c r="NT206">
        <v>1722</v>
      </c>
      <c r="NW206">
        <v>1548</v>
      </c>
      <c r="QU206" s="50"/>
      <c r="QV206" s="50"/>
      <c r="QW206" s="50"/>
      <c r="QX206" s="50"/>
      <c r="QY206" s="50"/>
      <c r="QZ206" s="50"/>
      <c r="RA206" s="50"/>
      <c r="RB206" s="50"/>
      <c r="RC206" s="50"/>
      <c r="RD206" s="50">
        <v>243</v>
      </c>
      <c r="RE206" s="50"/>
      <c r="RF206" s="50"/>
      <c r="RG206" s="50"/>
      <c r="RH206" s="50"/>
      <c r="RI206" s="50"/>
      <c r="RJ206" s="50"/>
      <c r="RK206" s="50"/>
      <c r="RL206" s="50"/>
      <c r="RM206" s="50"/>
      <c r="RN206" s="50"/>
      <c r="RO206" s="50"/>
      <c r="TW206">
        <v>414</v>
      </c>
      <c r="TY206">
        <v>288</v>
      </c>
      <c r="UB206">
        <v>258</v>
      </c>
      <c r="UK206" s="50"/>
      <c r="UL206" s="50"/>
      <c r="UM206" s="50"/>
      <c r="UN206" s="50"/>
      <c r="UO206" s="50"/>
      <c r="UP206" s="50"/>
      <c r="UQ206" s="50"/>
      <c r="UR206" s="50"/>
      <c r="US206" s="50"/>
      <c r="UT206" s="50"/>
      <c r="UU206" s="50"/>
      <c r="UV206" s="50"/>
      <c r="WC206" s="50"/>
      <c r="WD206" s="50"/>
      <c r="WE206" s="50"/>
      <c r="WF206" s="50"/>
      <c r="WG206" s="50"/>
      <c r="WH206" s="50"/>
      <c r="WI206" s="50"/>
      <c r="WJ206" s="50"/>
      <c r="WK206" s="50"/>
      <c r="WL206" s="50"/>
      <c r="WM206" s="50"/>
      <c r="WN206" s="50"/>
      <c r="WO206" s="50"/>
      <c r="WP206" s="50"/>
      <c r="AAD206" s="3">
        <v>14.3415</v>
      </c>
      <c r="AAK206" s="3">
        <v>14.502599999999999</v>
      </c>
      <c r="ACQ206" s="3">
        <v>12.161099999999999</v>
      </c>
      <c r="ACR206" s="3">
        <v>1.3271999999999999</v>
      </c>
      <c r="ACU206" s="3">
        <v>9.0038999999999998</v>
      </c>
      <c r="ACX206" s="3">
        <v>6.7237</v>
      </c>
      <c r="AHE206" s="3">
        <v>243</v>
      </c>
      <c r="AHF206">
        <v>219</v>
      </c>
      <c r="AHI206">
        <v>169.2</v>
      </c>
      <c r="AHL206">
        <v>181.8</v>
      </c>
      <c r="AIZ206" s="50"/>
      <c r="AJA206" s="50"/>
      <c r="AJB206" s="50"/>
      <c r="AJC206" s="50"/>
      <c r="AJD206" s="50"/>
      <c r="AJE206" s="50"/>
      <c r="AJF206" s="50"/>
      <c r="AJG206" s="50"/>
      <c r="AJH206" s="50"/>
      <c r="AJI206" s="50"/>
      <c r="AJJ206" s="50"/>
      <c r="AJK206" s="50"/>
      <c r="AJL206" s="50"/>
      <c r="AJM206" s="50"/>
      <c r="AJN206" s="50"/>
      <c r="AJO206" s="50"/>
      <c r="AKP206" s="3">
        <v>1.1086</v>
      </c>
      <c r="ALH206" s="50"/>
      <c r="ALI206" s="50"/>
      <c r="ALJ206" s="50"/>
      <c r="ALK206" s="50"/>
      <c r="ALL206" s="50"/>
      <c r="ALM206" s="50"/>
      <c r="ALN206" s="50"/>
      <c r="ALO206" s="50"/>
      <c r="ALP206" s="50"/>
      <c r="AML206" s="50"/>
      <c r="AMM206" s="50"/>
      <c r="AMN206" s="50"/>
      <c r="AMO206" s="50"/>
      <c r="AMP206" s="50"/>
      <c r="AMQ206" s="50"/>
      <c r="AMR206" s="50"/>
      <c r="AMS206" s="50"/>
      <c r="AMT206" s="50"/>
      <c r="AMW206" s="3">
        <v>55.8</v>
      </c>
      <c r="AMX206" s="3"/>
      <c r="ANA206" s="50"/>
      <c r="ANB206" s="50"/>
      <c r="ANC206" s="50"/>
      <c r="AND206" s="50"/>
      <c r="ANE206" s="50"/>
      <c r="ANF206" s="50"/>
      <c r="ANG206" s="50"/>
      <c r="ANH206" s="50"/>
      <c r="ANI206" s="50"/>
      <c r="ANJ206" s="50"/>
      <c r="AOI206">
        <v>5</v>
      </c>
      <c r="BAV206">
        <v>42</v>
      </c>
      <c r="BBA206">
        <v>44</v>
      </c>
      <c r="BHA206">
        <v>137</v>
      </c>
      <c r="BIG206">
        <v>4.5999999999999996</v>
      </c>
      <c r="BKG206" s="50"/>
      <c r="BKH206" s="50"/>
      <c r="BKI206" s="50"/>
      <c r="BKJ206" s="50"/>
      <c r="BKK206" s="50"/>
      <c r="BKL206" s="50"/>
      <c r="BKM206" s="50"/>
      <c r="BKN206" s="50"/>
      <c r="BKO206" s="50"/>
      <c r="BKP206" s="50"/>
      <c r="BKQ206" s="50"/>
      <c r="BKR206" s="50"/>
      <c r="BKS206" s="50"/>
      <c r="BKT206" s="50"/>
      <c r="BKU206" s="50"/>
      <c r="BKV206" s="50"/>
      <c r="BKW206" s="50"/>
      <c r="BKX206" s="50"/>
      <c r="BMG206" s="3">
        <v>120.7072</v>
      </c>
      <c r="BPE206">
        <v>39</v>
      </c>
      <c r="BPF206">
        <v>1</v>
      </c>
      <c r="BPH206">
        <v>26.1</v>
      </c>
      <c r="BPK206">
        <v>20</v>
      </c>
      <c r="BPM206">
        <v>1</v>
      </c>
      <c r="BZQ206" s="50">
        <v>500</v>
      </c>
      <c r="BZR206" s="50">
        <v>1</v>
      </c>
      <c r="BZU206">
        <v>1</v>
      </c>
      <c r="BZW206">
        <v>8</v>
      </c>
      <c r="BZX206">
        <v>9</v>
      </c>
      <c r="BZY206">
        <v>2</v>
      </c>
      <c r="BZZ206">
        <v>0</v>
      </c>
      <c r="CPN206">
        <v>250</v>
      </c>
      <c r="CPO206">
        <v>2</v>
      </c>
      <c r="CPR206">
        <v>1</v>
      </c>
      <c r="CPS206">
        <v>8</v>
      </c>
      <c r="CPT206">
        <v>9</v>
      </c>
      <c r="CPU206">
        <v>2</v>
      </c>
      <c r="CPV206">
        <v>0</v>
      </c>
      <c r="GYA206">
        <v>1</v>
      </c>
      <c r="GYE206">
        <v>1</v>
      </c>
      <c r="HCA206">
        <v>1</v>
      </c>
      <c r="HCB206">
        <v>1</v>
      </c>
    </row>
    <row r="207" spans="1:1019 1026:2047 2049:3067 3171:4095 4214:4828 5202:5763" x14ac:dyDescent="0.25">
      <c r="A207" s="50">
        <v>4007054</v>
      </c>
      <c r="B207" s="50"/>
      <c r="C207" s="50"/>
      <c r="D207" s="50"/>
      <c r="E207" s="50"/>
      <c r="F207" s="50"/>
      <c r="G207" s="50"/>
      <c r="H207" s="50"/>
      <c r="BG207">
        <v>97</v>
      </c>
      <c r="CQ207">
        <v>1.1000000000000001</v>
      </c>
      <c r="HU207">
        <v>8300</v>
      </c>
      <c r="JQ207">
        <v>20.5</v>
      </c>
      <c r="JU207">
        <v>161</v>
      </c>
      <c r="NF207">
        <v>45.8</v>
      </c>
      <c r="NJ207">
        <v>920</v>
      </c>
      <c r="QU207" s="50"/>
      <c r="QV207" s="50"/>
      <c r="QW207" s="50"/>
      <c r="QX207" s="50"/>
      <c r="QY207" s="50"/>
      <c r="QZ207" s="50"/>
      <c r="RA207" s="50"/>
      <c r="RB207" s="50"/>
      <c r="RC207" s="50"/>
      <c r="RD207" s="50"/>
      <c r="RE207" s="50"/>
      <c r="RF207" s="50"/>
      <c r="RG207" s="50"/>
      <c r="RH207" s="50"/>
      <c r="RI207" s="50"/>
      <c r="RJ207" s="50"/>
      <c r="RK207" s="50"/>
      <c r="RL207" s="50"/>
      <c r="RM207" s="50"/>
      <c r="RN207" s="50"/>
      <c r="RO207" s="50"/>
      <c r="TP207">
        <v>255</v>
      </c>
      <c r="UK207" s="50"/>
      <c r="UL207" s="50"/>
      <c r="UM207" s="50"/>
      <c r="UN207" s="50"/>
      <c r="UO207" s="50"/>
      <c r="UP207" s="50"/>
      <c r="UQ207" s="50"/>
      <c r="UR207" s="50"/>
      <c r="US207" s="50"/>
      <c r="UT207" s="50"/>
      <c r="UU207" s="50"/>
      <c r="UV207" s="50"/>
      <c r="WC207" s="50"/>
      <c r="WD207" s="50"/>
      <c r="WE207" s="50"/>
      <c r="WF207" s="50"/>
      <c r="WG207" s="50"/>
      <c r="WH207" s="50"/>
      <c r="WI207" s="50"/>
      <c r="WJ207" s="50"/>
      <c r="WK207" s="50"/>
      <c r="WL207" s="50"/>
      <c r="WM207" s="50"/>
      <c r="WN207" s="50"/>
      <c r="WO207" s="50"/>
      <c r="WP207" s="50"/>
      <c r="ZX207" s="3">
        <v>13.696899999999999</v>
      </c>
      <c r="ACK207" t="s">
        <v>2041</v>
      </c>
      <c r="ACV207">
        <v>0.16739999999999999</v>
      </c>
      <c r="AIZ207" s="50"/>
      <c r="AJA207" s="50"/>
      <c r="AJB207" s="50"/>
      <c r="AJC207" s="50"/>
      <c r="AJD207" s="50"/>
      <c r="AJE207" s="50"/>
      <c r="AJF207" s="50"/>
      <c r="AJG207" s="50"/>
      <c r="AJH207" s="50"/>
      <c r="AJI207" s="50"/>
      <c r="AJJ207" s="50"/>
      <c r="AJK207" s="50"/>
      <c r="AJL207" s="50"/>
      <c r="AJM207" s="50"/>
      <c r="AJN207" s="50"/>
      <c r="AJO207" s="50"/>
      <c r="AKJ207">
        <v>0.59160000000000001</v>
      </c>
      <c r="ALH207" s="50"/>
      <c r="ALI207" s="50"/>
      <c r="ALJ207" s="50"/>
      <c r="ALK207" s="50"/>
      <c r="ALL207" s="50"/>
      <c r="ALM207" s="50"/>
      <c r="ALN207" s="50"/>
      <c r="ALO207" s="50"/>
      <c r="ALP207" s="50"/>
      <c r="AML207" s="50"/>
      <c r="AMM207" s="50"/>
      <c r="AMN207" s="50"/>
      <c r="AMO207" s="50"/>
      <c r="AMP207" s="50"/>
      <c r="AMQ207" s="50"/>
      <c r="AMR207" s="50">
        <v>48</v>
      </c>
      <c r="AMS207" s="50"/>
      <c r="AMT207" s="50"/>
      <c r="ANA207" s="50"/>
      <c r="ANB207" s="50"/>
      <c r="ANC207" s="50"/>
      <c r="AND207" s="50"/>
      <c r="ANE207" s="50"/>
      <c r="ANF207" s="50"/>
      <c r="ANG207" s="50"/>
      <c r="ANH207" s="50"/>
      <c r="ANI207" s="50"/>
      <c r="ANJ207" s="50"/>
      <c r="AOC207">
        <v>59.3</v>
      </c>
      <c r="ASZ207">
        <v>72000</v>
      </c>
      <c r="BAP207">
        <v>39</v>
      </c>
      <c r="BGU207">
        <v>137</v>
      </c>
      <c r="BIA207">
        <v>4.2</v>
      </c>
      <c r="BKG207" s="50"/>
      <c r="BKH207" s="50"/>
      <c r="BKI207" s="50"/>
      <c r="BKJ207" s="50"/>
      <c r="BKK207" s="50"/>
      <c r="BKL207" s="50"/>
      <c r="BKM207" s="50"/>
      <c r="BKN207" s="50"/>
      <c r="BKO207" s="50"/>
      <c r="BKP207" s="50"/>
      <c r="BKQ207" s="50"/>
      <c r="BKR207" s="50"/>
      <c r="BKS207" s="50"/>
      <c r="BKT207" s="50"/>
      <c r="BKU207" s="50"/>
      <c r="BKV207" s="50"/>
      <c r="BKW207" s="50"/>
      <c r="BKX207" s="50"/>
      <c r="BMA207" s="3">
        <v>172.95359999999999</v>
      </c>
      <c r="BMY207">
        <v>5400</v>
      </c>
      <c r="BNN207">
        <v>1.2</v>
      </c>
      <c r="BPE207">
        <v>44</v>
      </c>
      <c r="BPF207">
        <v>1</v>
      </c>
      <c r="BPH207">
        <v>22.4</v>
      </c>
      <c r="BPJ207">
        <v>1</v>
      </c>
      <c r="BPK207">
        <v>19</v>
      </c>
      <c r="BPL207">
        <v>1</v>
      </c>
      <c r="BPM207">
        <v>1</v>
      </c>
      <c r="BQY207">
        <v>1</v>
      </c>
      <c r="BSE207">
        <v>1</v>
      </c>
      <c r="BSV207">
        <v>1</v>
      </c>
      <c r="BSW207">
        <v>1</v>
      </c>
      <c r="BSZ207">
        <v>1</v>
      </c>
      <c r="BWY207">
        <v>1</v>
      </c>
      <c r="BXP207">
        <v>1</v>
      </c>
      <c r="BXW207">
        <v>1</v>
      </c>
      <c r="BZQ207" s="50"/>
      <c r="BZR207" s="50"/>
      <c r="CAC207">
        <v>300</v>
      </c>
      <c r="CAD207">
        <v>1</v>
      </c>
      <c r="CAG207">
        <v>1</v>
      </c>
      <c r="CAH207">
        <v>999</v>
      </c>
      <c r="CAI207">
        <v>999</v>
      </c>
      <c r="CAJ207">
        <v>0</v>
      </c>
      <c r="CAK207">
        <v>999</v>
      </c>
      <c r="DLC207">
        <v>25</v>
      </c>
      <c r="DLD207">
        <v>2</v>
      </c>
      <c r="DLG207">
        <v>1</v>
      </c>
      <c r="DLH207">
        <v>999</v>
      </c>
      <c r="DLI207">
        <v>999</v>
      </c>
      <c r="DLJ207">
        <v>0</v>
      </c>
      <c r="DLK207">
        <v>0</v>
      </c>
      <c r="DSN207">
        <v>40</v>
      </c>
      <c r="DSO207">
        <v>2</v>
      </c>
      <c r="DSR207">
        <v>1</v>
      </c>
      <c r="DSS207">
        <v>999</v>
      </c>
      <c r="DST207">
        <v>999</v>
      </c>
      <c r="DSU207">
        <v>0</v>
      </c>
      <c r="DSV207">
        <v>0</v>
      </c>
      <c r="DUW207">
        <v>8</v>
      </c>
      <c r="DUX207">
        <v>1</v>
      </c>
      <c r="DVA207">
        <v>1</v>
      </c>
      <c r="DVB207">
        <v>999</v>
      </c>
      <c r="DVC207">
        <v>999</v>
      </c>
      <c r="DVD207">
        <v>0</v>
      </c>
      <c r="DVE207">
        <v>0</v>
      </c>
      <c r="GXW207">
        <v>1</v>
      </c>
      <c r="GXY207">
        <v>1</v>
      </c>
      <c r="HAQ207">
        <v>1</v>
      </c>
      <c r="HCM207">
        <v>1</v>
      </c>
    </row>
    <row r="208" spans="1:1019 1026:2047 2049:3067 3171:4095 4214:4828 5202:5763" x14ac:dyDescent="0.25">
      <c r="A208" s="50">
        <v>4011002</v>
      </c>
      <c r="B208" s="50"/>
      <c r="C208" s="50"/>
      <c r="D208" s="50"/>
      <c r="E208" s="50"/>
      <c r="F208" s="50"/>
      <c r="G208" s="50"/>
      <c r="H208" s="50"/>
      <c r="BD208">
        <v>70</v>
      </c>
      <c r="BH208">
        <v>67</v>
      </c>
      <c r="CN208">
        <v>1.3</v>
      </c>
      <c r="CR208">
        <v>1.3</v>
      </c>
      <c r="EH208" t="s">
        <v>2044</v>
      </c>
      <c r="EL208">
        <v>42.3</v>
      </c>
      <c r="FF208">
        <v>18.899999999999999</v>
      </c>
      <c r="FO208">
        <v>108</v>
      </c>
      <c r="GK208">
        <v>790</v>
      </c>
      <c r="HQ208">
        <v>4200</v>
      </c>
      <c r="HR208">
        <v>4000</v>
      </c>
      <c r="HV208">
        <v>3800</v>
      </c>
      <c r="HY208">
        <v>4100</v>
      </c>
      <c r="JP208" s="50"/>
      <c r="JQ208">
        <v>457.8</v>
      </c>
      <c r="JR208">
        <v>362.4</v>
      </c>
      <c r="JV208" s="3">
        <v>178.2</v>
      </c>
      <c r="JY208">
        <v>229.8</v>
      </c>
      <c r="NE208" s="50"/>
      <c r="NF208">
        <v>410.4</v>
      </c>
      <c r="NG208">
        <v>505.2</v>
      </c>
      <c r="NK208">
        <v>315</v>
      </c>
      <c r="NN208" s="3">
        <v>502.8</v>
      </c>
      <c r="QT208" s="3">
        <v>109.8</v>
      </c>
      <c r="QU208" s="59">
        <v>109.8</v>
      </c>
      <c r="QV208" s="50"/>
      <c r="QW208" s="50"/>
      <c r="QX208" s="50"/>
      <c r="QY208" s="50">
        <v>205.8</v>
      </c>
      <c r="QZ208" s="50"/>
      <c r="RA208" s="50"/>
      <c r="RB208" s="50">
        <v>218.4</v>
      </c>
      <c r="RC208" s="50"/>
      <c r="RD208" s="50"/>
      <c r="RE208" s="50"/>
      <c r="RF208" s="50"/>
      <c r="RG208" s="50"/>
      <c r="RH208" s="50"/>
      <c r="RI208" s="50"/>
      <c r="RJ208" s="50"/>
      <c r="RK208" s="50"/>
      <c r="RL208" s="50"/>
      <c r="RM208" s="50"/>
      <c r="RN208" s="50"/>
      <c r="RO208" s="50"/>
      <c r="UK208" s="50"/>
      <c r="UL208" s="50"/>
      <c r="UM208" s="50"/>
      <c r="UN208" s="50"/>
      <c r="UO208" s="50"/>
      <c r="UP208" s="50"/>
      <c r="UQ208" s="50"/>
      <c r="UR208" s="50"/>
      <c r="US208" s="50"/>
      <c r="UT208" s="50"/>
      <c r="UU208" s="50"/>
      <c r="UV208" s="50"/>
      <c r="WC208" s="50"/>
      <c r="WD208" s="50"/>
      <c r="WE208" s="50"/>
      <c r="WF208" s="50"/>
      <c r="WG208" s="50"/>
      <c r="WH208" s="50"/>
      <c r="WI208" s="50"/>
      <c r="WJ208" s="50"/>
      <c r="WK208" s="50"/>
      <c r="WL208" s="50"/>
      <c r="WM208" s="50"/>
      <c r="WN208" s="50"/>
      <c r="WO208" s="50"/>
      <c r="WP208" s="50"/>
      <c r="ZT208" s="3">
        <v>14.8249</v>
      </c>
      <c r="ZU208" s="3">
        <v>13.2135</v>
      </c>
      <c r="ZY208" s="3">
        <v>13.5358</v>
      </c>
      <c r="AAB208" s="3">
        <v>13.37462</v>
      </c>
      <c r="ACG208">
        <v>0.2072</v>
      </c>
      <c r="ACL208">
        <v>0.16209999999999999</v>
      </c>
      <c r="ACO208">
        <v>0.19819999999999999</v>
      </c>
      <c r="AGU208" s="3">
        <v>189.6</v>
      </c>
      <c r="AGV208">
        <v>189</v>
      </c>
      <c r="AGZ208">
        <v>325.2</v>
      </c>
      <c r="AHC208">
        <v>294</v>
      </c>
      <c r="AIZ208" s="50"/>
      <c r="AJA208" s="50"/>
      <c r="AJB208" s="50"/>
      <c r="AJC208" s="50"/>
      <c r="AJD208" s="50"/>
      <c r="AJE208" s="50"/>
      <c r="AJF208" s="50"/>
      <c r="AJG208" s="50"/>
      <c r="AJH208" s="50"/>
      <c r="AJI208" s="50"/>
      <c r="AJJ208" s="50"/>
      <c r="AJK208" s="50"/>
      <c r="AJL208" s="50"/>
      <c r="AJM208" s="50"/>
      <c r="AJN208" s="50"/>
      <c r="AJO208" s="50"/>
      <c r="AKF208" s="3">
        <v>1.2330000000000001</v>
      </c>
      <c r="AKG208" s="3">
        <v>1.0407</v>
      </c>
      <c r="AKN208">
        <v>0.9728</v>
      </c>
      <c r="ALH208" s="50"/>
      <c r="ALI208" s="50"/>
      <c r="ALJ208" s="50"/>
      <c r="ALK208" s="50"/>
      <c r="ALL208" s="50"/>
      <c r="ALM208" s="50"/>
      <c r="ALN208" s="50"/>
      <c r="ALO208" s="50"/>
      <c r="ALP208" s="50"/>
      <c r="AML208" s="50"/>
      <c r="AMM208" s="50"/>
      <c r="AMN208" s="50"/>
      <c r="AMO208" s="50"/>
      <c r="AMP208" s="50"/>
      <c r="AMQ208" s="50"/>
      <c r="AMR208" s="50"/>
      <c r="AMS208" s="50"/>
      <c r="AMT208" s="50"/>
      <c r="ANA208" s="50"/>
      <c r="ANB208" s="50"/>
      <c r="ANC208" s="50"/>
      <c r="AND208" s="50"/>
      <c r="ANE208" s="50"/>
      <c r="ANF208" s="50"/>
      <c r="ANG208" s="50"/>
      <c r="ANH208" s="50"/>
      <c r="ANI208" s="50"/>
      <c r="ANJ208" s="50"/>
      <c r="ANY208">
        <v>241</v>
      </c>
      <c r="ANZ208">
        <v>180</v>
      </c>
      <c r="AOD208">
        <v>49</v>
      </c>
      <c r="AOG208">
        <v>12.9</v>
      </c>
      <c r="ASV208">
        <v>113000</v>
      </c>
      <c r="ASW208">
        <v>108000</v>
      </c>
      <c r="ATA208">
        <v>285000</v>
      </c>
      <c r="ATD208">
        <v>411000</v>
      </c>
      <c r="BAL208">
        <v>42</v>
      </c>
      <c r="BAM208">
        <v>38</v>
      </c>
      <c r="BAQ208">
        <v>40</v>
      </c>
      <c r="BAT208">
        <v>41</v>
      </c>
      <c r="BKG208" s="50"/>
      <c r="BKH208" s="50"/>
      <c r="BKI208" s="50"/>
      <c r="BKJ208" s="50"/>
      <c r="BKK208" s="50"/>
      <c r="BKL208" s="50"/>
      <c r="BKM208" s="50"/>
      <c r="BKN208" s="50"/>
      <c r="BKO208" s="50"/>
      <c r="BKP208" s="50"/>
      <c r="BKQ208" s="50"/>
      <c r="BKR208" s="50"/>
      <c r="BKS208" s="50"/>
      <c r="BKT208" s="50"/>
      <c r="BKU208" s="50"/>
      <c r="BKV208" s="50"/>
      <c r="BKW208" s="50"/>
      <c r="BKX208" s="50"/>
      <c r="BLW208" s="3">
        <v>138.72319999999999</v>
      </c>
      <c r="BPE208">
        <v>38</v>
      </c>
      <c r="BPF208">
        <v>1</v>
      </c>
      <c r="BPH208">
        <v>24.7</v>
      </c>
      <c r="BZQ208" s="50">
        <v>500</v>
      </c>
      <c r="BZR208" s="50">
        <v>3</v>
      </c>
      <c r="BZU208">
        <v>1</v>
      </c>
      <c r="BZW208">
        <v>7</v>
      </c>
      <c r="BZX208">
        <v>6</v>
      </c>
      <c r="BZY208">
        <v>0</v>
      </c>
      <c r="BZZ208">
        <v>0</v>
      </c>
      <c r="CVJ208">
        <v>500</v>
      </c>
      <c r="CVK208">
        <v>2</v>
      </c>
      <c r="CVN208">
        <v>1</v>
      </c>
      <c r="CVO208">
        <v>3</v>
      </c>
      <c r="CVP208">
        <v>2</v>
      </c>
      <c r="CVQ208">
        <v>0</v>
      </c>
      <c r="CVR208">
        <v>0</v>
      </c>
      <c r="EWF208">
        <v>8</v>
      </c>
      <c r="EWG208">
        <v>3</v>
      </c>
      <c r="EWJ208">
        <v>1</v>
      </c>
      <c r="EWK208">
        <v>7</v>
      </c>
      <c r="EWL208">
        <v>6</v>
      </c>
      <c r="EWM208">
        <v>0</v>
      </c>
      <c r="EWN208">
        <v>0</v>
      </c>
      <c r="GYE208">
        <v>1</v>
      </c>
      <c r="GYU208">
        <v>1</v>
      </c>
      <c r="GZN208">
        <v>1</v>
      </c>
    </row>
    <row r="209" spans="1:2047 2049:3063 3264:3952 4128:5053 5337:5771" x14ac:dyDescent="0.25">
      <c r="A209" s="50">
        <v>4900268</v>
      </c>
      <c r="B209" s="50"/>
      <c r="C209" s="50"/>
      <c r="D209" s="50"/>
      <c r="E209" s="50"/>
      <c r="F209" s="50"/>
      <c r="G209" s="50"/>
      <c r="H209" s="50"/>
      <c r="BB209">
        <v>13</v>
      </c>
      <c r="HS209">
        <v>4612</v>
      </c>
      <c r="JP209" s="14">
        <v>9489</v>
      </c>
      <c r="JT209">
        <v>4612</v>
      </c>
      <c r="NE209" s="14">
        <v>9593.5</v>
      </c>
      <c r="QU209" s="50"/>
      <c r="QV209" s="50"/>
      <c r="QW209" s="50"/>
      <c r="QX209" s="50"/>
      <c r="QY209" s="50"/>
      <c r="QZ209" s="50"/>
      <c r="RA209" s="50"/>
      <c r="RB209" s="50"/>
      <c r="RC209" s="50"/>
      <c r="RD209" s="50"/>
      <c r="RE209" s="50"/>
      <c r="RF209" s="50"/>
      <c r="RG209" s="50"/>
      <c r="RH209" s="50"/>
      <c r="RI209" s="50"/>
      <c r="RJ209" s="50"/>
      <c r="RK209" s="50"/>
      <c r="RL209" s="50"/>
      <c r="RM209" s="50"/>
      <c r="RN209" s="50"/>
      <c r="RO209" s="50"/>
      <c r="UK209" s="50"/>
      <c r="UL209" s="50"/>
      <c r="UM209" s="50"/>
      <c r="UN209" s="50"/>
      <c r="UO209" s="50"/>
      <c r="UP209" s="50"/>
      <c r="UQ209" s="50"/>
      <c r="UR209" s="50"/>
      <c r="US209" s="50"/>
      <c r="UT209" s="50"/>
      <c r="UU209" s="50"/>
      <c r="UV209" s="50"/>
      <c r="WC209" s="50"/>
      <c r="WD209" s="50"/>
      <c r="WE209" s="50"/>
      <c r="WF209" s="50"/>
      <c r="WG209" s="50"/>
      <c r="WH209" s="50"/>
      <c r="WI209" s="50"/>
      <c r="WJ209" s="50"/>
      <c r="WK209" s="50"/>
      <c r="WL209" s="50"/>
      <c r="WM209" s="50"/>
      <c r="WN209" s="50"/>
      <c r="WO209" s="50"/>
      <c r="WP209" s="50"/>
      <c r="AIZ209" s="50"/>
      <c r="AJA209" s="50"/>
      <c r="AJB209" s="50"/>
      <c r="AJC209" s="50"/>
      <c r="AJD209" s="50"/>
      <c r="AJE209" s="50"/>
      <c r="AJF209" s="50"/>
      <c r="AJG209" s="50"/>
      <c r="AJH209" s="50"/>
      <c r="AJI209" s="50"/>
      <c r="AJJ209" s="50"/>
      <c r="AJK209" s="50"/>
      <c r="AJL209" s="50"/>
      <c r="AJM209" s="50"/>
      <c r="AJN209" s="50"/>
      <c r="AJO209" s="50"/>
      <c r="ALH209" s="50"/>
      <c r="ALI209" s="50">
        <v>8000</v>
      </c>
      <c r="ALJ209" s="50"/>
      <c r="ALK209" s="50"/>
      <c r="ALL209" s="50"/>
      <c r="ALM209" s="50"/>
      <c r="ALN209" s="50"/>
      <c r="ALO209" s="50"/>
      <c r="ALP209" s="50"/>
      <c r="AML209" s="50"/>
      <c r="AMM209" s="50"/>
      <c r="AMN209" s="50"/>
      <c r="AMO209" s="50"/>
      <c r="AMP209" s="50"/>
      <c r="AMQ209" s="50"/>
      <c r="AMR209" s="50"/>
      <c r="AMS209" s="50"/>
      <c r="AMT209" s="50"/>
      <c r="ANA209" s="50"/>
      <c r="ANB209" s="50"/>
      <c r="ANC209" s="50"/>
      <c r="AND209" s="50"/>
      <c r="ANE209" s="50"/>
      <c r="ANF209" s="50"/>
      <c r="ANG209" s="50"/>
      <c r="ANH209" s="50"/>
      <c r="ANI209" s="50"/>
      <c r="ANJ209" s="50"/>
      <c r="BKG209" s="50"/>
      <c r="BKH209" s="50"/>
      <c r="BKI209" s="50"/>
      <c r="BKJ209" s="50"/>
      <c r="BKK209" s="50"/>
      <c r="BKL209" s="50"/>
      <c r="BKM209" s="50"/>
      <c r="BKN209" s="50"/>
      <c r="BKO209" s="50"/>
      <c r="BKP209" s="50"/>
      <c r="BKQ209" s="50"/>
      <c r="BKR209" s="50"/>
      <c r="BKS209" s="50"/>
      <c r="BKT209" s="50"/>
      <c r="BKU209" s="50"/>
      <c r="BKV209" s="50"/>
      <c r="BKW209" s="50"/>
      <c r="BKX209" s="50"/>
      <c r="BPE209">
        <v>39</v>
      </c>
      <c r="BPG209">
        <v>1</v>
      </c>
      <c r="BQR209">
        <v>1</v>
      </c>
      <c r="BXH209">
        <v>1</v>
      </c>
      <c r="BZQ209" s="50">
        <v>1000</v>
      </c>
      <c r="BZR209" s="50">
        <v>1</v>
      </c>
      <c r="BZV209">
        <v>1</v>
      </c>
      <c r="FHZ209">
        <v>100</v>
      </c>
      <c r="FIA209">
        <v>3</v>
      </c>
      <c r="FID209">
        <v>1</v>
      </c>
      <c r="FIJ209">
        <v>1800</v>
      </c>
      <c r="FIK209">
        <v>1</v>
      </c>
      <c r="FIN209">
        <v>1</v>
      </c>
      <c r="FLC209">
        <v>15</v>
      </c>
      <c r="FLD209">
        <v>1</v>
      </c>
      <c r="FLG209">
        <v>1</v>
      </c>
      <c r="GWG209">
        <v>1</v>
      </c>
      <c r="GYE209">
        <v>1</v>
      </c>
      <c r="GZR209">
        <v>1</v>
      </c>
      <c r="GZT209">
        <v>1</v>
      </c>
      <c r="GZZ209">
        <v>1</v>
      </c>
      <c r="HBN209">
        <v>1</v>
      </c>
      <c r="HBX209">
        <v>1</v>
      </c>
    </row>
    <row r="210" spans="1:2047 2049:3063 3264:3952 4128:5053 5337:5771" x14ac:dyDescent="0.25">
      <c r="A210" s="50">
        <v>5001097</v>
      </c>
      <c r="B210" s="50"/>
      <c r="C210" s="50"/>
      <c r="D210" s="50"/>
      <c r="E210" s="50">
        <v>63</v>
      </c>
      <c r="F210" s="50">
        <v>42</v>
      </c>
      <c r="G210" s="50"/>
      <c r="H210" s="50"/>
      <c r="AX210">
        <v>100</v>
      </c>
      <c r="BI210">
        <v>100</v>
      </c>
      <c r="CH210">
        <v>0.99</v>
      </c>
      <c r="CS210">
        <v>0.9</v>
      </c>
      <c r="EA210">
        <v>115</v>
      </c>
      <c r="EM210">
        <v>21</v>
      </c>
      <c r="GF210">
        <v>411</v>
      </c>
      <c r="GN210">
        <v>368</v>
      </c>
      <c r="HI210">
        <v>12600</v>
      </c>
      <c r="HK210">
        <v>11500</v>
      </c>
      <c r="HQ210">
        <v>12400</v>
      </c>
      <c r="HY210">
        <v>12600</v>
      </c>
      <c r="JI210">
        <v>22</v>
      </c>
      <c r="JJ210">
        <v>22</v>
      </c>
      <c r="JP210" s="50"/>
      <c r="JQ210">
        <v>36</v>
      </c>
      <c r="JU210">
        <v>18</v>
      </c>
      <c r="JY210">
        <v>17</v>
      </c>
      <c r="MX210">
        <v>23</v>
      </c>
      <c r="MY210">
        <v>22</v>
      </c>
      <c r="NE210" s="50"/>
      <c r="NF210">
        <v>58</v>
      </c>
      <c r="NJ210">
        <v>34</v>
      </c>
      <c r="NN210">
        <v>33</v>
      </c>
      <c r="QL210">
        <v>95</v>
      </c>
      <c r="QM210">
        <v>90</v>
      </c>
      <c r="QP210">
        <v>91</v>
      </c>
      <c r="QT210">
        <v>159</v>
      </c>
      <c r="QU210" s="50"/>
      <c r="QV210" s="50"/>
      <c r="QW210" s="50"/>
      <c r="QX210" s="50"/>
      <c r="QY210" s="50"/>
      <c r="QZ210" s="50">
        <v>136</v>
      </c>
      <c r="RA210" s="50"/>
      <c r="RB210" s="50">
        <v>116</v>
      </c>
      <c r="RC210" s="50"/>
      <c r="RD210" s="50"/>
      <c r="RE210" s="50"/>
      <c r="RF210" s="50"/>
      <c r="RG210" s="50"/>
      <c r="RH210" s="50"/>
      <c r="RI210" s="50"/>
      <c r="RJ210" s="50"/>
      <c r="RK210" s="50"/>
      <c r="RL210" s="50"/>
      <c r="RM210" s="50"/>
      <c r="RN210" s="50"/>
      <c r="RO210" s="50"/>
      <c r="TD210">
        <v>236</v>
      </c>
      <c r="TE210">
        <v>235</v>
      </c>
      <c r="UK210" s="50"/>
      <c r="UL210" s="50"/>
      <c r="UM210" s="50"/>
      <c r="UN210" s="50"/>
      <c r="UO210" s="50"/>
      <c r="UP210" s="50"/>
      <c r="UQ210" s="50"/>
      <c r="UR210" s="50"/>
      <c r="US210" s="50"/>
      <c r="UT210" s="50"/>
      <c r="UU210" s="50"/>
      <c r="UV210" s="50"/>
      <c r="XI210">
        <v>18.7</v>
      </c>
      <c r="XJ210">
        <v>18.5</v>
      </c>
      <c r="XT210">
        <v>24.8</v>
      </c>
      <c r="YK210">
        <v>8.9</v>
      </c>
      <c r="YL210">
        <v>3.5</v>
      </c>
      <c r="YS210">
        <v>4.5999999999999996</v>
      </c>
      <c r="ZM210">
        <v>13.7</v>
      </c>
      <c r="ZN210">
        <v>13.4</v>
      </c>
      <c r="ZT210">
        <v>13.4</v>
      </c>
      <c r="AAB210">
        <v>14.3</v>
      </c>
      <c r="ABZ210">
        <v>0.46</v>
      </c>
      <c r="ACK210">
        <v>0.36</v>
      </c>
      <c r="AGM210">
        <v>93</v>
      </c>
      <c r="AGN210">
        <v>84</v>
      </c>
      <c r="AGU210">
        <v>94</v>
      </c>
      <c r="AGY210">
        <v>89</v>
      </c>
      <c r="AHC210">
        <v>98</v>
      </c>
      <c r="AIZ210" s="50"/>
      <c r="AJA210" s="50"/>
      <c r="AJB210" s="50"/>
      <c r="AJC210" s="50"/>
      <c r="AJD210" s="50"/>
      <c r="AJE210" s="50"/>
      <c r="AJF210" s="50"/>
      <c r="AJG210" s="50"/>
      <c r="AJH210" s="50"/>
      <c r="AJI210" s="50"/>
      <c r="AJJ210" s="50"/>
      <c r="AJK210" s="50"/>
      <c r="AJL210" s="50"/>
      <c r="AJM210" s="50"/>
      <c r="AJN210" s="50"/>
      <c r="AJO210" s="50"/>
      <c r="AJX210">
        <v>1</v>
      </c>
      <c r="AJY210">
        <v>1</v>
      </c>
      <c r="AKF210">
        <v>0.9</v>
      </c>
      <c r="AKN210">
        <v>0.9</v>
      </c>
      <c r="ALH210" s="50"/>
      <c r="ALI210" s="50"/>
      <c r="ALJ210" s="50"/>
      <c r="ALK210" s="50"/>
      <c r="ALL210" s="50"/>
      <c r="ALM210" s="50"/>
      <c r="ALN210" s="50"/>
      <c r="ALO210" s="50"/>
      <c r="ALP210" s="50"/>
      <c r="AMI210" s="14">
        <v>171.5</v>
      </c>
      <c r="AML210" s="50"/>
      <c r="AMM210" s="50"/>
      <c r="AMN210" s="50"/>
      <c r="AMO210" s="50"/>
      <c r="AMP210" s="50"/>
      <c r="AMQ210" s="50"/>
      <c r="AMR210" s="50"/>
      <c r="AMS210" s="50"/>
      <c r="AMT210" s="50"/>
      <c r="ANA210" s="50"/>
      <c r="ANB210" s="50"/>
      <c r="ANC210" s="50"/>
      <c r="AND210" s="50"/>
      <c r="ANE210" s="50"/>
      <c r="ANF210" s="50"/>
      <c r="ANG210" s="50"/>
      <c r="ANH210" s="50"/>
      <c r="ANI210" s="50"/>
      <c r="ANJ210" s="50"/>
      <c r="ANR210">
        <v>11</v>
      </c>
      <c r="ANU210">
        <v>3</v>
      </c>
      <c r="ANY210">
        <v>2</v>
      </c>
      <c r="AOG210">
        <v>2</v>
      </c>
      <c r="APF210">
        <v>38</v>
      </c>
      <c r="ARD210">
        <v>5050000</v>
      </c>
      <c r="ARE210" s="3">
        <v>49800000000</v>
      </c>
      <c r="ARK210">
        <v>4960000</v>
      </c>
      <c r="ARS210">
        <v>5220000</v>
      </c>
      <c r="ASO210">
        <v>312000</v>
      </c>
      <c r="ASP210">
        <v>371000</v>
      </c>
      <c r="ASV210">
        <v>385000</v>
      </c>
      <c r="ATD210">
        <v>371000</v>
      </c>
      <c r="AUI210">
        <v>60</v>
      </c>
      <c r="AUK210">
        <v>15</v>
      </c>
      <c r="AUM210">
        <v>20</v>
      </c>
      <c r="AUZ210">
        <v>1.5</v>
      </c>
      <c r="AVA210">
        <v>0.7</v>
      </c>
      <c r="AVG210">
        <v>1.7</v>
      </c>
      <c r="AVT210">
        <v>69.900000000000006</v>
      </c>
      <c r="AVU210">
        <v>76.7</v>
      </c>
      <c r="AWB210">
        <v>67.900000000000006</v>
      </c>
      <c r="AWP210">
        <v>1.1000000000000001</v>
      </c>
      <c r="AWQ210">
        <v>0.6</v>
      </c>
      <c r="AWV210">
        <v>1.1000000000000001</v>
      </c>
      <c r="BAE210">
        <v>40.6</v>
      </c>
      <c r="BAF210">
        <v>39.9</v>
      </c>
      <c r="BAL210">
        <v>40</v>
      </c>
      <c r="BAT210">
        <v>42.4</v>
      </c>
      <c r="BBX210">
        <v>80.5</v>
      </c>
      <c r="BBY210">
        <v>80.099999999999994</v>
      </c>
      <c r="BCD210">
        <v>80.7</v>
      </c>
      <c r="BCK210">
        <v>81.3</v>
      </c>
      <c r="BDD210">
        <v>27.2</v>
      </c>
      <c r="BDE210">
        <v>26.9</v>
      </c>
      <c r="BDJ210">
        <v>27</v>
      </c>
      <c r="BDQ210">
        <v>27.3</v>
      </c>
      <c r="BEG210">
        <v>33.700000000000003</v>
      </c>
      <c r="BEH210">
        <v>33.5</v>
      </c>
      <c r="BEM210">
        <v>33.4</v>
      </c>
      <c r="BET210">
        <v>33.6</v>
      </c>
      <c r="BGY210">
        <v>141</v>
      </c>
      <c r="BHQ210">
        <v>3.4</v>
      </c>
      <c r="BHS210">
        <v>4.0999999999999996</v>
      </c>
      <c r="BHW210">
        <v>4.0999999999999996</v>
      </c>
      <c r="BIE210">
        <v>3.5</v>
      </c>
      <c r="BIT210">
        <v>2.4</v>
      </c>
      <c r="BKG210" s="50"/>
      <c r="BKH210" s="50"/>
      <c r="BKI210" s="50"/>
      <c r="BKJ210" s="50"/>
      <c r="BKK210" s="50"/>
      <c r="BKL210" s="50"/>
      <c r="BKM210" s="50"/>
      <c r="BKN210" s="50"/>
      <c r="BKO210" s="50"/>
      <c r="BKP210" s="50"/>
      <c r="BKQ210" s="50"/>
      <c r="BKR210" s="50"/>
      <c r="BKS210" s="50"/>
      <c r="BKT210" s="50"/>
      <c r="BKU210" s="50"/>
      <c r="BKV210" s="50"/>
      <c r="BKW210" s="50"/>
      <c r="BKX210" s="50"/>
      <c r="BLR210" s="14">
        <v>107.5</v>
      </c>
      <c r="BPE210">
        <v>77</v>
      </c>
      <c r="BPG210">
        <v>1</v>
      </c>
      <c r="BPH210">
        <v>24</v>
      </c>
      <c r="BPJ210">
        <v>1</v>
      </c>
      <c r="BPK210">
        <v>7</v>
      </c>
      <c r="BQZ210">
        <v>1</v>
      </c>
      <c r="BSZ210">
        <v>1</v>
      </c>
      <c r="BVD210">
        <v>1</v>
      </c>
      <c r="BVT210">
        <v>1</v>
      </c>
      <c r="BZQ210" s="50">
        <v>1500</v>
      </c>
      <c r="BZR210" s="50">
        <v>1</v>
      </c>
      <c r="BZU210">
        <v>1</v>
      </c>
      <c r="BZW210">
        <v>7</v>
      </c>
      <c r="BZX210">
        <v>6</v>
      </c>
      <c r="BZY210">
        <v>0</v>
      </c>
      <c r="BZZ210">
        <v>0</v>
      </c>
      <c r="DMQ210">
        <v>5</v>
      </c>
      <c r="DMR210">
        <v>1</v>
      </c>
      <c r="DMU210">
        <v>1</v>
      </c>
      <c r="EEP210">
        <v>10</v>
      </c>
      <c r="EEQ210">
        <v>1</v>
      </c>
      <c r="EET210">
        <v>1</v>
      </c>
      <c r="EQV210">
        <v>20</v>
      </c>
      <c r="EQW210">
        <v>1</v>
      </c>
      <c r="EQZ210">
        <v>1</v>
      </c>
      <c r="ERA210" s="35">
        <v>999</v>
      </c>
      <c r="ERB210">
        <v>7</v>
      </c>
      <c r="ERC210">
        <v>0</v>
      </c>
      <c r="ERD210">
        <v>999</v>
      </c>
    </row>
    <row r="211" spans="1:2047 2049:3063 3264:3952 4128:5053 5337:5771" x14ac:dyDescent="0.25">
      <c r="A211" s="50">
        <v>5001098</v>
      </c>
      <c r="B211" s="50"/>
      <c r="C211" s="50">
        <v>24</v>
      </c>
      <c r="D211" s="50"/>
      <c r="E211" s="50">
        <v>16</v>
      </c>
      <c r="F211" s="50"/>
      <c r="G211" s="50"/>
      <c r="H211" s="50"/>
      <c r="AU211">
        <v>100</v>
      </c>
      <c r="CE211">
        <v>0.88</v>
      </c>
      <c r="DX211">
        <v>22</v>
      </c>
      <c r="GC211">
        <v>435</v>
      </c>
      <c r="HE211">
        <v>18400</v>
      </c>
      <c r="HH211">
        <v>13600</v>
      </c>
      <c r="HI211">
        <v>15900</v>
      </c>
      <c r="JE211">
        <v>64</v>
      </c>
      <c r="JH211">
        <v>53</v>
      </c>
      <c r="JI211">
        <v>54</v>
      </c>
      <c r="JL211">
        <v>57</v>
      </c>
      <c r="JQ211">
        <v>57</v>
      </c>
      <c r="MT211">
        <v>73</v>
      </c>
      <c r="MW211">
        <v>69</v>
      </c>
      <c r="MX211">
        <v>72</v>
      </c>
      <c r="NA211">
        <v>82</v>
      </c>
      <c r="NF211">
        <v>86</v>
      </c>
      <c r="QH211">
        <v>224</v>
      </c>
      <c r="QK211">
        <v>231</v>
      </c>
      <c r="QL211">
        <v>249</v>
      </c>
      <c r="QO211">
        <v>301</v>
      </c>
      <c r="QT211">
        <v>378</v>
      </c>
      <c r="QU211" s="50"/>
      <c r="QV211" s="50"/>
      <c r="QW211" s="50"/>
      <c r="QX211" s="50"/>
      <c r="QY211" s="50"/>
      <c r="QZ211" s="50"/>
      <c r="RA211" s="50"/>
      <c r="RB211" s="50"/>
      <c r="RC211" s="50"/>
      <c r="RD211" s="50"/>
      <c r="RE211" s="50"/>
      <c r="RF211" s="50"/>
      <c r="RG211" s="50"/>
      <c r="RH211" s="50"/>
      <c r="RI211" s="50"/>
      <c r="RJ211" s="50"/>
      <c r="RK211" s="50"/>
      <c r="RL211" s="50"/>
      <c r="RM211" s="50"/>
      <c r="RN211" s="50"/>
      <c r="RO211" s="50"/>
      <c r="TB211">
        <v>195</v>
      </c>
      <c r="TD211">
        <v>152</v>
      </c>
      <c r="TL211">
        <v>171</v>
      </c>
      <c r="UK211" s="50"/>
      <c r="UL211" s="50"/>
      <c r="UM211" s="50"/>
      <c r="UN211" s="50"/>
      <c r="UO211" s="50"/>
      <c r="UP211" s="50"/>
      <c r="UQ211" s="50"/>
      <c r="UR211" s="50"/>
      <c r="US211" s="50"/>
      <c r="UT211" s="50"/>
      <c r="UU211" s="50"/>
      <c r="UV211" s="50"/>
      <c r="XG211">
        <v>12.5</v>
      </c>
      <c r="XI211">
        <v>22</v>
      </c>
      <c r="YJ211">
        <v>5.9</v>
      </c>
      <c r="YK211">
        <v>7.6</v>
      </c>
      <c r="ZJ211">
        <v>14.3</v>
      </c>
      <c r="ZL211">
        <v>14.1</v>
      </c>
      <c r="ZM211">
        <v>14.1</v>
      </c>
      <c r="ABX211">
        <v>0.41</v>
      </c>
      <c r="ABY211">
        <v>0.46</v>
      </c>
      <c r="ACB211">
        <v>0.52</v>
      </c>
      <c r="AGJ211">
        <v>159</v>
      </c>
      <c r="AGL211">
        <v>142</v>
      </c>
      <c r="AGM211">
        <v>138</v>
      </c>
      <c r="AGP211">
        <v>137</v>
      </c>
      <c r="AGU211">
        <v>131</v>
      </c>
      <c r="AIZ211" s="50"/>
      <c r="AJA211" s="50"/>
      <c r="AJB211" s="50"/>
      <c r="AJC211" s="50"/>
      <c r="AJD211" s="50"/>
      <c r="AJE211" s="50"/>
      <c r="AJF211" s="50"/>
      <c r="AJG211" s="50"/>
      <c r="AJH211" s="50"/>
      <c r="AJI211" s="50"/>
      <c r="AJJ211" s="50"/>
      <c r="AJK211" s="50"/>
      <c r="AJL211" s="50"/>
      <c r="AJM211" s="50"/>
      <c r="AJN211" s="50"/>
      <c r="AJO211" s="50"/>
      <c r="AJU211">
        <v>1</v>
      </c>
      <c r="AJV211">
        <v>1</v>
      </c>
      <c r="AJX211">
        <v>0.9</v>
      </c>
      <c r="ALH211" s="50"/>
      <c r="ALI211" s="50"/>
      <c r="ALJ211" s="50"/>
      <c r="ALK211" s="50"/>
      <c r="ALL211" s="50"/>
      <c r="ALM211" s="50"/>
      <c r="ALN211" s="50"/>
      <c r="ALO211" s="50"/>
      <c r="ALP211" s="50"/>
      <c r="AMH211">
        <v>267</v>
      </c>
      <c r="AML211" s="50"/>
      <c r="AMM211" s="50"/>
      <c r="AMN211" s="50">
        <v>252</v>
      </c>
      <c r="AMO211" s="50"/>
      <c r="AMP211" s="50"/>
      <c r="AMQ211" s="50"/>
      <c r="AMR211" s="50"/>
      <c r="AMS211" s="50"/>
      <c r="AMT211" s="50"/>
      <c r="ANA211" s="50"/>
      <c r="ANB211" s="50"/>
      <c r="ANC211" s="50"/>
      <c r="AND211" s="50"/>
      <c r="ANE211" s="50"/>
      <c r="ANF211" s="50"/>
      <c r="ANG211" s="50"/>
      <c r="ANH211" s="50"/>
      <c r="ANI211" s="50"/>
      <c r="ANJ211" s="50"/>
      <c r="ANO211">
        <v>45</v>
      </c>
      <c r="ANQ211">
        <v>10</v>
      </c>
      <c r="ANR211">
        <v>5</v>
      </c>
      <c r="ARA211" s="3">
        <v>49000000000</v>
      </c>
      <c r="ARC211">
        <v>4880000</v>
      </c>
      <c r="ARD211" s="3">
        <v>48200000000</v>
      </c>
      <c r="ASK211">
        <v>437000</v>
      </c>
      <c r="ASN211">
        <v>452000</v>
      </c>
      <c r="ASO211">
        <v>449000</v>
      </c>
      <c r="AUH211">
        <v>56</v>
      </c>
      <c r="AUI211">
        <v>64</v>
      </c>
      <c r="AUX211">
        <v>1.5</v>
      </c>
      <c r="AUZ211">
        <v>0.4</v>
      </c>
      <c r="AVR211">
        <v>79.8</v>
      </c>
      <c r="AVT211">
        <v>69.400000000000006</v>
      </c>
      <c r="AWN211">
        <v>0.4</v>
      </c>
      <c r="AWP211">
        <v>0.6</v>
      </c>
      <c r="BAB211">
        <v>41.8</v>
      </c>
      <c r="BAD211">
        <v>41.6</v>
      </c>
      <c r="BAE211">
        <v>41.1</v>
      </c>
      <c r="BBT211">
        <v>85.2</v>
      </c>
      <c r="BBW211">
        <v>85.3</v>
      </c>
      <c r="BBX211">
        <v>85.2</v>
      </c>
      <c r="BDA211">
        <v>29.3</v>
      </c>
      <c r="BDC211">
        <v>28.8</v>
      </c>
      <c r="BDD211">
        <v>29.2</v>
      </c>
      <c r="BED211">
        <v>34.299999999999997</v>
      </c>
      <c r="BEF211">
        <v>33.799999999999997</v>
      </c>
      <c r="BEG211">
        <v>34.200000000000003</v>
      </c>
      <c r="BGK211">
        <v>137</v>
      </c>
      <c r="BHM211">
        <v>3.7</v>
      </c>
      <c r="BHP211">
        <v>4.2</v>
      </c>
      <c r="BHQ211">
        <v>4.2</v>
      </c>
      <c r="BIQ211">
        <v>2.5</v>
      </c>
      <c r="BKG211" s="50"/>
      <c r="BKH211" s="50"/>
      <c r="BKI211" s="50"/>
      <c r="BKJ211" s="50"/>
      <c r="BKK211" s="50"/>
      <c r="BKL211" s="50"/>
      <c r="BKM211" s="50"/>
      <c r="BKN211" s="50"/>
      <c r="BKO211" s="50"/>
      <c r="BKP211" s="50"/>
      <c r="BKQ211" s="50">
        <v>109</v>
      </c>
      <c r="BKR211" s="50"/>
      <c r="BKS211" s="50"/>
      <c r="BKT211" s="50"/>
      <c r="BKU211" s="50"/>
      <c r="BKV211" s="50"/>
      <c r="BKW211" s="50"/>
      <c r="BKX211" s="50"/>
      <c r="BLQ211">
        <v>142</v>
      </c>
      <c r="BPE211">
        <v>53</v>
      </c>
      <c r="BPG211">
        <v>1</v>
      </c>
      <c r="BPH211">
        <v>30.5</v>
      </c>
      <c r="BQY211">
        <v>1</v>
      </c>
      <c r="BSZ211">
        <v>1</v>
      </c>
      <c r="BTR211">
        <v>1</v>
      </c>
      <c r="BVL211">
        <v>1</v>
      </c>
      <c r="BZQ211" s="50">
        <v>1500</v>
      </c>
      <c r="BZR211" s="50">
        <v>1</v>
      </c>
      <c r="BZU211">
        <v>1</v>
      </c>
      <c r="BZW211">
        <v>13</v>
      </c>
      <c r="BZX211">
        <v>13</v>
      </c>
      <c r="BZY211">
        <v>1</v>
      </c>
      <c r="BZZ211">
        <v>0</v>
      </c>
      <c r="CHI211">
        <v>300</v>
      </c>
      <c r="CHJ211">
        <v>1</v>
      </c>
      <c r="CHM211">
        <v>1</v>
      </c>
      <c r="DMQ211">
        <v>5</v>
      </c>
      <c r="DMR211">
        <v>1</v>
      </c>
      <c r="DMU211">
        <v>1</v>
      </c>
      <c r="EEP211">
        <v>30</v>
      </c>
      <c r="EEQ211">
        <v>1</v>
      </c>
      <c r="EET211">
        <v>1</v>
      </c>
      <c r="EEU211" s="35">
        <v>999</v>
      </c>
      <c r="EEV211">
        <v>11</v>
      </c>
      <c r="EEW211">
        <v>0</v>
      </c>
      <c r="EEX211">
        <v>999</v>
      </c>
    </row>
    <row r="212" spans="1:2047 2049:3063 3264:3952 4128:5053 5337:5771" x14ac:dyDescent="0.25">
      <c r="A212" s="50">
        <v>5006152</v>
      </c>
      <c r="B212" s="50"/>
      <c r="C212" s="50"/>
      <c r="D212" s="50"/>
      <c r="E212" s="50"/>
      <c r="F212" s="50"/>
      <c r="G212" s="50"/>
      <c r="H212" s="50"/>
      <c r="M212">
        <v>234</v>
      </c>
      <c r="AZ212">
        <v>110</v>
      </c>
      <c r="BD212">
        <v>33</v>
      </c>
      <c r="CN212">
        <v>1.98</v>
      </c>
      <c r="EE212">
        <v>25.4</v>
      </c>
      <c r="EH212">
        <v>50.7</v>
      </c>
      <c r="GG212">
        <v>472</v>
      </c>
      <c r="GK212">
        <v>285</v>
      </c>
      <c r="HN212">
        <v>16950</v>
      </c>
      <c r="HR212">
        <v>16450</v>
      </c>
      <c r="JN212">
        <v>22.8</v>
      </c>
      <c r="JR212">
        <v>7231.8</v>
      </c>
      <c r="NC212">
        <v>27</v>
      </c>
      <c r="NG212">
        <v>4365</v>
      </c>
      <c r="QU212" s="50"/>
      <c r="QV212" s="50"/>
      <c r="QW212" s="50"/>
      <c r="QX212" s="50"/>
      <c r="QY212" s="50"/>
      <c r="QZ212" s="50"/>
      <c r="RA212" s="50"/>
      <c r="RB212" s="50"/>
      <c r="RC212" s="50"/>
      <c r="RD212" s="50"/>
      <c r="RE212" s="50"/>
      <c r="RF212" s="50"/>
      <c r="RG212" s="50"/>
      <c r="RH212" s="50"/>
      <c r="RI212" s="50"/>
      <c r="RJ212" s="50"/>
      <c r="RK212" s="50"/>
      <c r="RL212" s="50"/>
      <c r="RM212" s="50"/>
      <c r="RN212" s="50"/>
      <c r="RO212" s="50"/>
      <c r="TM212" s="50">
        <v>8397.6</v>
      </c>
      <c r="UK212" s="50"/>
      <c r="UL212" s="50"/>
      <c r="UM212" s="50"/>
      <c r="UN212" s="50"/>
      <c r="UO212" s="50"/>
      <c r="UP212" s="50"/>
      <c r="UQ212" s="50"/>
      <c r="UR212" s="50"/>
      <c r="US212" s="50"/>
      <c r="UT212" s="50"/>
      <c r="UU212" s="50"/>
      <c r="UV212" s="50"/>
      <c r="ACD212">
        <v>9.0499999999999997E-2</v>
      </c>
      <c r="ACH212">
        <v>0.20699999999999999</v>
      </c>
      <c r="AFK212" s="3">
        <v>7.67</v>
      </c>
      <c r="AGT212">
        <v>90</v>
      </c>
      <c r="AGV212" s="3">
        <v>172.2</v>
      </c>
      <c r="AIZ212" s="50"/>
      <c r="AJA212" s="50"/>
      <c r="AJB212" s="50"/>
      <c r="AJC212" s="50"/>
      <c r="AJD212" s="50"/>
      <c r="AJE212" s="50"/>
      <c r="AJF212" s="50"/>
      <c r="AJG212" s="50"/>
      <c r="AJH212" s="50"/>
      <c r="AJI212" s="50"/>
      <c r="AJJ212" s="50"/>
      <c r="AJK212" s="50"/>
      <c r="AJL212" s="50"/>
      <c r="AJM212" s="50"/>
      <c r="AJN212" s="50"/>
      <c r="AJO212" s="50"/>
      <c r="AKC212">
        <v>0.70130000000000003</v>
      </c>
      <c r="AKG212" s="3">
        <v>1.9796</v>
      </c>
      <c r="ALH212" s="50"/>
      <c r="ALI212" s="50"/>
      <c r="ALJ212" s="50"/>
      <c r="ALK212" s="50"/>
      <c r="ALL212" s="50"/>
      <c r="ALM212" s="50">
        <v>16.2</v>
      </c>
      <c r="ALN212" s="50"/>
      <c r="ALO212" s="50"/>
      <c r="ALP212" s="50"/>
      <c r="AMK212">
        <v>27</v>
      </c>
      <c r="AML212" s="50"/>
      <c r="AMM212" s="50"/>
      <c r="AMN212" s="50"/>
      <c r="AMO212" s="50"/>
      <c r="AMP212" s="50"/>
      <c r="AMQ212" s="50"/>
      <c r="AMR212" s="50"/>
      <c r="AMS212" s="50"/>
      <c r="AMT212" s="50"/>
      <c r="ANA212" s="50"/>
      <c r="ANB212" s="50"/>
      <c r="ANC212" s="50"/>
      <c r="AND212" s="50"/>
      <c r="ANE212" s="50"/>
      <c r="ANF212" s="50"/>
      <c r="ANG212" s="50"/>
      <c r="ANH212" s="50"/>
      <c r="ANI212" s="50"/>
      <c r="ANJ212" s="50"/>
      <c r="API212" s="3">
        <v>61.424199999999999</v>
      </c>
      <c r="APJ212" s="3"/>
      <c r="APM212" s="3">
        <v>119.2285</v>
      </c>
      <c r="ARH212">
        <v>5180000</v>
      </c>
      <c r="ARL212">
        <v>3260000</v>
      </c>
      <c r="ASS212">
        <v>305000</v>
      </c>
      <c r="ASW212">
        <v>86000</v>
      </c>
      <c r="BAI212">
        <v>47</v>
      </c>
      <c r="BAM212">
        <v>31</v>
      </c>
      <c r="BCA212">
        <v>90.5</v>
      </c>
      <c r="BCE212">
        <v>35.4</v>
      </c>
      <c r="BDG212" s="3">
        <v>30.133199999999999</v>
      </c>
      <c r="BDH212" s="3"/>
      <c r="BDK212" s="3">
        <v>29.649799999999999</v>
      </c>
      <c r="BGN212">
        <v>133.80000000000001</v>
      </c>
      <c r="BGR212">
        <v>142.69999999999999</v>
      </c>
      <c r="BHT212">
        <v>4.55</v>
      </c>
      <c r="BHX212">
        <v>5.98</v>
      </c>
      <c r="BKC212">
        <v>104</v>
      </c>
      <c r="BLT212" s="3">
        <v>119.08580000000001</v>
      </c>
      <c r="BLU212" s="3"/>
      <c r="BLX212" s="3">
        <v>41.076500000000003</v>
      </c>
      <c r="BPE212">
        <v>76</v>
      </c>
      <c r="BPG212">
        <v>1</v>
      </c>
      <c r="BPH212">
        <v>21.23</v>
      </c>
      <c r="BPI212">
        <v>1</v>
      </c>
      <c r="BPK212">
        <v>3</v>
      </c>
      <c r="BSZ212">
        <v>1</v>
      </c>
      <c r="BTJ212">
        <v>1</v>
      </c>
      <c r="BUW212">
        <v>1</v>
      </c>
      <c r="BWT212">
        <v>1</v>
      </c>
      <c r="BWU212">
        <v>1</v>
      </c>
      <c r="BYH212">
        <v>1</v>
      </c>
      <c r="BZQ212" s="50">
        <v>2000</v>
      </c>
      <c r="BZR212" s="50">
        <v>1</v>
      </c>
      <c r="BZS212">
        <v>1</v>
      </c>
      <c r="BZW212">
        <v>3</v>
      </c>
      <c r="BZX212">
        <v>2</v>
      </c>
      <c r="BZY212">
        <v>0</v>
      </c>
      <c r="BZZ212">
        <v>0</v>
      </c>
      <c r="CEY212">
        <v>15</v>
      </c>
      <c r="CEZ212">
        <v>1</v>
      </c>
      <c r="CFC212">
        <v>1</v>
      </c>
      <c r="CFE212">
        <v>2</v>
      </c>
      <c r="CFF212">
        <v>2</v>
      </c>
      <c r="CFG212">
        <v>1</v>
      </c>
      <c r="CFH212">
        <v>0</v>
      </c>
      <c r="CKV212">
        <v>10</v>
      </c>
      <c r="CKW212">
        <v>1</v>
      </c>
      <c r="CKX212">
        <v>1</v>
      </c>
      <c r="CLA212">
        <v>1</v>
      </c>
      <c r="CLB212">
        <v>0</v>
      </c>
      <c r="CLC212">
        <v>0</v>
      </c>
      <c r="CLD212">
        <v>0</v>
      </c>
      <c r="DBT212">
        <v>1</v>
      </c>
      <c r="DBW212">
        <v>1</v>
      </c>
      <c r="DBX212" s="15">
        <v>999</v>
      </c>
      <c r="DBY212">
        <v>999</v>
      </c>
      <c r="DBZ212">
        <v>1</v>
      </c>
      <c r="DCA212">
        <v>0</v>
      </c>
      <c r="DCR212">
        <v>1</v>
      </c>
      <c r="DCS212">
        <v>1</v>
      </c>
      <c r="DCT212">
        <v>0</v>
      </c>
      <c r="DCU212">
        <v>0</v>
      </c>
      <c r="DCV212">
        <v>0</v>
      </c>
      <c r="DDJ212">
        <v>40</v>
      </c>
      <c r="DDK212">
        <v>2</v>
      </c>
      <c r="DDN212">
        <v>1</v>
      </c>
      <c r="DDO212" s="15">
        <v>999</v>
      </c>
      <c r="DDP212">
        <v>999</v>
      </c>
      <c r="DDQ212">
        <v>1</v>
      </c>
      <c r="DDR212">
        <v>0</v>
      </c>
      <c r="DUN212">
        <v>2</v>
      </c>
      <c r="DUQ212">
        <v>1</v>
      </c>
      <c r="DUR212" s="15">
        <v>999</v>
      </c>
      <c r="DUS212">
        <v>999</v>
      </c>
      <c r="DUT212">
        <v>1</v>
      </c>
      <c r="DUU212">
        <v>0</v>
      </c>
      <c r="EEP212">
        <v>7.5</v>
      </c>
      <c r="EEQ212">
        <v>1</v>
      </c>
      <c r="EET212">
        <v>1</v>
      </c>
      <c r="EEU212" s="15">
        <v>999</v>
      </c>
      <c r="EEV212">
        <v>999</v>
      </c>
      <c r="EEW212">
        <v>1</v>
      </c>
      <c r="EEX212">
        <v>0</v>
      </c>
      <c r="EUR212">
        <v>600</v>
      </c>
      <c r="EUS212">
        <v>7</v>
      </c>
      <c r="EUV212">
        <v>1</v>
      </c>
      <c r="EUW212" s="15">
        <v>999</v>
      </c>
      <c r="EUX212">
        <v>999</v>
      </c>
      <c r="EUY212">
        <v>1</v>
      </c>
      <c r="EUZ212">
        <v>0</v>
      </c>
      <c r="GWO212">
        <v>1</v>
      </c>
      <c r="HAU212">
        <v>1</v>
      </c>
      <c r="HBP212">
        <v>1</v>
      </c>
      <c r="HBX212">
        <v>1</v>
      </c>
    </row>
    <row r="213" spans="1:2047 2049:3063 3264:3952 4128:5053 5337:5771" x14ac:dyDescent="0.25">
      <c r="A213" s="50">
        <v>6012361</v>
      </c>
      <c r="B213" s="50"/>
      <c r="C213" s="50"/>
      <c r="D213" s="50"/>
      <c r="E213" s="50"/>
      <c r="F213" s="50"/>
      <c r="G213" s="50"/>
      <c r="H213" s="50"/>
      <c r="HP213">
        <v>28000</v>
      </c>
      <c r="JS213">
        <v>147.6</v>
      </c>
      <c r="JT213">
        <v>126</v>
      </c>
      <c r="NH213">
        <v>594</v>
      </c>
      <c r="NI213">
        <v>408</v>
      </c>
      <c r="NW213">
        <v>78</v>
      </c>
      <c r="QU213" s="50"/>
      <c r="QV213" s="50">
        <v>1051.2</v>
      </c>
      <c r="QW213" s="50">
        <v>936.6</v>
      </c>
      <c r="QX213" s="50"/>
      <c r="QY213" s="50"/>
      <c r="QZ213" s="50"/>
      <c r="RA213" s="50"/>
      <c r="RB213" s="50"/>
      <c r="RC213" s="50"/>
      <c r="RD213" s="50"/>
      <c r="RE213" s="50"/>
      <c r="RF213" s="50"/>
      <c r="RG213" s="50"/>
      <c r="RH213" s="50"/>
      <c r="RI213" s="50"/>
      <c r="RJ213" s="50"/>
      <c r="RK213" s="50">
        <v>96</v>
      </c>
      <c r="RL213" s="50"/>
      <c r="RM213" s="50"/>
      <c r="RN213" s="50"/>
      <c r="RO213" s="50"/>
      <c r="UK213" s="50"/>
      <c r="UL213" s="50"/>
      <c r="UM213" s="50"/>
      <c r="UN213" s="50"/>
      <c r="UO213" s="50"/>
      <c r="UP213" s="50"/>
      <c r="UQ213" s="50"/>
      <c r="UR213" s="50"/>
      <c r="US213" s="50"/>
      <c r="UT213" s="50"/>
      <c r="UU213" s="50"/>
      <c r="UV213" s="50"/>
      <c r="ACI213" s="3">
        <v>2.4556</v>
      </c>
      <c r="ACJ213" s="3">
        <v>2.0756000000000001</v>
      </c>
      <c r="AEL213" s="3">
        <v>1.754</v>
      </c>
      <c r="AEM213" s="3">
        <v>1.3797999999999999</v>
      </c>
      <c r="AGW213">
        <v>237</v>
      </c>
      <c r="AIZ213" s="50"/>
      <c r="AJA213" s="50"/>
      <c r="AJB213" s="50"/>
      <c r="AJC213" s="50"/>
      <c r="AJD213" s="50"/>
      <c r="AJE213" s="50"/>
      <c r="AJF213" s="50"/>
      <c r="AJG213" s="50"/>
      <c r="AJH213" s="50"/>
      <c r="AJI213" s="50"/>
      <c r="AJJ213" s="50"/>
      <c r="AJK213" s="50"/>
      <c r="AJL213" s="50"/>
      <c r="AJM213" s="50"/>
      <c r="AJN213" s="50"/>
      <c r="AJO213" s="50"/>
      <c r="AKE213" s="3">
        <v>1.8099000000000001</v>
      </c>
      <c r="ALH213" s="50"/>
      <c r="ALI213" s="50"/>
      <c r="ALJ213" s="50"/>
      <c r="ALK213" s="50"/>
      <c r="ALL213" s="50"/>
      <c r="ALM213" s="50"/>
      <c r="ALN213" s="50"/>
      <c r="ALO213" s="50"/>
      <c r="ALP213" s="50"/>
      <c r="AML213" s="50"/>
      <c r="AMM213" s="50">
        <v>138</v>
      </c>
      <c r="AMN213" s="50"/>
      <c r="AMO213" s="50"/>
      <c r="AMP213" s="50"/>
      <c r="AMQ213" s="50"/>
      <c r="AMR213" s="50"/>
      <c r="AMS213" s="50"/>
      <c r="AMT213" s="50"/>
      <c r="ANA213" s="50"/>
      <c r="ANB213" s="50"/>
      <c r="ANC213" s="50"/>
      <c r="AND213" s="50"/>
      <c r="ANE213" s="50"/>
      <c r="ANF213" s="50"/>
      <c r="ANG213" s="50"/>
      <c r="ANH213" s="50"/>
      <c r="ANI213" s="50"/>
      <c r="ANJ213" s="50"/>
      <c r="AOB213">
        <v>315</v>
      </c>
      <c r="AOP213">
        <v>100</v>
      </c>
      <c r="BKJ213">
        <v>77</v>
      </c>
      <c r="BPE213">
        <v>49</v>
      </c>
      <c r="BPF213">
        <v>1</v>
      </c>
      <c r="BPH213">
        <v>37.520000000000003</v>
      </c>
      <c r="BPJ213">
        <v>1</v>
      </c>
      <c r="BPP213">
        <v>1</v>
      </c>
      <c r="BQU213">
        <v>1</v>
      </c>
      <c r="BSZ213">
        <v>1</v>
      </c>
      <c r="BXR213">
        <v>1</v>
      </c>
      <c r="BZQ213" s="50">
        <v>500</v>
      </c>
      <c r="BZR213" s="50">
        <v>3</v>
      </c>
      <c r="BZU213">
        <v>1</v>
      </c>
      <c r="BZW213">
        <v>4</v>
      </c>
      <c r="DJO213">
        <v>5</v>
      </c>
      <c r="DJP213">
        <v>1</v>
      </c>
      <c r="DLM213">
        <v>0.2</v>
      </c>
      <c r="DLN213">
        <v>1</v>
      </c>
      <c r="ECE213">
        <v>80</v>
      </c>
      <c r="ECF213">
        <v>0.14285714285714199</v>
      </c>
      <c r="ECI213">
        <v>1</v>
      </c>
      <c r="ECJ213">
        <v>29</v>
      </c>
      <c r="ECK213">
        <v>26</v>
      </c>
      <c r="ECL213">
        <v>0</v>
      </c>
      <c r="ECM213">
        <v>2</v>
      </c>
      <c r="GZU213">
        <v>1</v>
      </c>
      <c r="GZY213">
        <v>1</v>
      </c>
      <c r="HAO213">
        <v>1</v>
      </c>
      <c r="HBW213">
        <v>1</v>
      </c>
      <c r="HCB213">
        <v>1</v>
      </c>
      <c r="HCD213">
        <v>1</v>
      </c>
      <c r="HCE213">
        <v>1</v>
      </c>
      <c r="HCJ213">
        <v>1</v>
      </c>
      <c r="HCT213">
        <v>1</v>
      </c>
      <c r="HCU213">
        <v>1</v>
      </c>
      <c r="HDA213">
        <v>1</v>
      </c>
      <c r="HDF213">
        <v>1</v>
      </c>
      <c r="HMQ213">
        <v>1</v>
      </c>
      <c r="HMT213">
        <v>1</v>
      </c>
    </row>
    <row r="214" spans="1:2047 2049:3063 3264:3952 4128:5053 5337:5771" x14ac:dyDescent="0.25">
      <c r="A214" s="50">
        <v>6015793</v>
      </c>
      <c r="B214" s="50"/>
      <c r="C214" s="50"/>
      <c r="D214" s="50"/>
      <c r="E214" s="50"/>
      <c r="F214" s="50"/>
      <c r="G214" s="50"/>
      <c r="H214" s="50"/>
      <c r="BA214">
        <v>90</v>
      </c>
      <c r="BC214">
        <v>54</v>
      </c>
      <c r="BD214">
        <v>53</v>
      </c>
      <c r="BG214">
        <v>74</v>
      </c>
      <c r="HO214">
        <v>8000</v>
      </c>
      <c r="HQ214">
        <v>7200</v>
      </c>
      <c r="HR214">
        <v>6500</v>
      </c>
      <c r="HS214">
        <v>3610</v>
      </c>
      <c r="HT214">
        <v>3550</v>
      </c>
      <c r="HU214">
        <v>6400</v>
      </c>
      <c r="JO214">
        <v>31</v>
      </c>
      <c r="JQ214">
        <v>4875</v>
      </c>
      <c r="JR214">
        <v>1371</v>
      </c>
      <c r="JU214">
        <v>98</v>
      </c>
      <c r="NF214">
        <v>4937</v>
      </c>
      <c r="NG214">
        <v>3826</v>
      </c>
      <c r="NJ214">
        <v>905</v>
      </c>
      <c r="QT214">
        <v>363</v>
      </c>
      <c r="QU214" s="50">
        <v>415</v>
      </c>
      <c r="QV214" s="50"/>
      <c r="QW214" s="50"/>
      <c r="QX214" s="50">
        <v>438</v>
      </c>
      <c r="QY214" s="50"/>
      <c r="QZ214" s="50"/>
      <c r="RA214" s="50"/>
      <c r="RB214" s="50"/>
      <c r="RC214" s="50"/>
      <c r="RD214" s="50"/>
      <c r="RE214" s="50"/>
      <c r="RF214" s="50"/>
      <c r="RG214" s="50"/>
      <c r="RH214" s="50"/>
      <c r="RI214" s="50"/>
      <c r="RJ214" s="50"/>
      <c r="RK214" s="50"/>
      <c r="RL214" s="50"/>
      <c r="RM214" s="50"/>
      <c r="RN214" s="50"/>
      <c r="RO214" s="50"/>
      <c r="UK214" s="50"/>
      <c r="UL214" s="50"/>
      <c r="UM214" s="50"/>
      <c r="UN214" s="50"/>
      <c r="UO214" s="50"/>
      <c r="UP214" s="50"/>
      <c r="UQ214" s="50"/>
      <c r="UR214" s="50"/>
      <c r="US214" s="50"/>
      <c r="UT214" s="50"/>
      <c r="UU214" s="50"/>
      <c r="UV214" s="50"/>
      <c r="ACE214">
        <v>2.2000000000000002</v>
      </c>
      <c r="ACG214">
        <v>2.11</v>
      </c>
      <c r="ACH214">
        <v>1.73</v>
      </c>
      <c r="ACK214">
        <v>1.28</v>
      </c>
      <c r="ALH214" s="50"/>
      <c r="ALI214" s="50"/>
      <c r="ALJ214" s="50"/>
      <c r="ALK214" s="50"/>
      <c r="ALL214" s="50"/>
      <c r="ALM214" s="50"/>
      <c r="ALN214" s="50"/>
      <c r="ALO214" s="50"/>
      <c r="ALP214" s="50"/>
      <c r="AML214" s="50">
        <v>121</v>
      </c>
      <c r="AMM214" s="50"/>
      <c r="AMN214" s="50">
        <v>520</v>
      </c>
      <c r="AMO214" s="50">
        <v>449</v>
      </c>
      <c r="AMP214" s="50"/>
      <c r="AMQ214" s="50"/>
      <c r="AMR214" s="50">
        <v>1.091</v>
      </c>
      <c r="AMS214" s="50"/>
      <c r="AMT214" s="50"/>
      <c r="ANA214" s="50"/>
      <c r="ANB214" s="50"/>
      <c r="ANC214" s="50"/>
      <c r="AND214" s="50"/>
      <c r="ANE214" s="50"/>
      <c r="ANF214" s="50"/>
      <c r="ANG214" s="50"/>
      <c r="ANH214" s="50"/>
      <c r="ANI214" s="50"/>
      <c r="ANJ214" s="50"/>
      <c r="ANW214">
        <v>183</v>
      </c>
      <c r="ANY214">
        <v>260</v>
      </c>
      <c r="ANZ214">
        <v>139</v>
      </c>
      <c r="AOC214">
        <v>41</v>
      </c>
      <c r="BPE214">
        <v>67</v>
      </c>
      <c r="BPF214">
        <v>1</v>
      </c>
      <c r="BPH214">
        <v>29.39</v>
      </c>
      <c r="BPI214">
        <v>1</v>
      </c>
      <c r="BQY214">
        <v>1</v>
      </c>
      <c r="BSZ214">
        <v>1</v>
      </c>
      <c r="BUE214">
        <v>1</v>
      </c>
      <c r="BUW214">
        <v>1</v>
      </c>
      <c r="BUZ214">
        <v>1</v>
      </c>
      <c r="BVA214">
        <v>1</v>
      </c>
      <c r="BZQ214" s="50">
        <v>1</v>
      </c>
      <c r="BZR214" s="50">
        <v>1</v>
      </c>
      <c r="BZS214">
        <v>1</v>
      </c>
      <c r="BZW214">
        <v>2</v>
      </c>
      <c r="BZX214">
        <v>1</v>
      </c>
      <c r="BZY214">
        <v>0</v>
      </c>
      <c r="BZZ214">
        <v>0</v>
      </c>
      <c r="HBX214">
        <v>1</v>
      </c>
    </row>
    <row r="215" spans="1:2047 2049:3063 3264:3952 4128:5053 5337:5771" x14ac:dyDescent="0.25">
      <c r="A215" s="50">
        <v>6043619</v>
      </c>
      <c r="B215" s="50"/>
      <c r="C215" s="50"/>
      <c r="D215" s="50"/>
      <c r="E215" s="50"/>
      <c r="F215" s="50"/>
      <c r="G215" s="50"/>
      <c r="H215" s="50"/>
      <c r="JQ215">
        <v>3306.6</v>
      </c>
      <c r="NF215">
        <v>5887.2</v>
      </c>
      <c r="QT215">
        <v>274.8</v>
      </c>
      <c r="QU215" s="50"/>
      <c r="QV215" s="50"/>
      <c r="QW215" s="50"/>
      <c r="QX215" s="50"/>
      <c r="QY215" s="50"/>
      <c r="QZ215" s="50"/>
      <c r="RA215" s="50"/>
      <c r="RB215" s="50"/>
      <c r="RC215" s="50"/>
      <c r="RD215" s="50"/>
      <c r="RE215" s="50"/>
      <c r="RF215" s="50"/>
      <c r="RG215" s="50"/>
      <c r="RH215" s="50"/>
      <c r="RI215" s="50"/>
      <c r="RJ215" s="50"/>
      <c r="RK215" s="50"/>
      <c r="RL215" s="50"/>
      <c r="RM215" s="50"/>
      <c r="RN215" s="50"/>
      <c r="RO215" s="50"/>
      <c r="UK215" s="50"/>
      <c r="UL215" s="50"/>
      <c r="UM215" s="50"/>
      <c r="UN215" s="50"/>
      <c r="UO215" s="50"/>
      <c r="UP215" s="50"/>
      <c r="UQ215" s="50"/>
      <c r="UR215" s="50"/>
      <c r="US215" s="50"/>
      <c r="UT215" s="50"/>
      <c r="UU215" s="50"/>
      <c r="UV215" s="50"/>
      <c r="AGU215">
        <v>307.8</v>
      </c>
      <c r="ALH215" s="50"/>
      <c r="ALI215" s="50"/>
      <c r="ALJ215" s="50"/>
      <c r="ALK215" s="50"/>
      <c r="ALL215" s="50"/>
      <c r="ALM215" s="50"/>
      <c r="ALN215" s="50"/>
      <c r="ALO215" s="50"/>
      <c r="ALP215" s="50"/>
      <c r="AML215" s="50"/>
      <c r="AMM215" s="50"/>
      <c r="AMN215" s="50"/>
      <c r="AMO215" s="50"/>
      <c r="AMP215" s="50"/>
      <c r="AMQ215" s="50"/>
      <c r="AMR215" s="50"/>
      <c r="AMS215" s="50"/>
      <c r="AMT215" s="50"/>
      <c r="ANA215" s="50"/>
      <c r="ANB215" s="50"/>
      <c r="ANC215" s="50"/>
      <c r="AND215" s="50"/>
      <c r="ANE215" s="50"/>
      <c r="ANF215" s="50"/>
      <c r="ANG215" s="50"/>
      <c r="ANH215" s="50"/>
      <c r="ANI215" s="50"/>
      <c r="ANJ215" s="50"/>
      <c r="BPE215">
        <v>50</v>
      </c>
      <c r="BPG215">
        <v>1</v>
      </c>
      <c r="BPH215">
        <v>33.97</v>
      </c>
      <c r="BPK215">
        <v>5</v>
      </c>
      <c r="BSQ215">
        <v>1</v>
      </c>
      <c r="BZQ215" s="50">
        <v>4000</v>
      </c>
      <c r="BZR215" s="50">
        <v>1</v>
      </c>
      <c r="BZS215">
        <v>1</v>
      </c>
      <c r="BZW215">
        <v>5</v>
      </c>
      <c r="BZX215">
        <v>4</v>
      </c>
      <c r="BZY215">
        <v>0</v>
      </c>
      <c r="BZZ215">
        <v>0</v>
      </c>
      <c r="HBV215">
        <v>1</v>
      </c>
    </row>
    <row r="216" spans="1:2047 2049:3063 3264:3952 4128:5053 5337:5771" x14ac:dyDescent="0.25">
      <c r="A216" s="50">
        <v>7001097</v>
      </c>
      <c r="B216" s="50"/>
      <c r="C216" s="50"/>
      <c r="D216" s="50"/>
      <c r="E216" s="50"/>
      <c r="F216" s="50"/>
      <c r="G216" s="50"/>
      <c r="H216" s="50"/>
      <c r="JN216">
        <v>16</v>
      </c>
      <c r="JO216">
        <v>53</v>
      </c>
      <c r="JQ216">
        <v>42</v>
      </c>
      <c r="JR216">
        <v>35</v>
      </c>
      <c r="JS216">
        <v>49</v>
      </c>
      <c r="JT216">
        <v>34</v>
      </c>
      <c r="JU216">
        <v>28</v>
      </c>
      <c r="JV216">
        <v>47</v>
      </c>
      <c r="JX216">
        <v>123</v>
      </c>
      <c r="JY216">
        <v>25</v>
      </c>
      <c r="KD216">
        <v>26</v>
      </c>
      <c r="KE216">
        <v>52</v>
      </c>
      <c r="KF216">
        <v>41</v>
      </c>
      <c r="NC216">
        <v>12</v>
      </c>
      <c r="ND216">
        <v>30</v>
      </c>
      <c r="NF216">
        <v>29</v>
      </c>
      <c r="NG216">
        <v>39</v>
      </c>
      <c r="NH216">
        <v>57</v>
      </c>
      <c r="NI216">
        <v>37</v>
      </c>
      <c r="NJ216">
        <v>28</v>
      </c>
      <c r="NK216">
        <v>35</v>
      </c>
      <c r="NM216">
        <v>125</v>
      </c>
      <c r="NN216">
        <v>73</v>
      </c>
      <c r="NS216">
        <v>47</v>
      </c>
      <c r="NT216">
        <v>64</v>
      </c>
      <c r="NU216">
        <v>59</v>
      </c>
      <c r="QU216" s="50"/>
      <c r="QV216" s="50"/>
      <c r="QW216" s="50"/>
      <c r="QX216" s="50"/>
      <c r="QY216" s="50"/>
      <c r="QZ216" s="50"/>
      <c r="RA216" s="50"/>
      <c r="RB216" s="50"/>
      <c r="RC216" s="50"/>
      <c r="RD216" s="50"/>
      <c r="RE216" s="50"/>
      <c r="RF216" s="50"/>
      <c r="RG216" s="50"/>
      <c r="RH216" s="50"/>
      <c r="RI216" s="50"/>
      <c r="RJ216" s="50"/>
      <c r="RK216" s="50"/>
      <c r="RL216" s="50"/>
      <c r="RM216" s="50"/>
      <c r="RN216" s="50"/>
      <c r="RO216" s="50"/>
      <c r="UK216" s="50"/>
      <c r="UL216" s="50"/>
      <c r="UM216" s="50"/>
      <c r="UN216" s="50"/>
      <c r="UO216" s="50"/>
      <c r="UP216" s="50"/>
      <c r="UQ216" s="50"/>
      <c r="UR216" s="50"/>
      <c r="US216" s="50"/>
      <c r="UT216" s="50"/>
      <c r="UU216" s="50"/>
      <c r="UV216" s="50"/>
      <c r="AGR216">
        <v>37</v>
      </c>
      <c r="AGS216">
        <v>59</v>
      </c>
      <c r="AGU216">
        <v>48</v>
      </c>
      <c r="AGV216">
        <v>56</v>
      </c>
      <c r="AGW216">
        <v>79</v>
      </c>
      <c r="AGX216">
        <v>73</v>
      </c>
      <c r="AGY216">
        <v>56</v>
      </c>
      <c r="AGZ216">
        <v>52</v>
      </c>
      <c r="AHB216">
        <v>66</v>
      </c>
      <c r="AHC216">
        <v>66</v>
      </c>
      <c r="AHH216">
        <v>65</v>
      </c>
      <c r="AHI216">
        <v>89</v>
      </c>
      <c r="AHJ216">
        <v>95</v>
      </c>
      <c r="AKC216">
        <v>1.2</v>
      </c>
      <c r="AKD216">
        <v>1.99</v>
      </c>
      <c r="AKE216">
        <v>2.1</v>
      </c>
      <c r="AKF216">
        <v>2.1</v>
      </c>
      <c r="AKG216">
        <v>1.9</v>
      </c>
      <c r="AKH216">
        <v>1.46</v>
      </c>
      <c r="AKI216">
        <v>1.68</v>
      </c>
      <c r="AKJ216">
        <v>2.08</v>
      </c>
      <c r="AKK216">
        <v>2.09</v>
      </c>
      <c r="AKN216">
        <v>0.98</v>
      </c>
      <c r="AKO216">
        <v>1.35</v>
      </c>
      <c r="AKR216">
        <v>1.17</v>
      </c>
      <c r="AKS216">
        <v>1.03</v>
      </c>
      <c r="AKT216">
        <v>1.08</v>
      </c>
      <c r="AKU216">
        <v>0.96</v>
      </c>
      <c r="AML216" s="50"/>
      <c r="AMM216" s="50"/>
      <c r="AMN216" s="50"/>
      <c r="AMO216" s="50"/>
      <c r="AMP216" s="50"/>
      <c r="AMQ216" s="50"/>
      <c r="AMR216" s="50"/>
      <c r="AMS216" s="50"/>
      <c r="AMT216" s="50"/>
      <c r="ANA216" s="50"/>
      <c r="ANB216" s="50"/>
      <c r="ANC216" s="50"/>
      <c r="AND216" s="50"/>
      <c r="ANE216" s="50"/>
      <c r="ANF216" s="50"/>
      <c r="ANG216" s="50"/>
      <c r="ANH216" s="50"/>
      <c r="ANI216" s="50"/>
      <c r="ANJ216" s="50"/>
      <c r="BPF216">
        <v>1</v>
      </c>
      <c r="BPJ216">
        <v>1</v>
      </c>
      <c r="BYH216">
        <v>1</v>
      </c>
      <c r="BZQ216" s="50">
        <v>7000</v>
      </c>
      <c r="BZR216" s="50">
        <v>1</v>
      </c>
      <c r="BZS216">
        <v>1</v>
      </c>
      <c r="BZW216" s="35">
        <v>999</v>
      </c>
      <c r="BZX216">
        <v>0</v>
      </c>
      <c r="BZY216">
        <v>0</v>
      </c>
      <c r="BZZ216">
        <v>999</v>
      </c>
      <c r="HDA216">
        <v>1</v>
      </c>
    </row>
    <row r="217" spans="1:2047 2049:3063 3264:3952 4128:5053 5337:5771" x14ac:dyDescent="0.25">
      <c r="A217" s="50">
        <v>7011435</v>
      </c>
      <c r="B217" s="50"/>
      <c r="C217" s="50"/>
      <c r="D217" s="50"/>
      <c r="E217" s="50"/>
      <c r="F217" s="50"/>
      <c r="G217" s="50"/>
      <c r="H217" s="50"/>
      <c r="HQ217">
        <v>3880</v>
      </c>
      <c r="HS217">
        <v>4350</v>
      </c>
      <c r="HW217">
        <v>5910</v>
      </c>
      <c r="JN217">
        <v>23.5</v>
      </c>
      <c r="JQ217">
        <v>516</v>
      </c>
      <c r="JS217">
        <v>292</v>
      </c>
      <c r="JW217">
        <v>119</v>
      </c>
      <c r="NC217">
        <v>24.2</v>
      </c>
      <c r="NF217">
        <v>437</v>
      </c>
      <c r="NH217">
        <v>367</v>
      </c>
      <c r="NL217">
        <v>257</v>
      </c>
      <c r="QT217">
        <v>533</v>
      </c>
      <c r="QU217" s="50"/>
      <c r="QV217" s="50">
        <v>651</v>
      </c>
      <c r="QW217" s="50"/>
      <c r="QX217" s="50"/>
      <c r="QY217" s="50"/>
      <c r="QZ217" s="50">
        <v>666</v>
      </c>
      <c r="RA217" s="50"/>
      <c r="RB217" s="50"/>
      <c r="RC217" s="50"/>
      <c r="RD217" s="50"/>
      <c r="RE217" s="50"/>
      <c r="RF217" s="50"/>
      <c r="RG217" s="50"/>
      <c r="RH217" s="50"/>
      <c r="RI217" s="50"/>
      <c r="RJ217" s="50"/>
      <c r="RK217" s="50"/>
      <c r="RL217" s="50"/>
      <c r="RM217" s="50"/>
      <c r="RN217" s="50"/>
      <c r="RO217" s="50"/>
      <c r="UK217" s="50"/>
      <c r="UL217" s="50"/>
      <c r="UM217" s="50"/>
      <c r="UN217" s="50"/>
      <c r="UO217" s="50"/>
      <c r="UP217" s="50"/>
      <c r="UQ217" s="50"/>
      <c r="UR217" s="50"/>
      <c r="US217" s="50"/>
      <c r="UT217" s="50"/>
      <c r="UU217" s="50"/>
      <c r="UV217" s="50"/>
      <c r="ZT217" s="3">
        <v>13</v>
      </c>
      <c r="ZV217" s="3">
        <v>11.1</v>
      </c>
      <c r="ZZ217">
        <v>12.1</v>
      </c>
      <c r="ACG217">
        <v>0.85289999999999999</v>
      </c>
      <c r="ACI217">
        <v>0.45050000000000001</v>
      </c>
      <c r="ACM217">
        <v>0.2102</v>
      </c>
      <c r="AEJ217">
        <v>0.33629999999999999</v>
      </c>
      <c r="AGU217">
        <v>470</v>
      </c>
      <c r="AGW217">
        <v>569</v>
      </c>
      <c r="AHA217">
        <v>470</v>
      </c>
      <c r="AML217" s="50"/>
      <c r="AMM217" s="50"/>
      <c r="AMN217" s="50">
        <v>99.8</v>
      </c>
      <c r="AMO217" s="50"/>
      <c r="AMP217" s="50"/>
      <c r="AMQ217" s="50"/>
      <c r="AMR217" s="50"/>
      <c r="AMS217" s="50"/>
      <c r="AMT217" s="50"/>
      <c r="ANA217" s="50"/>
      <c r="ANB217" s="50"/>
      <c r="ANC217" s="50"/>
      <c r="AND217" s="50"/>
      <c r="ANE217" s="50"/>
      <c r="ANF217" s="50"/>
      <c r="ANG217" s="50"/>
      <c r="ANH217" s="50"/>
      <c r="ANI217" s="50"/>
      <c r="ANJ217" s="50"/>
      <c r="ANY217">
        <v>117</v>
      </c>
      <c r="AOA217">
        <v>54</v>
      </c>
      <c r="AOE217">
        <v>20</v>
      </c>
      <c r="ASV217">
        <v>93000</v>
      </c>
      <c r="ASX217">
        <v>248000</v>
      </c>
      <c r="ATB217">
        <v>532000</v>
      </c>
      <c r="BAL217">
        <v>37</v>
      </c>
      <c r="BAN217">
        <v>33</v>
      </c>
      <c r="BAR217">
        <v>38</v>
      </c>
      <c r="BPE217">
        <v>49</v>
      </c>
      <c r="BPG217">
        <v>1</v>
      </c>
      <c r="BPJ217">
        <v>1</v>
      </c>
      <c r="BPK217">
        <v>11</v>
      </c>
      <c r="BSZ217">
        <v>1</v>
      </c>
      <c r="BWN217">
        <v>1</v>
      </c>
      <c r="BXR217">
        <v>1</v>
      </c>
      <c r="BZQ217" s="50"/>
      <c r="BZR217" s="50"/>
      <c r="BZU217">
        <v>1</v>
      </c>
      <c r="CPX217">
        <v>400</v>
      </c>
      <c r="CPY217">
        <v>1</v>
      </c>
      <c r="CQB217">
        <v>1</v>
      </c>
      <c r="CQC217">
        <v>4</v>
      </c>
      <c r="CQD217">
        <v>6</v>
      </c>
      <c r="CQE217">
        <v>3</v>
      </c>
      <c r="CQF217">
        <v>0</v>
      </c>
      <c r="GYA217">
        <v>1</v>
      </c>
      <c r="HCB217">
        <v>1</v>
      </c>
    </row>
    <row r="218" spans="1:2047 2049:3063 3264:3952 4128:5053 5337:5771" x14ac:dyDescent="0.25">
      <c r="A218" s="50">
        <v>7045811</v>
      </c>
      <c r="B218" s="50"/>
      <c r="C218" s="50"/>
      <c r="D218" s="50"/>
      <c r="E218" s="50"/>
      <c r="F218" s="50"/>
      <c r="G218" s="50"/>
      <c r="H218" s="50"/>
      <c r="P218">
        <v>500.4</v>
      </c>
      <c r="S218">
        <v>336</v>
      </c>
      <c r="AJ218">
        <v>34.799999999999997</v>
      </c>
      <c r="DT218">
        <v>118</v>
      </c>
      <c r="DV218">
        <v>293</v>
      </c>
      <c r="JQ218">
        <v>61.2</v>
      </c>
      <c r="JU218">
        <v>5346</v>
      </c>
      <c r="KB218">
        <v>110.4</v>
      </c>
      <c r="NJ218" s="50">
        <v>12864</v>
      </c>
      <c r="NQ218">
        <v>1533</v>
      </c>
      <c r="QU218" s="50"/>
      <c r="QV218" s="50"/>
      <c r="QW218" s="50"/>
      <c r="QX218" s="50"/>
      <c r="QY218" s="50"/>
      <c r="QZ218" s="50"/>
      <c r="RA218" s="50"/>
      <c r="RB218" s="50"/>
      <c r="RC218" s="50"/>
      <c r="RD218" s="50"/>
      <c r="RE218" s="50">
        <v>225</v>
      </c>
      <c r="RF218" s="50"/>
      <c r="RG218" s="50"/>
      <c r="RH218" s="50"/>
      <c r="RI218" s="50"/>
      <c r="RJ218" s="50"/>
      <c r="RK218" s="50"/>
      <c r="RL218" s="50"/>
      <c r="RM218" s="50"/>
      <c r="RN218" s="50"/>
      <c r="RO218" s="50"/>
      <c r="TP218">
        <v>942.6</v>
      </c>
      <c r="TR218">
        <v>435.6</v>
      </c>
      <c r="UK218" s="50"/>
      <c r="UL218" s="50"/>
      <c r="UM218" s="50"/>
      <c r="UN218" s="50"/>
      <c r="UO218" s="50"/>
      <c r="UP218" s="50"/>
      <c r="UQ218" s="50"/>
      <c r="UR218" s="50">
        <v>68.7</v>
      </c>
      <c r="US218" s="50"/>
      <c r="UT218" s="50"/>
      <c r="UU218" s="50"/>
      <c r="UV218" s="50"/>
      <c r="ZW218" s="50"/>
      <c r="ZX218" s="50"/>
      <c r="ZY218" s="50"/>
      <c r="ZZ218" s="50"/>
      <c r="AHF218">
        <v>139.80000000000001</v>
      </c>
      <c r="AKF218">
        <v>0.94289999999999996</v>
      </c>
      <c r="AKQ218">
        <v>0.64259999999999995</v>
      </c>
      <c r="AML218" s="50"/>
      <c r="AMM218" s="50"/>
      <c r="AMN218" s="50"/>
      <c r="AMO218" s="50"/>
      <c r="AMP218" s="50"/>
      <c r="AMQ218" s="50"/>
      <c r="AMR218" s="50"/>
      <c r="AMS218" s="50"/>
      <c r="AMT218" s="50"/>
      <c r="ANA218" s="50"/>
      <c r="ANB218" s="50"/>
      <c r="ANC218" s="50"/>
      <c r="AND218" s="50"/>
      <c r="ANE218" s="50"/>
      <c r="ANF218" s="50"/>
      <c r="ANG218" s="50"/>
      <c r="ANH218" s="50"/>
      <c r="ANI218" s="50"/>
      <c r="ANJ218" s="50"/>
      <c r="BLW218" s="3">
        <v>61.681600000000003</v>
      </c>
      <c r="BNL218" s="50"/>
      <c r="BOQ218">
        <v>260</v>
      </c>
      <c r="BOS218">
        <v>454</v>
      </c>
      <c r="BPE218">
        <v>43</v>
      </c>
      <c r="BPF218">
        <v>1</v>
      </c>
      <c r="BPJ218">
        <v>1</v>
      </c>
      <c r="BTO218">
        <v>1</v>
      </c>
      <c r="BZQ218" s="50">
        <v>1000</v>
      </c>
      <c r="BZR218" s="50">
        <v>1</v>
      </c>
      <c r="BZS218">
        <v>1</v>
      </c>
      <c r="BZW218" s="35">
        <v>999</v>
      </c>
      <c r="BZX218">
        <v>0</v>
      </c>
      <c r="BZY218">
        <v>0</v>
      </c>
      <c r="BZZ218">
        <v>999</v>
      </c>
      <c r="GWW218">
        <v>1</v>
      </c>
      <c r="GYE218">
        <v>1</v>
      </c>
      <c r="HBX218">
        <v>1</v>
      </c>
      <c r="HBY218">
        <v>1</v>
      </c>
      <c r="HCB218">
        <v>1</v>
      </c>
    </row>
    <row r="219" spans="1:2047 2049:3063 3264:3952 4128:5053 5337:5771" x14ac:dyDescent="0.25">
      <c r="A219" s="50">
        <v>7071198</v>
      </c>
      <c r="B219" s="50"/>
      <c r="C219" s="50"/>
      <c r="D219" s="50"/>
      <c r="E219" s="50"/>
      <c r="F219" s="50"/>
      <c r="G219" s="50"/>
      <c r="H219" s="50"/>
      <c r="GY219">
        <v>6800</v>
      </c>
      <c r="HU219">
        <v>8000</v>
      </c>
      <c r="SZ219">
        <v>372</v>
      </c>
      <c r="TL219">
        <v>507</v>
      </c>
      <c r="UK219" s="50"/>
      <c r="UL219" s="50"/>
      <c r="UM219" s="50"/>
      <c r="UN219" s="50"/>
      <c r="UO219" s="50"/>
      <c r="UP219" s="50"/>
      <c r="UQ219" s="50"/>
      <c r="UR219" s="50"/>
      <c r="US219" s="50"/>
      <c r="UT219" s="50"/>
      <c r="UU219" s="50"/>
      <c r="UV219" s="50"/>
      <c r="XQ219">
        <v>30.8</v>
      </c>
      <c r="ZW219" s="50"/>
      <c r="ZX219" s="55"/>
      <c r="ZY219" s="50"/>
      <c r="ZZ219" s="50"/>
      <c r="ABT219">
        <v>0.39350000000000002</v>
      </c>
      <c r="ACK219" t="s">
        <v>2510</v>
      </c>
      <c r="AEH219">
        <v>3.5700000000000003E-2</v>
      </c>
      <c r="AEN219">
        <v>0.67</v>
      </c>
      <c r="AJR219">
        <v>1.1599999999999999</v>
      </c>
      <c r="AML219" s="50"/>
      <c r="AMM219" s="50"/>
      <c r="AMN219" s="50"/>
      <c r="AMO219" s="50"/>
      <c r="AMP219" s="50"/>
      <c r="AMQ219" s="50"/>
      <c r="AMR219" s="50"/>
      <c r="AMS219" s="50"/>
      <c r="AMT219" s="50"/>
      <c r="ANA219" s="50"/>
      <c r="ANB219" s="50"/>
      <c r="ANC219" s="50"/>
      <c r="AND219" s="50"/>
      <c r="ANE219" s="50"/>
      <c r="ANF219" s="50"/>
      <c r="ANG219" s="50"/>
      <c r="ANH219" s="50"/>
      <c r="ANI219" s="50"/>
      <c r="ANJ219" s="50"/>
      <c r="AQG219">
        <v>6.8</v>
      </c>
      <c r="AUD219">
        <v>7</v>
      </c>
      <c r="AVW219">
        <v>57.6</v>
      </c>
      <c r="AZV219">
        <v>35.6</v>
      </c>
      <c r="BAP219">
        <v>36.700000000000003</v>
      </c>
      <c r="BLO219">
        <v>89</v>
      </c>
      <c r="BPE219">
        <v>43</v>
      </c>
      <c r="BPF219">
        <v>1</v>
      </c>
      <c r="BPJ219">
        <v>1</v>
      </c>
      <c r="BPL219">
        <v>1</v>
      </c>
      <c r="BXG219">
        <v>1</v>
      </c>
      <c r="BZQ219" s="50">
        <v>4000</v>
      </c>
      <c r="BZR219" s="50">
        <v>1</v>
      </c>
      <c r="BZU219">
        <v>1</v>
      </c>
      <c r="BZW219" s="35">
        <v>999</v>
      </c>
      <c r="BZX219">
        <v>4</v>
      </c>
      <c r="BZY219">
        <v>0</v>
      </c>
      <c r="BZZ219">
        <v>999</v>
      </c>
      <c r="GKG219">
        <v>400</v>
      </c>
      <c r="GKH219">
        <v>1</v>
      </c>
      <c r="GKK219">
        <v>1</v>
      </c>
      <c r="GKL219">
        <v>999</v>
      </c>
      <c r="GKM219">
        <v>999</v>
      </c>
      <c r="GKN219">
        <v>0</v>
      </c>
      <c r="GKO219">
        <v>6</v>
      </c>
      <c r="GKV219">
        <v>999</v>
      </c>
      <c r="GLA219">
        <v>100</v>
      </c>
      <c r="GLB219">
        <v>1</v>
      </c>
      <c r="GLE219">
        <v>1</v>
      </c>
      <c r="GLF219">
        <v>999</v>
      </c>
      <c r="GLG219">
        <v>999</v>
      </c>
      <c r="GLH219">
        <v>0</v>
      </c>
      <c r="GLI219">
        <v>6</v>
      </c>
      <c r="GYE219">
        <v>1</v>
      </c>
      <c r="HBC219">
        <v>1</v>
      </c>
      <c r="HBE219">
        <v>1</v>
      </c>
      <c r="HCB219">
        <v>1</v>
      </c>
    </row>
    <row r="220" spans="1:2047 2049:3063 3264:3952 4128:5053 5337:5771" x14ac:dyDescent="0.25">
      <c r="A220" s="50">
        <v>7101143</v>
      </c>
      <c r="B220" s="50"/>
      <c r="C220" s="50"/>
      <c r="D220" s="50"/>
      <c r="E220" s="50"/>
      <c r="F220" s="50"/>
      <c r="G220" s="50"/>
      <c r="H220" s="50"/>
      <c r="JQ220">
        <v>778</v>
      </c>
      <c r="JS220">
        <v>908</v>
      </c>
      <c r="JT220">
        <v>746</v>
      </c>
      <c r="JX220">
        <v>532</v>
      </c>
      <c r="KA220">
        <v>305</v>
      </c>
      <c r="KC220">
        <v>196</v>
      </c>
      <c r="NF220">
        <v>1917.49</v>
      </c>
      <c r="NH220">
        <v>2074.65</v>
      </c>
      <c r="NI220">
        <v>1898.18</v>
      </c>
      <c r="NM220">
        <v>1436.2</v>
      </c>
      <c r="NP220">
        <v>961.74</v>
      </c>
      <c r="NR220">
        <v>689.06</v>
      </c>
      <c r="QT220">
        <v>21.44</v>
      </c>
      <c r="QV220">
        <v>21.63</v>
      </c>
      <c r="QW220">
        <v>24.25</v>
      </c>
      <c r="RA220">
        <v>22.4</v>
      </c>
      <c r="RD220">
        <v>23.58</v>
      </c>
      <c r="RF220">
        <v>24.02</v>
      </c>
      <c r="UK220" s="50"/>
      <c r="UL220" s="50"/>
      <c r="UM220" s="50"/>
      <c r="UN220" s="50"/>
      <c r="UO220" s="50"/>
      <c r="UP220" s="50"/>
      <c r="UQ220" s="50"/>
      <c r="UR220" s="50"/>
      <c r="US220" s="50"/>
      <c r="UT220" s="50"/>
      <c r="UU220" s="50"/>
      <c r="UV220" s="50"/>
      <c r="ZW220" s="50"/>
      <c r="ZX220" s="50"/>
      <c r="ZY220" s="50"/>
      <c r="ZZ220" s="50"/>
      <c r="ACG220">
        <v>1.61</v>
      </c>
      <c r="ACI220">
        <v>2.2599999999999998</v>
      </c>
      <c r="ACJ220">
        <v>1.76</v>
      </c>
      <c r="ACN220">
        <v>1.59</v>
      </c>
      <c r="ACQ220">
        <v>1.57</v>
      </c>
      <c r="ACS220">
        <v>0.99</v>
      </c>
      <c r="AEJ220">
        <v>0.96</v>
      </c>
      <c r="AEL220">
        <v>0.98</v>
      </c>
      <c r="AEM220">
        <v>0.86</v>
      </c>
      <c r="AEQ220">
        <v>0.74</v>
      </c>
      <c r="AES220">
        <v>0.67</v>
      </c>
      <c r="ALP220">
        <v>56.6</v>
      </c>
      <c r="ALS220">
        <v>50.4</v>
      </c>
      <c r="ALX220">
        <v>56.5</v>
      </c>
      <c r="AML220" s="50"/>
      <c r="AMM220" s="50"/>
      <c r="AMN220" s="50"/>
      <c r="AMO220" s="50"/>
      <c r="AMP220" s="50"/>
      <c r="AMQ220" s="50"/>
      <c r="AMR220" s="50"/>
      <c r="AMS220" s="50"/>
      <c r="AMT220" s="50"/>
      <c r="ANA220" s="50"/>
      <c r="ANB220" s="50"/>
      <c r="ANC220" s="50"/>
      <c r="AND220" s="50"/>
      <c r="ANE220" s="50"/>
      <c r="ANF220" s="50"/>
      <c r="ANG220" s="50"/>
      <c r="ANH220" s="50"/>
      <c r="ANI220" s="50"/>
      <c r="ANJ220" s="50"/>
      <c r="BPE220">
        <v>15</v>
      </c>
      <c r="BPG220">
        <v>1</v>
      </c>
      <c r="BPH220">
        <v>22.72</v>
      </c>
      <c r="BPJ220">
        <v>1</v>
      </c>
      <c r="BPV220">
        <v>1</v>
      </c>
      <c r="BQD220">
        <v>1</v>
      </c>
      <c r="BXU220">
        <v>1</v>
      </c>
      <c r="BZQ220" s="50">
        <v>500</v>
      </c>
      <c r="BZR220" s="50">
        <v>1</v>
      </c>
      <c r="BZU220">
        <v>1</v>
      </c>
      <c r="BZW220">
        <v>6</v>
      </c>
      <c r="BZX220">
        <v>8</v>
      </c>
      <c r="BZY220">
        <v>2</v>
      </c>
      <c r="BZZ220">
        <v>0</v>
      </c>
      <c r="GCJ220">
        <v>30</v>
      </c>
      <c r="GCK220">
        <v>1</v>
      </c>
      <c r="GCN220">
        <v>1</v>
      </c>
      <c r="GCO220">
        <v>12</v>
      </c>
      <c r="GCP220">
        <v>0</v>
      </c>
      <c r="GCQ220">
        <v>0</v>
      </c>
      <c r="GCR220">
        <v>12</v>
      </c>
      <c r="GXL220">
        <v>1</v>
      </c>
      <c r="GZD220">
        <v>1</v>
      </c>
      <c r="HMT220">
        <v>1</v>
      </c>
      <c r="HMY220">
        <v>1</v>
      </c>
    </row>
    <row r="221" spans="1:2047 2049:3063 3264:3952 4128:5053 5337:5771" x14ac:dyDescent="0.25">
      <c r="A221" s="50">
        <v>8073350</v>
      </c>
      <c r="B221" s="50"/>
      <c r="C221" s="50"/>
      <c r="D221" s="50"/>
      <c r="E221" s="50"/>
      <c r="F221" s="50"/>
      <c r="G221" s="50"/>
      <c r="H221" s="50"/>
      <c r="UK221" s="50"/>
      <c r="UL221" s="50"/>
      <c r="UM221" s="50"/>
      <c r="UN221" s="50"/>
      <c r="UO221" s="50"/>
      <c r="UP221" s="50"/>
      <c r="UQ221" s="50"/>
      <c r="UR221" s="50"/>
      <c r="US221" s="50"/>
      <c r="UT221" s="50"/>
      <c r="UU221" s="50"/>
      <c r="UV221" s="50"/>
      <c r="ZW221" s="50"/>
      <c r="ZX221" s="50"/>
      <c r="ZY221" s="50"/>
      <c r="ZZ221" s="50"/>
      <c r="ACF221" s="14">
        <v>18</v>
      </c>
      <c r="ANA221" s="50"/>
      <c r="ANB221" s="50"/>
      <c r="ANC221" s="50"/>
      <c r="AND221" s="50"/>
      <c r="ANE221" s="50"/>
      <c r="ANF221" s="50"/>
      <c r="ANG221" s="50"/>
      <c r="ANH221" s="50"/>
      <c r="ANI221" s="50"/>
      <c r="ANJ221" s="50"/>
      <c r="BPE221">
        <v>66</v>
      </c>
      <c r="BPF221">
        <v>1</v>
      </c>
      <c r="BPH221">
        <v>19.829999999999998</v>
      </c>
      <c r="BPJ221">
        <v>1</v>
      </c>
      <c r="BPM221">
        <v>1</v>
      </c>
      <c r="BTS221">
        <v>1</v>
      </c>
      <c r="BZQ221" s="50"/>
      <c r="BZR221" s="50"/>
      <c r="BZS221">
        <v>1</v>
      </c>
      <c r="BZW221">
        <v>5</v>
      </c>
      <c r="BZX221">
        <v>3</v>
      </c>
      <c r="BZY221">
        <v>1</v>
      </c>
      <c r="BZZ221">
        <v>0</v>
      </c>
      <c r="CPX221">
        <v>1000</v>
      </c>
      <c r="CPY221">
        <v>1</v>
      </c>
      <c r="CQC221" s="35">
        <v>999</v>
      </c>
      <c r="CQD221">
        <v>1</v>
      </c>
      <c r="CQE221">
        <v>0</v>
      </c>
      <c r="CQF221">
        <v>999</v>
      </c>
      <c r="GXE221">
        <v>1</v>
      </c>
      <c r="GZZ221">
        <v>1</v>
      </c>
      <c r="HAC221">
        <v>1</v>
      </c>
      <c r="HBX221">
        <v>1</v>
      </c>
    </row>
    <row r="222" spans="1:2047 2049:3063 3264:3952 4128:5053 5337:5771" x14ac:dyDescent="0.25">
      <c r="A222" s="50">
        <v>8073645</v>
      </c>
      <c r="B222" s="50"/>
      <c r="C222" s="50"/>
      <c r="D222" s="50"/>
      <c r="E222" s="50"/>
      <c r="F222" s="50"/>
      <c r="G222" s="50"/>
      <c r="H222" s="50"/>
      <c r="BD222" s="14">
        <v>32</v>
      </c>
      <c r="DU222" s="14">
        <v>43</v>
      </c>
      <c r="FF222" s="14">
        <v>22</v>
      </c>
      <c r="GK222">
        <v>345</v>
      </c>
      <c r="HQ222" s="50"/>
      <c r="JR222">
        <v>2189.3333333333298</v>
      </c>
      <c r="NG222">
        <v>1197.3333333333301</v>
      </c>
      <c r="TM222" s="14">
        <v>3234</v>
      </c>
      <c r="UK222" s="50"/>
      <c r="UL222" s="50"/>
      <c r="UM222" s="50"/>
      <c r="UN222" s="50"/>
      <c r="UO222" s="50"/>
      <c r="UP222" s="50"/>
      <c r="UQ222" s="50"/>
      <c r="UR222" s="50"/>
      <c r="US222" s="50"/>
      <c r="UT222" s="50"/>
      <c r="UU222" s="50"/>
      <c r="UV222" s="50"/>
      <c r="ZU222">
        <v>9.9</v>
      </c>
      <c r="ACH222" s="50">
        <v>4.0999999999999996</v>
      </c>
      <c r="AEK222">
        <v>2.0499999999999998</v>
      </c>
      <c r="AIZ222">
        <v>4058.5</v>
      </c>
      <c r="AKG222">
        <v>0.75</v>
      </c>
      <c r="ANA222" s="50"/>
      <c r="ANB222" s="50"/>
      <c r="ANC222" s="50"/>
      <c r="AND222" s="50"/>
      <c r="ANE222" s="50"/>
      <c r="ANF222" s="50"/>
      <c r="ANG222" s="50"/>
      <c r="ANH222" s="50"/>
      <c r="ANI222" s="50"/>
      <c r="ANJ222" s="50"/>
      <c r="APM222">
        <v>17</v>
      </c>
      <c r="BMQ222" s="50"/>
      <c r="BMR222" s="50"/>
      <c r="BMS222" s="50"/>
      <c r="BMT222" s="50"/>
      <c r="BMU222" s="50"/>
      <c r="BMV222" s="50"/>
      <c r="BMW222" s="50">
        <v>4080</v>
      </c>
      <c r="BMX222" s="50"/>
      <c r="BPE222">
        <v>58</v>
      </c>
      <c r="BPG222">
        <v>1</v>
      </c>
      <c r="BPH222">
        <v>31.64</v>
      </c>
      <c r="BPJ222">
        <v>1</v>
      </c>
      <c r="BQZ222">
        <v>1</v>
      </c>
      <c r="BRB222">
        <v>1</v>
      </c>
      <c r="BRE222">
        <v>1</v>
      </c>
      <c r="BRK222">
        <v>1</v>
      </c>
      <c r="BRM222">
        <v>1</v>
      </c>
      <c r="BRN222">
        <v>1</v>
      </c>
      <c r="BRR222">
        <v>1</v>
      </c>
      <c r="BRS222">
        <v>1</v>
      </c>
      <c r="BWW222">
        <v>1</v>
      </c>
      <c r="BXR222">
        <v>1</v>
      </c>
      <c r="BZQ222" s="50">
        <v>10000</v>
      </c>
      <c r="BZR222" s="50">
        <v>1</v>
      </c>
      <c r="BZS222">
        <v>1</v>
      </c>
      <c r="BZW222">
        <v>2</v>
      </c>
      <c r="BZX222">
        <v>2</v>
      </c>
      <c r="BZY222">
        <v>0</v>
      </c>
      <c r="BZZ222">
        <v>0</v>
      </c>
      <c r="CEY222">
        <v>30</v>
      </c>
      <c r="CEZ222">
        <v>1</v>
      </c>
      <c r="CFA222">
        <v>1</v>
      </c>
      <c r="CFE222" s="35">
        <v>999</v>
      </c>
      <c r="CFF222">
        <v>3</v>
      </c>
      <c r="CFG222">
        <v>0</v>
      </c>
      <c r="CFH222">
        <v>999</v>
      </c>
      <c r="FBT222">
        <v>2000</v>
      </c>
      <c r="FBU222">
        <v>1</v>
      </c>
      <c r="FBV222">
        <v>1</v>
      </c>
      <c r="FBY222" s="35">
        <v>999</v>
      </c>
      <c r="FBZ222">
        <v>3</v>
      </c>
      <c r="FCA222">
        <v>0</v>
      </c>
      <c r="FCB222">
        <v>999</v>
      </c>
      <c r="HBX222">
        <v>1</v>
      </c>
    </row>
    <row r="223" spans="1:2047 2049:3063 3264:3952 4128:5053 5337:5771" x14ac:dyDescent="0.25">
      <c r="A223" s="55">
        <v>8089666</v>
      </c>
      <c r="B223" s="50"/>
      <c r="C223" s="50"/>
      <c r="D223" s="50"/>
      <c r="E223" s="50"/>
      <c r="F223" s="50"/>
      <c r="G223" s="50"/>
      <c r="H223" s="50"/>
      <c r="I223" s="14">
        <v>55.5</v>
      </c>
      <c r="J223">
        <v>45</v>
      </c>
      <c r="L223" s="14">
        <v>102.5</v>
      </c>
      <c r="M223">
        <v>147</v>
      </c>
      <c r="AY223">
        <v>100</v>
      </c>
      <c r="AZ223" s="14">
        <v>83.3333333333333</v>
      </c>
      <c r="BA223">
        <v>58</v>
      </c>
      <c r="BC223" s="14">
        <v>10.5</v>
      </c>
      <c r="BD223">
        <v>12</v>
      </c>
      <c r="CI223">
        <v>0.85</v>
      </c>
      <c r="CJ223" s="14">
        <v>1.2</v>
      </c>
      <c r="CK223">
        <v>1.4</v>
      </c>
      <c r="CM223" s="14">
        <v>5.88</v>
      </c>
      <c r="CN223">
        <v>5.4</v>
      </c>
      <c r="DI223">
        <v>3</v>
      </c>
      <c r="DJ223">
        <v>3</v>
      </c>
      <c r="DL223" s="14" t="s">
        <v>2527</v>
      </c>
      <c r="DP223">
        <v>30</v>
      </c>
      <c r="DQ223" s="14">
        <v>36</v>
      </c>
      <c r="DR223">
        <v>63</v>
      </c>
      <c r="DT223" s="14">
        <v>97.8</v>
      </c>
      <c r="DU223">
        <v>85</v>
      </c>
      <c r="FD223" s="14">
        <v>71</v>
      </c>
      <c r="FE223" s="14">
        <v>26.4</v>
      </c>
      <c r="FF223">
        <v>50</v>
      </c>
      <c r="FQ223">
        <v>54</v>
      </c>
      <c r="FR223">
        <v>37</v>
      </c>
      <c r="FT223" s="14">
        <v>79</v>
      </c>
      <c r="GG223" s="48">
        <v>336.66669999999999</v>
      </c>
      <c r="GJ223" s="48">
        <v>203.33332999999999</v>
      </c>
      <c r="GK223">
        <v>1300</v>
      </c>
      <c r="HM223">
        <v>7330</v>
      </c>
      <c r="HN223" s="14">
        <v>6700</v>
      </c>
      <c r="HO223">
        <v>12100</v>
      </c>
      <c r="HQ223" s="14">
        <v>167500</v>
      </c>
      <c r="HR223">
        <v>22500</v>
      </c>
      <c r="JM223">
        <v>74</v>
      </c>
      <c r="JN223">
        <v>16</v>
      </c>
      <c r="JO223">
        <v>15</v>
      </c>
      <c r="JQ223" s="14">
        <v>4190.5</v>
      </c>
      <c r="JR223">
        <v>5322</v>
      </c>
      <c r="NB223">
        <v>63</v>
      </c>
      <c r="NC223">
        <v>18</v>
      </c>
      <c r="ND223">
        <v>15</v>
      </c>
      <c r="NF223" s="14">
        <v>1851.25</v>
      </c>
      <c r="NG223">
        <v>43</v>
      </c>
      <c r="QP223">
        <v>118</v>
      </c>
      <c r="QQ223">
        <v>26</v>
      </c>
      <c r="QR223">
        <v>24</v>
      </c>
      <c r="QT223" s="14">
        <v>31</v>
      </c>
      <c r="QU223">
        <v>43</v>
      </c>
      <c r="TH223">
        <v>203</v>
      </c>
      <c r="TI223">
        <v>150</v>
      </c>
      <c r="TJ223">
        <v>110</v>
      </c>
      <c r="TL223" s="14">
        <v>6678.25</v>
      </c>
      <c r="TM223" s="50">
        <v>7839</v>
      </c>
      <c r="UK223" s="50"/>
      <c r="UL223" s="50"/>
      <c r="UM223" s="50"/>
      <c r="UN223" s="50"/>
      <c r="UO223" s="50"/>
      <c r="UP223" s="50"/>
      <c r="UQ223" s="50"/>
      <c r="UR223" s="50"/>
      <c r="US223" s="50"/>
      <c r="UT223" s="50"/>
      <c r="UU223" s="50"/>
      <c r="UV223" s="50"/>
      <c r="VK223">
        <v>69</v>
      </c>
      <c r="VL223">
        <v>36</v>
      </c>
      <c r="VN223" s="14">
        <v>38</v>
      </c>
      <c r="VO223">
        <v>116</v>
      </c>
      <c r="ZP223">
        <v>11</v>
      </c>
      <c r="ZQ223" s="14">
        <v>9.4666666666666597</v>
      </c>
      <c r="ZR223">
        <v>12.5</v>
      </c>
      <c r="ZT223" s="14">
        <v>86</v>
      </c>
      <c r="ZU223">
        <v>98</v>
      </c>
      <c r="ACC223">
        <v>0.8</v>
      </c>
      <c r="ACD223" s="14">
        <v>1.5</v>
      </c>
      <c r="ACE223">
        <v>1.9</v>
      </c>
      <c r="ACG223" s="14">
        <v>3.5</v>
      </c>
      <c r="ACH223">
        <v>5.5</v>
      </c>
      <c r="AGQ223">
        <v>278</v>
      </c>
      <c r="AGR223">
        <v>76</v>
      </c>
      <c r="AGS223">
        <v>73</v>
      </c>
      <c r="AGU223" s="14">
        <v>170.75</v>
      </c>
      <c r="AGV223">
        <v>227</v>
      </c>
      <c r="AKB223">
        <v>0.34</v>
      </c>
      <c r="AKC223" s="14">
        <v>0.29499999999999998</v>
      </c>
      <c r="AKD223">
        <v>0.4</v>
      </c>
      <c r="AKF223" s="47">
        <v>0.73499999999999999</v>
      </c>
      <c r="AKG223">
        <v>1.1499999999999999</v>
      </c>
      <c r="ALL223">
        <v>7</v>
      </c>
      <c r="ALM223">
        <v>12</v>
      </c>
      <c r="ALN223">
        <v>8</v>
      </c>
      <c r="ALP223" s="14">
        <v>9.75</v>
      </c>
      <c r="ALQ223">
        <v>13</v>
      </c>
      <c r="AMJ223">
        <v>19</v>
      </c>
      <c r="AMK223">
        <v>10</v>
      </c>
      <c r="AML223">
        <v>10</v>
      </c>
      <c r="AMN223" s="14">
        <v>14</v>
      </c>
      <c r="AMO223">
        <v>14</v>
      </c>
      <c r="ANA223" s="50"/>
      <c r="ANB223" s="50"/>
      <c r="ANC223" s="50"/>
      <c r="AND223" s="50"/>
      <c r="ANE223" s="50"/>
      <c r="ANF223" s="50"/>
      <c r="ANG223" s="50"/>
      <c r="ANH223" s="50"/>
      <c r="ANI223" s="50"/>
      <c r="ANJ223" s="50"/>
      <c r="ANU223">
        <v>173</v>
      </c>
      <c r="ANV223">
        <v>35</v>
      </c>
      <c r="ANW223">
        <v>120</v>
      </c>
      <c r="ANY223" s="14">
        <v>43</v>
      </c>
      <c r="ANZ223">
        <v>41</v>
      </c>
      <c r="APH223">
        <v>28</v>
      </c>
      <c r="API223" s="14">
        <v>14</v>
      </c>
      <c r="APJ223">
        <v>17</v>
      </c>
      <c r="APL223" s="14">
        <v>25.5</v>
      </c>
      <c r="APM223">
        <v>24</v>
      </c>
      <c r="AQK223" s="50">
        <v>0.7</v>
      </c>
      <c r="ARG223" s="3">
        <v>3700000</v>
      </c>
      <c r="ARH223" s="48">
        <v>3200000</v>
      </c>
      <c r="ARI223">
        <v>4200000</v>
      </c>
      <c r="ARK223" s="14">
        <v>2900000</v>
      </c>
      <c r="ARL223">
        <v>3300000</v>
      </c>
      <c r="ASR223">
        <v>304000</v>
      </c>
      <c r="ASS223" s="48">
        <v>147333.3333</v>
      </c>
      <c r="AST223">
        <v>130000</v>
      </c>
      <c r="ASV223" s="14">
        <v>322000</v>
      </c>
      <c r="ASW223">
        <v>34000</v>
      </c>
      <c r="AXD223">
        <v>19</v>
      </c>
      <c r="AXE223">
        <v>15</v>
      </c>
      <c r="AXG223" s="14">
        <v>15.75</v>
      </c>
      <c r="AXH223">
        <v>22</v>
      </c>
      <c r="BAH223">
        <v>32</v>
      </c>
      <c r="BAI223" s="14">
        <v>27</v>
      </c>
      <c r="BAJ223">
        <v>34</v>
      </c>
      <c r="BAL223" s="14">
        <v>25</v>
      </c>
      <c r="BAM223">
        <v>29</v>
      </c>
      <c r="BBZ223">
        <v>86</v>
      </c>
      <c r="BCA223" s="14">
        <v>84</v>
      </c>
      <c r="BCB223">
        <v>81</v>
      </c>
      <c r="BCD223" s="14">
        <v>85</v>
      </c>
      <c r="BCE223">
        <v>89</v>
      </c>
      <c r="BDF223">
        <v>30</v>
      </c>
      <c r="BDG223">
        <v>29</v>
      </c>
      <c r="BDH223">
        <v>30</v>
      </c>
      <c r="BDJ223" s="14">
        <v>30</v>
      </c>
      <c r="BDK223">
        <v>30</v>
      </c>
      <c r="BEI223" s="3">
        <v>34.799999999999997</v>
      </c>
      <c r="BEJ223" s="14">
        <v>314.33333333333297</v>
      </c>
      <c r="BEK223">
        <v>365</v>
      </c>
      <c r="BEM223" s="14">
        <v>347</v>
      </c>
      <c r="BEN223">
        <v>339</v>
      </c>
      <c r="BGM223">
        <v>131</v>
      </c>
      <c r="BGN223" s="14">
        <v>137.5</v>
      </c>
      <c r="BGO223">
        <v>143</v>
      </c>
      <c r="BGQ223" s="14">
        <v>145</v>
      </c>
      <c r="BGR223">
        <v>149</v>
      </c>
      <c r="BHS223">
        <v>3.9</v>
      </c>
      <c r="BHT223" s="14">
        <v>3.7</v>
      </c>
      <c r="BHU223">
        <v>3.9</v>
      </c>
      <c r="BHW223" s="14">
        <v>4.3</v>
      </c>
      <c r="BHX223">
        <v>3.7</v>
      </c>
      <c r="BIV223">
        <v>2</v>
      </c>
      <c r="BIW223" s="14">
        <v>1.9</v>
      </c>
      <c r="BIX223">
        <v>2</v>
      </c>
      <c r="BIZ223" s="14">
        <v>1.8</v>
      </c>
      <c r="BJA223">
        <v>1.9</v>
      </c>
      <c r="BJR223">
        <v>0.61</v>
      </c>
      <c r="BJS223">
        <v>0.56999999999999995</v>
      </c>
      <c r="BJU223" s="14">
        <v>0.63</v>
      </c>
      <c r="BJV223">
        <v>0.68</v>
      </c>
      <c r="BJY223">
        <v>108</v>
      </c>
      <c r="BJZ223">
        <v>114</v>
      </c>
      <c r="BKB223" s="14">
        <v>112</v>
      </c>
      <c r="BKC223">
        <v>106</v>
      </c>
      <c r="BLS223">
        <v>230</v>
      </c>
      <c r="BLT223" s="14">
        <v>139</v>
      </c>
      <c r="BLU223">
        <v>109</v>
      </c>
      <c r="BLW223" s="14">
        <v>123.25</v>
      </c>
      <c r="BLX223">
        <v>205</v>
      </c>
      <c r="BMQ223" s="50"/>
      <c r="BMR223" s="59"/>
      <c r="BMS223" s="50"/>
      <c r="BMT223" s="50"/>
      <c r="BMU223" s="50"/>
      <c r="BMV223" s="50"/>
      <c r="BMW223" s="50"/>
      <c r="BMX223" s="50"/>
      <c r="BNE223">
        <v>79</v>
      </c>
      <c r="BNQ223">
        <v>1.2</v>
      </c>
      <c r="BNR223">
        <v>1.1000000000000001</v>
      </c>
      <c r="BNT223" s="14">
        <v>1.7</v>
      </c>
      <c r="BNU223">
        <v>1.5</v>
      </c>
      <c r="BPE223">
        <v>68</v>
      </c>
      <c r="BPG223">
        <v>1</v>
      </c>
      <c r="BPH223">
        <v>17.309999999999999</v>
      </c>
      <c r="BPI223">
        <v>1</v>
      </c>
      <c r="BPK223">
        <v>2</v>
      </c>
      <c r="BPL223">
        <v>1</v>
      </c>
      <c r="BPM223">
        <v>1</v>
      </c>
      <c r="BPR223">
        <v>1</v>
      </c>
      <c r="BQE223">
        <v>1</v>
      </c>
      <c r="BQY223">
        <v>1</v>
      </c>
      <c r="BRE223">
        <v>1</v>
      </c>
      <c r="BRO223">
        <v>1</v>
      </c>
      <c r="BTH223">
        <v>1</v>
      </c>
      <c r="BTV223">
        <v>1</v>
      </c>
      <c r="BUW223">
        <v>1</v>
      </c>
      <c r="BVE223">
        <v>1</v>
      </c>
      <c r="BVZ223">
        <v>1</v>
      </c>
      <c r="BWP223">
        <v>1</v>
      </c>
      <c r="BWZ223">
        <v>1</v>
      </c>
      <c r="BZQ223" s="50">
        <v>7000</v>
      </c>
      <c r="BZR223" s="50">
        <v>1</v>
      </c>
      <c r="BZS223">
        <v>1</v>
      </c>
      <c r="BZW223">
        <v>3</v>
      </c>
      <c r="BZX223">
        <v>2</v>
      </c>
      <c r="BZY223">
        <v>0</v>
      </c>
      <c r="BZZ223">
        <v>0</v>
      </c>
      <c r="COI223">
        <v>1</v>
      </c>
      <c r="CTK223">
        <v>1</v>
      </c>
      <c r="EMB223">
        <v>1</v>
      </c>
      <c r="GWX223">
        <v>1</v>
      </c>
      <c r="HAZ223">
        <v>1</v>
      </c>
      <c r="HBP223">
        <v>1</v>
      </c>
    </row>
    <row r="224" spans="1:2047 2049:3063 3264:3952 4128:5053 5337:5771" x14ac:dyDescent="0.25">
      <c r="A224" s="50">
        <v>8103536</v>
      </c>
      <c r="B224" s="50"/>
      <c r="C224" s="50"/>
      <c r="D224" s="50"/>
      <c r="E224" s="50"/>
      <c r="F224" s="50"/>
      <c r="G224" s="50"/>
      <c r="H224" s="50"/>
      <c r="K224">
        <v>83</v>
      </c>
      <c r="CL224">
        <v>0.98</v>
      </c>
      <c r="EF224">
        <v>31.4</v>
      </c>
      <c r="FX224">
        <v>1304</v>
      </c>
      <c r="HP224">
        <v>5300</v>
      </c>
      <c r="HQ224" s="50"/>
      <c r="JP224">
        <v>66</v>
      </c>
      <c r="NG224">
        <v>104</v>
      </c>
      <c r="UK224" s="50"/>
      <c r="UL224" s="50"/>
      <c r="UM224" s="50"/>
      <c r="UN224" s="50"/>
      <c r="UO224" s="50"/>
      <c r="UP224" s="50"/>
      <c r="UQ224" s="50"/>
      <c r="UR224" s="50"/>
      <c r="US224" s="50"/>
      <c r="UT224" s="50"/>
      <c r="UU224" s="50"/>
      <c r="UV224" s="50"/>
      <c r="ZS224">
        <v>12.3</v>
      </c>
      <c r="AKE224">
        <v>0.65039999999999998</v>
      </c>
      <c r="ANA224" s="50"/>
      <c r="ANB224" s="50"/>
      <c r="ANC224" s="50"/>
      <c r="AND224" s="50"/>
      <c r="ANE224" s="50"/>
      <c r="ANF224" s="50"/>
      <c r="ANG224" s="50"/>
      <c r="ANH224" s="50"/>
      <c r="ANI224" s="50"/>
      <c r="ANJ224" s="50"/>
      <c r="ASU224">
        <v>181000</v>
      </c>
      <c r="BMQ224" s="50"/>
      <c r="BMR224" s="50"/>
      <c r="BMS224" s="50"/>
      <c r="BMT224" s="50"/>
      <c r="BMU224" s="50"/>
      <c r="BMV224" s="50"/>
      <c r="BMW224" s="50"/>
      <c r="BMX224" s="50"/>
      <c r="BPE224">
        <v>44</v>
      </c>
      <c r="BPG224">
        <v>1</v>
      </c>
      <c r="BPH224">
        <v>22.58</v>
      </c>
      <c r="BPJ224">
        <v>1</v>
      </c>
      <c r="BPK224">
        <v>10</v>
      </c>
      <c r="BQD224">
        <v>1</v>
      </c>
      <c r="BTY224">
        <v>1</v>
      </c>
      <c r="BWA224">
        <v>1</v>
      </c>
      <c r="BWL224">
        <v>1</v>
      </c>
      <c r="BZQ224" s="50">
        <v>1500</v>
      </c>
      <c r="BZR224" s="50">
        <v>1</v>
      </c>
      <c r="BZU224">
        <v>1</v>
      </c>
      <c r="BZW224">
        <v>999</v>
      </c>
      <c r="FEB224">
        <v>60</v>
      </c>
      <c r="FEC224">
        <v>1</v>
      </c>
      <c r="FEF224">
        <v>1</v>
      </c>
      <c r="FEG224" s="35">
        <v>999</v>
      </c>
      <c r="FEH224">
        <v>999</v>
      </c>
      <c r="FEI224">
        <v>0</v>
      </c>
      <c r="FEJ224">
        <v>999</v>
      </c>
      <c r="GDI224">
        <v>1</v>
      </c>
      <c r="GDJ224">
        <v>35</v>
      </c>
      <c r="GDK224">
        <v>34</v>
      </c>
      <c r="GDL224">
        <v>0</v>
      </c>
      <c r="GDM224">
        <v>1</v>
      </c>
      <c r="GYU224">
        <v>1</v>
      </c>
      <c r="GZD224">
        <v>1</v>
      </c>
      <c r="HAZ224">
        <v>1</v>
      </c>
      <c r="HCH224">
        <v>1</v>
      </c>
      <c r="HIN224">
        <v>1</v>
      </c>
    </row>
    <row r="225" spans="1:981 1028:2047 2049:3070 3073:4054 4168:5116 5159:5336" x14ac:dyDescent="0.25">
      <c r="A225" s="50">
        <v>8124816</v>
      </c>
      <c r="B225" s="50"/>
      <c r="C225" s="50"/>
      <c r="D225" s="50"/>
      <c r="E225" s="50"/>
      <c r="F225" s="50"/>
      <c r="G225" s="50"/>
      <c r="H225" s="50"/>
      <c r="GA225">
        <v>1470</v>
      </c>
      <c r="JQ225">
        <v>63</v>
      </c>
      <c r="JT225">
        <v>60</v>
      </c>
      <c r="JX225">
        <v>21</v>
      </c>
      <c r="KD225">
        <v>13</v>
      </c>
      <c r="KI225">
        <v>42</v>
      </c>
      <c r="NF225">
        <v>113</v>
      </c>
      <c r="NI225">
        <v>130</v>
      </c>
      <c r="NL225">
        <v>59</v>
      </c>
      <c r="NS225">
        <v>27</v>
      </c>
      <c r="NX225">
        <v>50</v>
      </c>
      <c r="QT225">
        <v>207</v>
      </c>
      <c r="QW225">
        <v>317</v>
      </c>
      <c r="RA225">
        <v>257</v>
      </c>
      <c r="RG225">
        <v>141</v>
      </c>
      <c r="UK225" s="50"/>
      <c r="UL225" s="50"/>
      <c r="UM225" s="50"/>
      <c r="UN225" s="50"/>
      <c r="UO225" s="50"/>
      <c r="UP225" s="50"/>
      <c r="UQ225" s="50"/>
      <c r="UR225" s="50"/>
      <c r="US225" s="50"/>
      <c r="UT225" s="50"/>
      <c r="UU225" s="50"/>
      <c r="UV225" s="50"/>
      <c r="WF225">
        <v>200</v>
      </c>
      <c r="WH225">
        <v>207</v>
      </c>
      <c r="WI225">
        <v>186</v>
      </c>
      <c r="ZT225">
        <v>13.5</v>
      </c>
      <c r="ZW225">
        <v>12.4</v>
      </c>
      <c r="AAA225">
        <v>13.1</v>
      </c>
      <c r="AAG225">
        <v>13.2</v>
      </c>
      <c r="ACO225">
        <v>1</v>
      </c>
      <c r="ACT225">
        <v>0.37</v>
      </c>
      <c r="ACY225">
        <v>0.49</v>
      </c>
      <c r="AKF225">
        <v>0.6</v>
      </c>
      <c r="AKI225">
        <v>0.7</v>
      </c>
      <c r="AKM225">
        <v>0.6</v>
      </c>
      <c r="AKS225">
        <v>0.7</v>
      </c>
      <c r="ANA225" s="50"/>
      <c r="ANB225" s="50"/>
      <c r="ANC225" s="50"/>
      <c r="AND225" s="50"/>
      <c r="ANE225" s="50"/>
      <c r="ANF225" s="50"/>
      <c r="ANG225" s="50"/>
      <c r="ANH225" s="50"/>
      <c r="ANI225" s="50"/>
      <c r="ANJ225" s="50"/>
      <c r="APL225" s="50"/>
      <c r="APM225" s="50"/>
      <c r="APN225" s="50"/>
      <c r="APO225" s="50"/>
      <c r="APP225" s="50"/>
      <c r="APQ225" s="50"/>
      <c r="APR225" s="50"/>
      <c r="APS225" s="50"/>
      <c r="APT225" s="50"/>
      <c r="APU225" s="50"/>
      <c r="APV225" s="50"/>
      <c r="APW225" s="50"/>
      <c r="APX225" s="50"/>
      <c r="APY225" s="50"/>
      <c r="APZ225" s="50"/>
      <c r="AQA225" s="50"/>
      <c r="AQB225" s="50"/>
      <c r="AQC225" s="50"/>
      <c r="AQD225" s="50"/>
      <c r="AQE225" s="50"/>
      <c r="AQF225" s="50"/>
      <c r="AQG225" s="50"/>
      <c r="AQH225" s="50"/>
      <c r="AQI225" s="50"/>
      <c r="AQJ225" s="50"/>
      <c r="AQK225" s="50"/>
      <c r="AQL225" s="50"/>
      <c r="ARK225">
        <v>4700000</v>
      </c>
      <c r="ARN225">
        <v>4300000</v>
      </c>
      <c r="ARR225">
        <v>4500000</v>
      </c>
      <c r="ARX225">
        <v>4400000</v>
      </c>
      <c r="BGQ225">
        <v>137</v>
      </c>
      <c r="BGT225">
        <v>140</v>
      </c>
      <c r="BGX225">
        <v>136</v>
      </c>
      <c r="BHD225">
        <v>132</v>
      </c>
      <c r="BHW225">
        <v>3.3</v>
      </c>
      <c r="BHZ225">
        <v>3.5</v>
      </c>
      <c r="BID225">
        <v>3.7</v>
      </c>
      <c r="BIJ225">
        <v>4.0999999999999996</v>
      </c>
      <c r="BLW225">
        <v>107</v>
      </c>
      <c r="BLZ225">
        <v>144</v>
      </c>
      <c r="BMD225">
        <v>97</v>
      </c>
      <c r="BMJ225">
        <v>97</v>
      </c>
      <c r="BMQ225" s="50"/>
      <c r="BMR225" s="50"/>
      <c r="BMS225" s="50"/>
      <c r="BMT225" s="50"/>
      <c r="BMU225" s="50"/>
      <c r="BMV225" s="50"/>
      <c r="BMW225" s="50"/>
      <c r="BMX225" s="50"/>
      <c r="BNA225">
        <v>25</v>
      </c>
      <c r="BZE225">
        <v>400</v>
      </c>
      <c r="BZF225">
        <v>1</v>
      </c>
      <c r="BZI225">
        <v>1</v>
      </c>
      <c r="BZK225">
        <v>21</v>
      </c>
      <c r="BZL225">
        <v>10</v>
      </c>
      <c r="BZM225">
        <v>0</v>
      </c>
      <c r="BZN225">
        <v>10</v>
      </c>
      <c r="BZQ225" s="50">
        <v>1500</v>
      </c>
      <c r="BZR225" s="50">
        <v>1</v>
      </c>
      <c r="BZU225">
        <v>1</v>
      </c>
      <c r="BZW225">
        <v>4</v>
      </c>
      <c r="BZX225">
        <v>3</v>
      </c>
      <c r="BZY225">
        <v>0</v>
      </c>
      <c r="BZZ225">
        <v>0</v>
      </c>
      <c r="CPN225">
        <v>250</v>
      </c>
      <c r="CPO225">
        <v>2</v>
      </c>
      <c r="CPR225">
        <v>1</v>
      </c>
      <c r="CPS225">
        <v>10</v>
      </c>
      <c r="CPT225">
        <v>7</v>
      </c>
      <c r="CPU225">
        <v>0</v>
      </c>
      <c r="CPV225">
        <v>2</v>
      </c>
      <c r="CYI225">
        <v>1</v>
      </c>
      <c r="CYJ225" s="35">
        <v>999</v>
      </c>
      <c r="CYK225">
        <v>14</v>
      </c>
      <c r="CYL225">
        <v>0</v>
      </c>
      <c r="CYM225">
        <v>999</v>
      </c>
      <c r="DMQ225">
        <v>10</v>
      </c>
      <c r="DMR225">
        <v>1</v>
      </c>
      <c r="DMU225">
        <v>1</v>
      </c>
      <c r="DMV225" s="35">
        <v>999</v>
      </c>
      <c r="DMW225">
        <v>13</v>
      </c>
      <c r="DMX225">
        <v>0</v>
      </c>
      <c r="DMY225">
        <v>999</v>
      </c>
      <c r="EMC225">
        <v>40</v>
      </c>
      <c r="EMD225">
        <v>1</v>
      </c>
      <c r="EMG225">
        <v>1</v>
      </c>
      <c r="EMH225" s="35">
        <v>999</v>
      </c>
      <c r="EMI225">
        <v>13</v>
      </c>
      <c r="EMJ225">
        <v>0</v>
      </c>
      <c r="EMK225">
        <v>999</v>
      </c>
      <c r="FMG225">
        <v>20</v>
      </c>
      <c r="FMH225">
        <v>1</v>
      </c>
      <c r="FMK225">
        <v>1</v>
      </c>
      <c r="FML225">
        <v>7</v>
      </c>
      <c r="FMM225">
        <v>13</v>
      </c>
      <c r="FMN225">
        <v>6</v>
      </c>
      <c r="FMO225">
        <v>0</v>
      </c>
      <c r="FNL225">
        <v>30</v>
      </c>
      <c r="FNM225">
        <v>1</v>
      </c>
      <c r="FNP225">
        <v>1</v>
      </c>
      <c r="FNQ225">
        <v>16</v>
      </c>
      <c r="FNR225">
        <v>13</v>
      </c>
      <c r="FNS225">
        <v>0</v>
      </c>
      <c r="FNT225">
        <v>2</v>
      </c>
      <c r="GAE225">
        <v>1</v>
      </c>
      <c r="GAF225" s="35">
        <v>999</v>
      </c>
      <c r="GAG225">
        <v>11</v>
      </c>
      <c r="GAH225">
        <v>0</v>
      </c>
      <c r="GAI225">
        <v>999</v>
      </c>
      <c r="GRM225" t="s">
        <v>2618</v>
      </c>
      <c r="GRN225">
        <v>1</v>
      </c>
      <c r="GRR225" s="35">
        <v>999</v>
      </c>
      <c r="GRS225">
        <v>6</v>
      </c>
      <c r="GRT225">
        <v>0</v>
      </c>
      <c r="GRU225">
        <v>999</v>
      </c>
    </row>
    <row r="226" spans="1:981 1028:2047 2049:3070 3073:4054 4168:5116 5159:5336" x14ac:dyDescent="0.25">
      <c r="A226" s="50">
        <v>9003267</v>
      </c>
      <c r="B226" s="50"/>
      <c r="C226" s="50"/>
      <c r="D226" s="50"/>
      <c r="E226" s="50"/>
      <c r="F226" s="50"/>
      <c r="G226" s="50"/>
      <c r="H226" s="50"/>
      <c r="FX226" s="50"/>
      <c r="FY226" s="50"/>
      <c r="FZ226" s="50"/>
      <c r="GA226" s="50"/>
      <c r="HR226">
        <v>6500</v>
      </c>
      <c r="HV226">
        <v>13100</v>
      </c>
      <c r="HX226">
        <v>16000</v>
      </c>
      <c r="HZ226">
        <v>15700</v>
      </c>
      <c r="IB226">
        <v>11800</v>
      </c>
      <c r="JR226">
        <v>240</v>
      </c>
      <c r="JT226">
        <v>342</v>
      </c>
      <c r="JW226">
        <v>330</v>
      </c>
      <c r="KA226">
        <v>276</v>
      </c>
      <c r="KB226">
        <v>263.39999999999998</v>
      </c>
      <c r="KY226">
        <v>29.4</v>
      </c>
      <c r="NG226">
        <v>345</v>
      </c>
      <c r="NI226">
        <v>471.6</v>
      </c>
      <c r="OM226">
        <v>45.6</v>
      </c>
      <c r="QU226">
        <v>272.39999999999998</v>
      </c>
      <c r="QZ226">
        <v>352.2</v>
      </c>
      <c r="RD226">
        <v>258</v>
      </c>
      <c r="RE226" s="3">
        <v>266.39999999999998</v>
      </c>
      <c r="RZ226">
        <v>40.200000000000003</v>
      </c>
      <c r="TM226">
        <v>540</v>
      </c>
      <c r="TV226">
        <v>516</v>
      </c>
      <c r="UK226" s="50"/>
      <c r="UL226" s="50"/>
      <c r="UM226" s="50"/>
      <c r="UN226" s="50"/>
      <c r="UO226" s="50">
        <v>52020</v>
      </c>
      <c r="UP226" s="50"/>
      <c r="UQ226" s="50">
        <v>57900</v>
      </c>
      <c r="UR226" s="50"/>
      <c r="US226" s="50">
        <v>55800</v>
      </c>
      <c r="UT226" s="50"/>
      <c r="UU226" s="50"/>
      <c r="UV226" s="50"/>
      <c r="AGV226">
        <v>218.4</v>
      </c>
      <c r="AGX226" s="3">
        <v>289.2</v>
      </c>
      <c r="AHE226">
        <v>222</v>
      </c>
      <c r="AHF226">
        <v>228.6</v>
      </c>
      <c r="AKG226">
        <v>0.85970000000000002</v>
      </c>
      <c r="ANA226" s="50"/>
      <c r="ANB226" s="50"/>
      <c r="ANC226" s="50"/>
      <c r="AND226" s="50"/>
      <c r="ANE226" s="50"/>
      <c r="ANF226" s="50"/>
      <c r="ANG226" s="50"/>
      <c r="ANH226" s="50"/>
      <c r="ANI226" s="50"/>
      <c r="ANJ226" s="50"/>
      <c r="ANZ226">
        <v>53.5</v>
      </c>
      <c r="AOH226">
        <v>9.1999999999999993</v>
      </c>
      <c r="APL226" s="50"/>
      <c r="APM226" s="59">
        <v>12.6126</v>
      </c>
      <c r="APN226" s="50"/>
      <c r="APO226" s="50"/>
      <c r="APP226" s="50"/>
      <c r="APQ226" s="50"/>
      <c r="APR226" s="50"/>
      <c r="APS226" s="50"/>
      <c r="APT226" s="50"/>
      <c r="APU226" s="50"/>
      <c r="APV226" s="50"/>
      <c r="APW226" s="50"/>
      <c r="APX226" s="50"/>
      <c r="APY226" s="50"/>
      <c r="APZ226" s="50"/>
      <c r="AQA226" s="50"/>
      <c r="AQB226" s="50"/>
      <c r="AQC226" s="50"/>
      <c r="AQD226" s="50"/>
      <c r="AQE226" s="50"/>
      <c r="AQF226" s="50"/>
      <c r="AQG226" s="50"/>
      <c r="AQH226" s="50"/>
      <c r="AQI226" s="50"/>
      <c r="AQJ226" s="50"/>
      <c r="AQK226" s="50"/>
      <c r="AQL226" s="50"/>
      <c r="ASW226">
        <v>115000</v>
      </c>
      <c r="ASX226">
        <v>120000</v>
      </c>
      <c r="BDK226" s="3">
        <v>28.1995</v>
      </c>
      <c r="BDL226" s="3">
        <v>27.5549</v>
      </c>
      <c r="BKV226">
        <v>419</v>
      </c>
      <c r="BMQ226" s="50"/>
      <c r="BMR226" s="50"/>
      <c r="BMS226" s="50"/>
      <c r="BMT226" s="50"/>
      <c r="BMU226" s="50"/>
      <c r="BMV226" s="50"/>
      <c r="BMW226" s="50"/>
      <c r="BMX226" s="50"/>
      <c r="BOR226">
        <v>14.9</v>
      </c>
      <c r="BOT226">
        <v>26.2</v>
      </c>
      <c r="BZQ226" s="50">
        <v>500</v>
      </c>
      <c r="BZR226" s="50">
        <v>1</v>
      </c>
      <c r="BZU226">
        <v>1</v>
      </c>
      <c r="BZW226">
        <v>6</v>
      </c>
      <c r="BZX226">
        <v>4</v>
      </c>
      <c r="BZY226">
        <v>0</v>
      </c>
      <c r="BZZ226">
        <v>1</v>
      </c>
      <c r="CBI226">
        <v>500</v>
      </c>
      <c r="CBJ226">
        <v>1</v>
      </c>
      <c r="CBM226">
        <v>1</v>
      </c>
      <c r="CBN226">
        <v>5</v>
      </c>
      <c r="CBO226">
        <v>1</v>
      </c>
      <c r="CBP226">
        <v>0</v>
      </c>
      <c r="CBQ226">
        <v>3</v>
      </c>
    </row>
    <row r="227" spans="1:981 1028:2047 2049:3070 3073:4054 4168:5116 5159:5336" x14ac:dyDescent="0.25">
      <c r="A227" s="50">
        <v>9036964</v>
      </c>
      <c r="B227" s="50"/>
      <c r="C227" s="50"/>
      <c r="D227" s="50"/>
      <c r="E227" s="50"/>
      <c r="F227" s="50"/>
      <c r="G227" s="50"/>
      <c r="H227" s="50"/>
      <c r="FX227" s="50"/>
      <c r="FY227" s="50"/>
      <c r="FZ227" s="50"/>
      <c r="GA227" s="50"/>
      <c r="IU227">
        <v>50.4</v>
      </c>
      <c r="IV227">
        <v>83.7</v>
      </c>
      <c r="IY227">
        <v>15</v>
      </c>
      <c r="JQ227">
        <v>307</v>
      </c>
      <c r="JR227">
        <v>357</v>
      </c>
      <c r="JS227">
        <v>405</v>
      </c>
      <c r="JW227">
        <v>130</v>
      </c>
      <c r="MG227">
        <v>43.8</v>
      </c>
      <c r="MH227">
        <v>57.2</v>
      </c>
      <c r="MM227">
        <v>43.8</v>
      </c>
      <c r="NF227">
        <v>210</v>
      </c>
      <c r="NG227">
        <v>242</v>
      </c>
      <c r="NH227">
        <v>273</v>
      </c>
      <c r="NL227">
        <v>170</v>
      </c>
      <c r="PY227">
        <v>120.6</v>
      </c>
      <c r="QT227">
        <v>317</v>
      </c>
      <c r="QU227">
        <v>281</v>
      </c>
      <c r="TL227">
        <v>486</v>
      </c>
      <c r="TM227">
        <v>463</v>
      </c>
      <c r="TN227">
        <v>395</v>
      </c>
      <c r="TR227">
        <v>232</v>
      </c>
      <c r="UK227" s="50"/>
      <c r="UL227" s="50"/>
      <c r="UM227" s="50"/>
      <c r="UN227" s="50"/>
      <c r="UO227" s="50"/>
      <c r="UP227" s="50"/>
      <c r="UQ227" s="50"/>
      <c r="UR227" s="50"/>
      <c r="US227" s="50"/>
      <c r="UT227" s="50"/>
      <c r="UU227" s="50"/>
      <c r="UV227" s="50"/>
      <c r="ZU227">
        <v>15.79</v>
      </c>
      <c r="ABS227">
        <v>0.21149999999999999</v>
      </c>
      <c r="ACI227">
        <v>0.15379999999999999</v>
      </c>
      <c r="ACM227">
        <v>0.10630000000000001</v>
      </c>
      <c r="AGA227">
        <v>246</v>
      </c>
      <c r="AGU227">
        <v>242</v>
      </c>
      <c r="AGV227">
        <v>229</v>
      </c>
      <c r="AGW227">
        <v>193</v>
      </c>
      <c r="AHA227">
        <v>174</v>
      </c>
      <c r="ANA227" s="50"/>
      <c r="ANB227" s="50"/>
      <c r="ANC227" s="50"/>
      <c r="AND227" s="50"/>
      <c r="ANE227" s="50"/>
      <c r="ANF227" s="50"/>
      <c r="ANG227" s="50"/>
      <c r="ANH227" s="50"/>
      <c r="ANI227" s="50"/>
      <c r="ANJ227" s="50"/>
      <c r="ANZ227">
        <v>20.100000000000001</v>
      </c>
      <c r="AOA227">
        <v>17.7</v>
      </c>
      <c r="BAM227">
        <v>46</v>
      </c>
      <c r="BHY227">
        <v>3.6</v>
      </c>
      <c r="BHZ227">
        <v>3.4</v>
      </c>
      <c r="BLG227">
        <v>36.200000000000003</v>
      </c>
      <c r="BZQ227" s="50">
        <v>500</v>
      </c>
      <c r="BZR227" s="50">
        <v>1</v>
      </c>
      <c r="BZU227">
        <v>1</v>
      </c>
      <c r="BZW227">
        <v>153</v>
      </c>
      <c r="BZY227">
        <v>0</v>
      </c>
      <c r="BZZ227">
        <v>1</v>
      </c>
      <c r="CAC227">
        <v>100</v>
      </c>
      <c r="CAD227">
        <v>1</v>
      </c>
      <c r="CAG227">
        <v>1</v>
      </c>
      <c r="CAH227">
        <v>305</v>
      </c>
      <c r="CAJ227">
        <v>0</v>
      </c>
      <c r="CAK227">
        <v>2</v>
      </c>
      <c r="DHP227">
        <v>16</v>
      </c>
      <c r="DHQ227">
        <v>1</v>
      </c>
      <c r="DHT227">
        <v>1</v>
      </c>
      <c r="DHU227">
        <v>999</v>
      </c>
      <c r="DHV227">
        <v>999</v>
      </c>
      <c r="DHW227">
        <v>0</v>
      </c>
      <c r="DHX227">
        <v>1</v>
      </c>
      <c r="DNU227">
        <v>20</v>
      </c>
      <c r="DNV227">
        <v>1</v>
      </c>
      <c r="DNY227">
        <v>1</v>
      </c>
      <c r="DNZ227" s="35">
        <v>999</v>
      </c>
      <c r="DOA227">
        <v>153</v>
      </c>
      <c r="DOB227">
        <v>0</v>
      </c>
      <c r="DOC227">
        <v>999</v>
      </c>
      <c r="DWL227">
        <v>200</v>
      </c>
      <c r="DWM227">
        <v>1</v>
      </c>
      <c r="DWP227">
        <v>1</v>
      </c>
      <c r="DWQ227" s="35">
        <v>999</v>
      </c>
      <c r="DWS227">
        <v>0</v>
      </c>
      <c r="DWT227">
        <v>999</v>
      </c>
      <c r="ECZ227">
        <v>10</v>
      </c>
      <c r="EDA227">
        <v>1</v>
      </c>
      <c r="EDD227">
        <v>1</v>
      </c>
      <c r="EDE227">
        <v>305</v>
      </c>
      <c r="EDG227">
        <v>0</v>
      </c>
      <c r="EDH227">
        <v>1</v>
      </c>
      <c r="EDJ227">
        <v>1400</v>
      </c>
      <c r="EDK227">
        <v>3</v>
      </c>
      <c r="EDN227">
        <v>1</v>
      </c>
      <c r="EDO227" s="35">
        <v>999</v>
      </c>
      <c r="EDQ227">
        <v>0</v>
      </c>
      <c r="EDR227">
        <v>999</v>
      </c>
      <c r="EDX227">
        <v>1</v>
      </c>
      <c r="EDY227" s="35">
        <v>999</v>
      </c>
      <c r="EDZ227">
        <v>244</v>
      </c>
      <c r="EEA227">
        <v>0</v>
      </c>
      <c r="EEB227">
        <v>999</v>
      </c>
      <c r="EFQ227">
        <v>1</v>
      </c>
      <c r="EFS227" s="35">
        <v>999</v>
      </c>
      <c r="EFT227">
        <v>999</v>
      </c>
      <c r="EFU227">
        <v>0</v>
      </c>
      <c r="EFV227">
        <v>999</v>
      </c>
      <c r="GMF227">
        <v>125</v>
      </c>
      <c r="GMG227">
        <v>1</v>
      </c>
      <c r="GMJ227">
        <v>1</v>
      </c>
      <c r="GMK227">
        <v>7</v>
      </c>
      <c r="GML227">
        <v>9</v>
      </c>
      <c r="GMM227">
        <v>3</v>
      </c>
      <c r="GMN227">
        <v>0</v>
      </c>
      <c r="GUP227">
        <v>1</v>
      </c>
    </row>
    <row r="228" spans="1:981 1028:2047 2049:3070 3073:4054 4168:5116 5159:5336" x14ac:dyDescent="0.25">
      <c r="A228" s="50">
        <v>9090287</v>
      </c>
      <c r="B228" s="50"/>
      <c r="C228" s="50"/>
      <c r="D228" s="50"/>
      <c r="E228" s="50"/>
      <c r="F228" s="50"/>
      <c r="G228" s="50"/>
      <c r="H228" s="50"/>
      <c r="BE228">
        <v>36</v>
      </c>
      <c r="BF228">
        <v>42</v>
      </c>
      <c r="BG228">
        <v>69</v>
      </c>
      <c r="BH228">
        <v>86</v>
      </c>
      <c r="CO228">
        <v>2.04</v>
      </c>
      <c r="CP228">
        <v>1.69</v>
      </c>
      <c r="EI228">
        <v>40.200000000000003</v>
      </c>
      <c r="FX228" s="50"/>
      <c r="FY228" s="50"/>
      <c r="FZ228" s="50"/>
      <c r="GA228" s="50"/>
      <c r="HS228">
        <v>7090</v>
      </c>
      <c r="JS228">
        <v>7837</v>
      </c>
      <c r="JT228">
        <v>4410</v>
      </c>
      <c r="JU228">
        <v>817</v>
      </c>
      <c r="JV228">
        <v>291</v>
      </c>
      <c r="JW228">
        <v>131</v>
      </c>
      <c r="NH228">
        <v>9462</v>
      </c>
      <c r="NI228">
        <v>7114</v>
      </c>
      <c r="NJ228">
        <v>4107</v>
      </c>
      <c r="NK228">
        <v>2881</v>
      </c>
      <c r="NL228">
        <v>1819</v>
      </c>
      <c r="QW228">
        <v>207</v>
      </c>
      <c r="TN228">
        <v>4314</v>
      </c>
      <c r="UK228" s="50"/>
      <c r="UL228" s="50"/>
      <c r="UM228" s="50"/>
      <c r="UN228" s="50"/>
      <c r="UO228" s="50"/>
      <c r="UP228" s="50"/>
      <c r="UQ228" s="50"/>
      <c r="UR228" s="50"/>
      <c r="US228" s="50"/>
      <c r="UT228" s="50"/>
      <c r="UU228" s="50"/>
      <c r="UV228" s="50"/>
      <c r="ZV228">
        <v>13.21</v>
      </c>
      <c r="ZW228">
        <v>11.76</v>
      </c>
      <c r="ZY228">
        <v>12.41</v>
      </c>
      <c r="ZZ228">
        <v>12.09</v>
      </c>
      <c r="ACI228">
        <v>0.53959999999999997</v>
      </c>
      <c r="ACJ228">
        <v>0.63009999999999999</v>
      </c>
      <c r="ACK228">
        <v>0.67079999999999995</v>
      </c>
      <c r="ACL228">
        <v>0.45700000000000002</v>
      </c>
      <c r="ACM228">
        <v>0.26919999999999999</v>
      </c>
      <c r="AGW228">
        <v>48</v>
      </c>
      <c r="AGX228">
        <v>53</v>
      </c>
      <c r="AKH228">
        <v>0.88009999999999999</v>
      </c>
      <c r="AKI228">
        <v>0.76470000000000005</v>
      </c>
      <c r="ANA228" s="50"/>
      <c r="ANB228" s="50"/>
      <c r="ANC228" s="50"/>
      <c r="AND228" s="50"/>
      <c r="ANE228" s="50"/>
      <c r="ANF228" s="50"/>
      <c r="ANG228" s="50"/>
      <c r="ANH228" s="50"/>
      <c r="ANI228" s="50"/>
      <c r="ANJ228" s="50"/>
      <c r="AOA228">
        <v>36.200000000000003</v>
      </c>
      <c r="AOB228">
        <v>40.5</v>
      </c>
      <c r="APO228" s="3">
        <v>37.329599999999999</v>
      </c>
      <c r="ASX228">
        <v>12000</v>
      </c>
      <c r="ASY228">
        <v>19000</v>
      </c>
      <c r="ATA228">
        <v>84000</v>
      </c>
      <c r="ATB228">
        <v>129000</v>
      </c>
      <c r="AYH228">
        <v>7.43</v>
      </c>
      <c r="AYR228">
        <v>2.9</v>
      </c>
      <c r="AYX228">
        <v>26.8</v>
      </c>
      <c r="AZL228">
        <v>41.253386671511002</v>
      </c>
      <c r="BAO228">
        <v>34</v>
      </c>
      <c r="BAQ228">
        <v>36</v>
      </c>
      <c r="BAR228">
        <v>36</v>
      </c>
      <c r="BGS228">
        <v>130</v>
      </c>
      <c r="BGT228">
        <v>133</v>
      </c>
      <c r="BJB228">
        <v>2.1</v>
      </c>
      <c r="BJC228">
        <v>2.0699999999999998</v>
      </c>
      <c r="BNG228">
        <v>54.7</v>
      </c>
      <c r="BNH228">
        <v>35.4</v>
      </c>
      <c r="BNI228">
        <v>52</v>
      </c>
      <c r="BZQ228" s="50">
        <v>500</v>
      </c>
      <c r="BZR228" s="50">
        <v>20</v>
      </c>
      <c r="BZU228">
        <v>1</v>
      </c>
      <c r="BZW228">
        <v>1</v>
      </c>
      <c r="BZX228">
        <v>1</v>
      </c>
      <c r="BZY228">
        <v>1</v>
      </c>
      <c r="BZZ228">
        <v>0</v>
      </c>
    </row>
    <row r="229" spans="1:981 1028:2047 2049:3070 3073:4054 4168:5116 5159:5336" x14ac:dyDescent="0.25">
      <c r="A229" s="50">
        <v>9095148</v>
      </c>
      <c r="B229" s="50"/>
      <c r="C229" s="50"/>
      <c r="D229" s="50"/>
      <c r="E229" s="50"/>
      <c r="F229" s="50"/>
      <c r="G229" s="50"/>
      <c r="H229" s="50"/>
      <c r="BC229">
        <v>69</v>
      </c>
      <c r="BD229">
        <v>85</v>
      </c>
      <c r="CM229">
        <v>1.3</v>
      </c>
      <c r="CN229">
        <v>1.1100000000000001</v>
      </c>
      <c r="EG229">
        <v>43.3</v>
      </c>
      <c r="EH229">
        <v>32.200000000000003</v>
      </c>
      <c r="FN229">
        <v>82</v>
      </c>
      <c r="FX229" s="50"/>
      <c r="FY229" s="50">
        <v>3465</v>
      </c>
      <c r="FZ229" s="50"/>
      <c r="GA229" s="50"/>
      <c r="GJ229">
        <v>64</v>
      </c>
      <c r="GZ229">
        <v>26600</v>
      </c>
      <c r="HC229">
        <v>14100</v>
      </c>
      <c r="HG229">
        <v>2490</v>
      </c>
      <c r="HR229">
        <v>3610</v>
      </c>
      <c r="HS229">
        <v>3160</v>
      </c>
      <c r="HT229">
        <v>3550</v>
      </c>
      <c r="HU229">
        <v>7330</v>
      </c>
      <c r="NG229">
        <v>46</v>
      </c>
      <c r="QS229" s="50"/>
      <c r="QT229" s="50"/>
      <c r="QU229" s="50">
        <v>213</v>
      </c>
      <c r="QV229" s="50"/>
      <c r="QW229" s="50"/>
      <c r="QX229" s="50"/>
      <c r="QY229" s="50"/>
      <c r="TM229">
        <v>446</v>
      </c>
      <c r="UK229" s="50"/>
      <c r="UL229" s="50"/>
      <c r="UM229" s="50"/>
      <c r="UN229" s="50"/>
      <c r="UO229" s="50"/>
      <c r="UP229" s="50"/>
      <c r="UQ229" s="50"/>
      <c r="UR229" s="50"/>
      <c r="US229" s="50"/>
      <c r="UT229" s="50"/>
      <c r="UU229" s="50"/>
      <c r="UV229" s="50"/>
      <c r="YN229" s="14">
        <v>5.5</v>
      </c>
      <c r="YO229">
        <v>16</v>
      </c>
      <c r="YP229">
        <v>11</v>
      </c>
      <c r="AFN229">
        <v>6.1</v>
      </c>
      <c r="AGV229">
        <v>209</v>
      </c>
      <c r="AKF229">
        <v>0.7</v>
      </c>
      <c r="AKG229">
        <v>0.65</v>
      </c>
      <c r="AKH229">
        <v>0.68</v>
      </c>
      <c r="AKI229">
        <v>0.65</v>
      </c>
      <c r="ANA229" s="50"/>
      <c r="ANB229" s="50"/>
      <c r="ANC229" s="50"/>
      <c r="AND229" s="50"/>
      <c r="ANE229" s="50"/>
      <c r="ANF229" s="50"/>
      <c r="ANG229" s="50"/>
      <c r="ANH229" s="50"/>
      <c r="ANI229" s="50"/>
      <c r="ANJ229" s="50"/>
      <c r="ANY229">
        <v>41</v>
      </c>
      <c r="ANZ229">
        <v>32.1</v>
      </c>
      <c r="AOA229">
        <v>46.1</v>
      </c>
      <c r="AOB229">
        <v>85.1</v>
      </c>
      <c r="APM229">
        <v>32</v>
      </c>
      <c r="ASH229">
        <v>42</v>
      </c>
      <c r="ASV229" s="14">
        <v>65500</v>
      </c>
      <c r="ASW229" s="14">
        <v>84000</v>
      </c>
      <c r="ASX229" s="14">
        <v>117000</v>
      </c>
      <c r="ASY229">
        <v>163000</v>
      </c>
      <c r="AVN229">
        <v>95.7</v>
      </c>
      <c r="AVS229">
        <v>30</v>
      </c>
      <c r="AVW229">
        <v>7</v>
      </c>
      <c r="AVZ229">
        <v>41.7</v>
      </c>
      <c r="AXH229">
        <v>46</v>
      </c>
      <c r="BGR229">
        <v>132</v>
      </c>
      <c r="BGS229">
        <v>130</v>
      </c>
      <c r="BGT229">
        <v>128</v>
      </c>
      <c r="BHX229">
        <v>3.7</v>
      </c>
      <c r="BHY229">
        <v>3.2</v>
      </c>
      <c r="BHZ229">
        <v>3.4</v>
      </c>
      <c r="BZQ229" s="50">
        <v>1000</v>
      </c>
      <c r="BZR229" s="50">
        <v>1</v>
      </c>
      <c r="BZS229">
        <v>1</v>
      </c>
      <c r="BZW229">
        <v>14</v>
      </c>
      <c r="BZX229">
        <v>17</v>
      </c>
      <c r="BZY229">
        <v>4</v>
      </c>
      <c r="BZZ229">
        <v>0</v>
      </c>
      <c r="CBI229">
        <v>500</v>
      </c>
      <c r="CBJ229">
        <v>1</v>
      </c>
      <c r="CBK229">
        <v>1</v>
      </c>
      <c r="CBN229">
        <v>1</v>
      </c>
      <c r="CBO229">
        <v>3</v>
      </c>
      <c r="CBP229">
        <v>3</v>
      </c>
      <c r="CBQ229">
        <v>0</v>
      </c>
      <c r="CNO229">
        <v>0.5</v>
      </c>
      <c r="CNP229">
        <v>2</v>
      </c>
      <c r="CNQ229">
        <v>1</v>
      </c>
      <c r="CNS229" s="50"/>
      <c r="CNT229">
        <v>11</v>
      </c>
      <c r="CNU229">
        <v>13</v>
      </c>
      <c r="CNV229">
        <v>3</v>
      </c>
      <c r="CNW229">
        <v>0</v>
      </c>
      <c r="CVT229">
        <v>80</v>
      </c>
      <c r="CVU229">
        <v>1</v>
      </c>
      <c r="CVV229">
        <v>1</v>
      </c>
      <c r="CVY229">
        <v>2</v>
      </c>
      <c r="CVZ229">
        <v>5</v>
      </c>
      <c r="CWA229">
        <v>4</v>
      </c>
      <c r="CWB229">
        <v>0</v>
      </c>
      <c r="CWO229">
        <v>2000</v>
      </c>
      <c r="CWP229">
        <v>1</v>
      </c>
      <c r="CWQ229">
        <v>1</v>
      </c>
      <c r="CWT229">
        <v>14</v>
      </c>
      <c r="CWU229">
        <v>16</v>
      </c>
      <c r="CWV229">
        <v>3</v>
      </c>
      <c r="CWW229">
        <v>0</v>
      </c>
      <c r="DDJ229">
        <v>20</v>
      </c>
      <c r="DDK229">
        <v>2</v>
      </c>
      <c r="DDL229">
        <v>1</v>
      </c>
      <c r="DDO229">
        <v>3</v>
      </c>
      <c r="DDP229">
        <v>3</v>
      </c>
      <c r="DDQ229">
        <v>1</v>
      </c>
      <c r="DDR229">
        <v>0</v>
      </c>
      <c r="DJO229">
        <v>2.5</v>
      </c>
      <c r="DJS229">
        <v>0</v>
      </c>
      <c r="DJT229" s="15">
        <v>999</v>
      </c>
      <c r="DJU229">
        <v>999</v>
      </c>
      <c r="DJV229">
        <v>19</v>
      </c>
      <c r="DJW229">
        <v>0</v>
      </c>
      <c r="DQY229">
        <v>7.0000000000000007E-2</v>
      </c>
      <c r="DQZ229">
        <v>1</v>
      </c>
      <c r="DRC229">
        <v>1</v>
      </c>
      <c r="DRD229" s="15">
        <v>999</v>
      </c>
      <c r="DRE229">
        <v>999</v>
      </c>
      <c r="DRF229">
        <v>0</v>
      </c>
      <c r="DRG229">
        <v>4</v>
      </c>
      <c r="DXQ229">
        <v>2500</v>
      </c>
      <c r="DXR229">
        <v>1</v>
      </c>
      <c r="DXU229">
        <v>1</v>
      </c>
      <c r="DXW229">
        <v>1</v>
      </c>
      <c r="DXX229">
        <v>2</v>
      </c>
      <c r="DXY229">
        <v>2</v>
      </c>
      <c r="DXZ229">
        <v>0</v>
      </c>
      <c r="DZJ229">
        <v>2.5</v>
      </c>
      <c r="DZK229">
        <v>1</v>
      </c>
      <c r="DZN229">
        <v>1</v>
      </c>
      <c r="DZP229">
        <v>3</v>
      </c>
      <c r="DZQ229">
        <v>1</v>
      </c>
      <c r="DZR229">
        <v>0</v>
      </c>
      <c r="DZS229">
        <v>1</v>
      </c>
      <c r="EEP229">
        <v>10</v>
      </c>
      <c r="EEQ229">
        <v>1</v>
      </c>
      <c r="EET229">
        <v>1</v>
      </c>
      <c r="EEU229">
        <v>999</v>
      </c>
      <c r="EEV229">
        <v>10</v>
      </c>
      <c r="EEW229">
        <v>0</v>
      </c>
      <c r="EHL229">
        <v>10</v>
      </c>
      <c r="EHM229">
        <v>1</v>
      </c>
      <c r="EHP229">
        <v>1</v>
      </c>
      <c r="EHQ229">
        <v>1</v>
      </c>
      <c r="EHR229">
        <v>2</v>
      </c>
      <c r="EHS229">
        <v>0</v>
      </c>
      <c r="EHT229">
        <v>2</v>
      </c>
      <c r="EKO229">
        <v>1</v>
      </c>
      <c r="EKR229">
        <v>1</v>
      </c>
      <c r="EKS229">
        <v>999</v>
      </c>
      <c r="EKT229">
        <v>999</v>
      </c>
      <c r="EKU229">
        <v>2</v>
      </c>
      <c r="EKV229">
        <v>0</v>
      </c>
      <c r="EMC229">
        <v>40</v>
      </c>
      <c r="EMD229">
        <v>1</v>
      </c>
      <c r="EMG229">
        <v>1</v>
      </c>
      <c r="EMH229" s="15">
        <v>999</v>
      </c>
      <c r="EMI229">
        <v>999</v>
      </c>
      <c r="EMJ229">
        <v>0</v>
      </c>
      <c r="EMK229">
        <v>4</v>
      </c>
      <c r="FSB229">
        <v>400</v>
      </c>
      <c r="FSC229">
        <v>1</v>
      </c>
      <c r="FSD229">
        <v>1</v>
      </c>
      <c r="FSG229">
        <v>6</v>
      </c>
      <c r="FSH229">
        <v>9</v>
      </c>
      <c r="FSI229">
        <v>4</v>
      </c>
      <c r="FSJ229">
        <v>0</v>
      </c>
    </row>
    <row r="230" spans="1:981 1028:2047 2049:3070 3073:4054 4168:5116 5159:5336" x14ac:dyDescent="0.25">
      <c r="A230" s="50">
        <v>9104979</v>
      </c>
      <c r="B230" s="50"/>
      <c r="C230" s="50"/>
      <c r="D230" s="50"/>
      <c r="E230" s="50"/>
      <c r="F230" s="50"/>
      <c r="G230" s="50"/>
      <c r="H230" s="50"/>
      <c r="FX230" s="50"/>
      <c r="FY230" s="50"/>
      <c r="FZ230" s="50"/>
      <c r="GA230" s="50"/>
      <c r="JT230">
        <v>196</v>
      </c>
      <c r="JW230">
        <v>153</v>
      </c>
      <c r="KA230">
        <v>249</v>
      </c>
      <c r="KE230">
        <v>156</v>
      </c>
      <c r="KV230">
        <v>106</v>
      </c>
      <c r="LF230">
        <v>62</v>
      </c>
      <c r="NI230">
        <v>215</v>
      </c>
      <c r="NL230">
        <v>109</v>
      </c>
      <c r="NP230">
        <v>297</v>
      </c>
      <c r="NT230">
        <v>207</v>
      </c>
      <c r="OJ230">
        <v>68</v>
      </c>
      <c r="OV230">
        <v>38</v>
      </c>
      <c r="QS230" s="50"/>
      <c r="QT230" s="50"/>
      <c r="QU230" s="50"/>
      <c r="QV230" s="50"/>
      <c r="QW230" s="50"/>
      <c r="QX230" s="50"/>
      <c r="QY230" s="50"/>
      <c r="UK230" s="50"/>
      <c r="UL230" s="50"/>
      <c r="UM230" s="50"/>
      <c r="UN230" s="50"/>
      <c r="UO230" s="50"/>
      <c r="UP230" s="50"/>
      <c r="UQ230" s="50"/>
      <c r="UR230" s="50"/>
      <c r="US230" s="50"/>
      <c r="UT230" s="50"/>
      <c r="UU230" s="50"/>
      <c r="UV230" s="50"/>
      <c r="ACF230" s="50"/>
      <c r="ACG230" s="50"/>
      <c r="ACJ230">
        <v>5.4</v>
      </c>
      <c r="ACM230">
        <v>2.1</v>
      </c>
      <c r="ACQ230">
        <v>2.4</v>
      </c>
      <c r="ACU230">
        <v>1.3</v>
      </c>
      <c r="ADD230" s="50"/>
      <c r="ADE230" s="50"/>
      <c r="ADJ230">
        <v>7.8</v>
      </c>
      <c r="ADQ230">
        <v>4.5</v>
      </c>
      <c r="AGX230">
        <v>377</v>
      </c>
      <c r="AHA230">
        <v>355</v>
      </c>
      <c r="AHE230">
        <v>512</v>
      </c>
      <c r="AHI230">
        <v>483</v>
      </c>
      <c r="AIA230">
        <v>68</v>
      </c>
      <c r="AIG230">
        <v>38</v>
      </c>
      <c r="ANA230" s="50"/>
      <c r="ANB230" s="50"/>
      <c r="ANC230" s="50"/>
      <c r="AND230" s="50"/>
      <c r="ANE230" s="50"/>
      <c r="ANF230" s="50"/>
      <c r="ANG230" s="50">
        <v>3598</v>
      </c>
      <c r="ANH230" s="50"/>
      <c r="ANI230" s="50">
        <v>68</v>
      </c>
      <c r="ANJ230" s="50"/>
      <c r="BZQ230" s="50">
        <v>500</v>
      </c>
      <c r="BZR230" s="50">
        <v>1</v>
      </c>
      <c r="BZU230">
        <v>1</v>
      </c>
      <c r="BZW230">
        <v>11</v>
      </c>
      <c r="BZX230">
        <v>7</v>
      </c>
      <c r="BZY230">
        <v>0</v>
      </c>
      <c r="BZZ230">
        <v>3</v>
      </c>
      <c r="CBM230">
        <v>1</v>
      </c>
      <c r="CBN230">
        <v>13</v>
      </c>
      <c r="CBO230">
        <v>6</v>
      </c>
      <c r="CBP230">
        <v>0</v>
      </c>
      <c r="CBQ230">
        <v>6</v>
      </c>
      <c r="DIT230">
        <v>10</v>
      </c>
      <c r="DIX230">
        <v>1</v>
      </c>
      <c r="DIY230">
        <v>999</v>
      </c>
      <c r="DIZ230">
        <v>999</v>
      </c>
      <c r="DJA230">
        <v>0</v>
      </c>
      <c r="DJB230">
        <v>12</v>
      </c>
      <c r="DQN230">
        <v>400</v>
      </c>
      <c r="DQO230">
        <v>1</v>
      </c>
      <c r="DQS230">
        <v>1</v>
      </c>
      <c r="DQT230">
        <v>1</v>
      </c>
      <c r="DQU230">
        <v>12</v>
      </c>
      <c r="DQV230">
        <v>12</v>
      </c>
      <c r="DQW230">
        <v>0</v>
      </c>
      <c r="EAP230" s="50"/>
      <c r="EAQ230">
        <v>1</v>
      </c>
      <c r="EAT230">
        <v>1</v>
      </c>
      <c r="EAV230">
        <v>7</v>
      </c>
      <c r="EAW230">
        <v>6</v>
      </c>
      <c r="EAX230">
        <v>0</v>
      </c>
      <c r="EAY230">
        <v>0</v>
      </c>
      <c r="EMC230">
        <v>20</v>
      </c>
      <c r="EMD230">
        <v>1</v>
      </c>
      <c r="EMG230">
        <v>1</v>
      </c>
      <c r="EMH230">
        <v>11</v>
      </c>
      <c r="EMI230">
        <v>7</v>
      </c>
      <c r="EMJ230">
        <v>0</v>
      </c>
      <c r="EMK230">
        <v>3</v>
      </c>
      <c r="FDH230">
        <v>70</v>
      </c>
      <c r="FDI230">
        <v>1</v>
      </c>
      <c r="FDL230">
        <v>1</v>
      </c>
      <c r="FDM230">
        <v>8</v>
      </c>
      <c r="FDN230">
        <v>4</v>
      </c>
      <c r="FDO230">
        <v>0</v>
      </c>
      <c r="FDP230">
        <v>3</v>
      </c>
    </row>
    <row r="231" spans="1:981 1028:2047 2049:3070 3073:4054 4168:5116 5159:5336" x14ac:dyDescent="0.25">
      <c r="A231" s="50">
        <v>9139514</v>
      </c>
      <c r="B231" s="50"/>
      <c r="C231" s="50"/>
      <c r="D231" s="50"/>
      <c r="E231" s="50"/>
      <c r="F231" s="50"/>
      <c r="G231" s="50"/>
      <c r="H231" s="50"/>
      <c r="FX231" s="50"/>
      <c r="FY231" s="50"/>
      <c r="FZ231" s="50"/>
      <c r="GA231" s="50"/>
      <c r="KA231">
        <v>1773</v>
      </c>
      <c r="KE231">
        <v>2057</v>
      </c>
      <c r="KF231">
        <v>1986</v>
      </c>
      <c r="KR231">
        <v>717</v>
      </c>
      <c r="LG231">
        <v>164</v>
      </c>
      <c r="NP231">
        <v>2988</v>
      </c>
      <c r="NU231">
        <v>2666</v>
      </c>
      <c r="OG231">
        <v>940</v>
      </c>
      <c r="OW231">
        <v>209</v>
      </c>
      <c r="PB231">
        <v>190</v>
      </c>
      <c r="QS231" s="50"/>
      <c r="QT231" s="50"/>
      <c r="QU231" s="50"/>
      <c r="QV231" s="50"/>
      <c r="QW231" s="50"/>
      <c r="QX231" s="50"/>
      <c r="QY231" s="50"/>
      <c r="UK231" s="50"/>
      <c r="UL231" s="50"/>
      <c r="UM231" s="50"/>
      <c r="UN231" s="50"/>
      <c r="UO231" s="50"/>
      <c r="UP231" s="50"/>
      <c r="UQ231" s="50"/>
      <c r="UR231" s="50"/>
      <c r="US231" s="50"/>
      <c r="UT231" s="50"/>
      <c r="UU231" s="50"/>
      <c r="UV231" s="50"/>
      <c r="ACF231" s="50"/>
      <c r="ACG231" s="50"/>
      <c r="ACQ231">
        <v>7.71</v>
      </c>
      <c r="ACV231">
        <v>17.260000000000002</v>
      </c>
      <c r="ADD231" s="50">
        <v>41</v>
      </c>
      <c r="ADE231" s="50"/>
      <c r="ADF231">
        <v>31</v>
      </c>
      <c r="ADR231">
        <v>7</v>
      </c>
      <c r="ADW231">
        <v>5</v>
      </c>
      <c r="AEB231">
        <v>2.2000000000000002</v>
      </c>
      <c r="AHE231">
        <v>343</v>
      </c>
      <c r="AHU231">
        <v>248</v>
      </c>
      <c r="ANA231" s="50"/>
      <c r="ANB231" s="50"/>
      <c r="ANC231" s="50"/>
      <c r="AND231" s="50"/>
      <c r="ANE231" s="50"/>
      <c r="ANF231" s="50"/>
      <c r="ANG231" s="50"/>
      <c r="ANH231" s="50"/>
      <c r="ANI231" s="50"/>
      <c r="ANJ231" s="50"/>
      <c r="BZE231">
        <v>600</v>
      </c>
      <c r="BZF231">
        <v>3</v>
      </c>
      <c r="BZI231">
        <v>1</v>
      </c>
      <c r="BZK231">
        <v>330</v>
      </c>
      <c r="BZL231">
        <v>330</v>
      </c>
      <c r="BZM231">
        <v>0</v>
      </c>
      <c r="BZN231">
        <v>21</v>
      </c>
      <c r="BZQ231" s="50">
        <v>500</v>
      </c>
      <c r="BZR231" s="50">
        <v>2</v>
      </c>
      <c r="BZU231">
        <v>1</v>
      </c>
      <c r="BZW231">
        <v>999</v>
      </c>
      <c r="BZX231">
        <v>999</v>
      </c>
      <c r="BZY231">
        <v>61</v>
      </c>
      <c r="BZZ231">
        <v>0</v>
      </c>
      <c r="CAD231">
        <v>2</v>
      </c>
      <c r="CAG231">
        <v>1</v>
      </c>
      <c r="CAH231">
        <v>720</v>
      </c>
      <c r="CAI231">
        <v>720</v>
      </c>
      <c r="CAJ231">
        <v>0</v>
      </c>
      <c r="CAK231">
        <v>4</v>
      </c>
      <c r="CFT231">
        <v>50</v>
      </c>
      <c r="CFU231">
        <v>3</v>
      </c>
      <c r="CFX231">
        <v>1</v>
      </c>
      <c r="CFY231">
        <v>360</v>
      </c>
      <c r="CGA231">
        <v>0</v>
      </c>
      <c r="CGB231">
        <v>2</v>
      </c>
      <c r="DVR231">
        <v>23.75</v>
      </c>
      <c r="DVS231">
        <v>1</v>
      </c>
      <c r="DVV231">
        <v>1</v>
      </c>
      <c r="DVW231">
        <v>720</v>
      </c>
      <c r="DVX231">
        <v>720</v>
      </c>
      <c r="DVY231">
        <v>0</v>
      </c>
      <c r="DVZ231">
        <v>10</v>
      </c>
      <c r="GLO231">
        <v>1</v>
      </c>
      <c r="GLP231">
        <v>720</v>
      </c>
      <c r="GLQ231">
        <v>720</v>
      </c>
      <c r="GLR231">
        <v>0</v>
      </c>
      <c r="GLS231">
        <v>10</v>
      </c>
    </row>
    <row r="232" spans="1:981 1028:2047 2049:3070 3073:4054 4168:5116 5159:5336" x14ac:dyDescent="0.25">
      <c r="A232" s="50">
        <v>10020659</v>
      </c>
      <c r="B232" s="50"/>
      <c r="C232" s="50"/>
      <c r="D232" s="50"/>
      <c r="E232" s="50"/>
      <c r="F232" s="50"/>
      <c r="G232" s="50"/>
      <c r="H232" s="50"/>
      <c r="J232" s="50"/>
      <c r="K232" s="50"/>
      <c r="L232" s="50"/>
      <c r="M232" s="50"/>
      <c r="N232" s="50"/>
      <c r="AT232">
        <v>28</v>
      </c>
      <c r="AZ232">
        <v>17</v>
      </c>
      <c r="BK232">
        <v>99</v>
      </c>
      <c r="CM232">
        <v>4.2</v>
      </c>
      <c r="FX232" s="50"/>
      <c r="FY232" s="50"/>
      <c r="FZ232" s="50"/>
      <c r="GA232" s="50"/>
      <c r="HQ232">
        <v>3800</v>
      </c>
      <c r="IT232">
        <v>76.2</v>
      </c>
      <c r="JP232" s="50"/>
      <c r="JQ232" s="50">
        <v>624</v>
      </c>
      <c r="JR232" s="50">
        <v>360</v>
      </c>
      <c r="JS232" s="50"/>
      <c r="JY232">
        <v>67.8</v>
      </c>
      <c r="MF232" s="3">
        <v>108.6</v>
      </c>
      <c r="ML232">
        <v>120</v>
      </c>
      <c r="NF232">
        <v>288.60000000000002</v>
      </c>
      <c r="NG232">
        <v>208.8</v>
      </c>
      <c r="NI232">
        <v>157.80000000000001</v>
      </c>
      <c r="NN232">
        <v>85.2</v>
      </c>
      <c r="PX232">
        <v>183.6</v>
      </c>
      <c r="QC232">
        <v>322.8</v>
      </c>
      <c r="QS232" s="50"/>
      <c r="QT232" s="50">
        <v>1350</v>
      </c>
      <c r="QU232" s="50">
        <v>1064.4000000000001</v>
      </c>
      <c r="QV232" s="50"/>
      <c r="QW232" s="50">
        <v>1000.8</v>
      </c>
      <c r="QX232" s="50"/>
      <c r="QY232" s="50"/>
      <c r="RB232">
        <v>447</v>
      </c>
      <c r="UK232" s="50"/>
      <c r="UL232" s="50">
        <v>21060</v>
      </c>
      <c r="UM232" s="50"/>
      <c r="UN232" s="50">
        <v>165780</v>
      </c>
      <c r="UO232" s="50">
        <v>55920</v>
      </c>
      <c r="UP232" s="50"/>
      <c r="UQ232" s="50"/>
      <c r="UR232" s="50"/>
      <c r="US232" s="50"/>
      <c r="UT232" s="50"/>
      <c r="UU232" s="50"/>
      <c r="UV232" s="50"/>
      <c r="VN232" s="3">
        <v>789.35140000000001</v>
      </c>
      <c r="VP232" s="3">
        <v>33.596600000000002</v>
      </c>
      <c r="ACF232" s="50"/>
      <c r="ACG232" s="50"/>
      <c r="ACJ232">
        <v>0.15840000000000001</v>
      </c>
      <c r="ADD232" s="50"/>
      <c r="ADE232" s="50"/>
      <c r="AGB232">
        <v>85.2</v>
      </c>
      <c r="AGV232">
        <v>133.80000000000001</v>
      </c>
      <c r="AKF232" s="3">
        <v>1.1086</v>
      </c>
      <c r="ANA232" s="50"/>
      <c r="ANB232" s="50"/>
      <c r="ANC232" s="50"/>
      <c r="AND232" s="50"/>
      <c r="ANE232" s="50"/>
      <c r="ANF232" s="50"/>
      <c r="ANG232" s="50"/>
      <c r="ANH232" s="50"/>
      <c r="ANI232" s="50"/>
      <c r="ANJ232" s="50"/>
      <c r="ANY232">
        <v>2</v>
      </c>
      <c r="BNH232">
        <v>42</v>
      </c>
      <c r="BZQ232" s="50">
        <v>1000</v>
      </c>
      <c r="BZR232" s="50">
        <v>1</v>
      </c>
      <c r="BZU232">
        <v>1</v>
      </c>
      <c r="BZW232">
        <v>36</v>
      </c>
      <c r="BZX232">
        <v>37</v>
      </c>
      <c r="BZY232">
        <v>2</v>
      </c>
      <c r="BZZ232">
        <v>0</v>
      </c>
      <c r="DJO232">
        <v>7.5</v>
      </c>
      <c r="DJP232">
        <v>2</v>
      </c>
      <c r="DJS232">
        <v>1</v>
      </c>
      <c r="DJT232" s="35">
        <v>999</v>
      </c>
      <c r="DJU232">
        <v>720</v>
      </c>
      <c r="DJV232">
        <v>0</v>
      </c>
      <c r="DJW232">
        <v>999</v>
      </c>
      <c r="DNA232">
        <v>5</v>
      </c>
      <c r="DNB232">
        <v>1</v>
      </c>
      <c r="DNE232">
        <v>1</v>
      </c>
      <c r="DNF232">
        <v>999</v>
      </c>
      <c r="DNG232">
        <v>720</v>
      </c>
      <c r="DNH232">
        <v>0</v>
      </c>
      <c r="DNI232">
        <v>999</v>
      </c>
      <c r="DQY232">
        <v>7.0000000000000007E-2</v>
      </c>
      <c r="DQZ232">
        <v>1</v>
      </c>
      <c r="DRC232">
        <v>1</v>
      </c>
      <c r="DRD232" s="35">
        <v>999</v>
      </c>
      <c r="DRE232">
        <v>720</v>
      </c>
      <c r="DRF232">
        <v>0</v>
      </c>
      <c r="DRG232">
        <v>999</v>
      </c>
      <c r="DXG232">
        <v>3</v>
      </c>
      <c r="DXH232">
        <v>1</v>
      </c>
      <c r="DXK232">
        <v>1</v>
      </c>
      <c r="DXL232">
        <v>720</v>
      </c>
      <c r="DXM232">
        <v>720</v>
      </c>
      <c r="DXN232">
        <v>2</v>
      </c>
      <c r="DXO232">
        <v>0</v>
      </c>
      <c r="EBU232">
        <v>1</v>
      </c>
      <c r="EBV232">
        <v>1</v>
      </c>
      <c r="EBY232">
        <v>1</v>
      </c>
      <c r="EBZ232">
        <v>720</v>
      </c>
      <c r="ECA232">
        <v>720</v>
      </c>
      <c r="ECB232">
        <v>2</v>
      </c>
      <c r="ECC232">
        <v>0</v>
      </c>
      <c r="ECZ232">
        <v>1</v>
      </c>
      <c r="EDA232">
        <v>1</v>
      </c>
      <c r="EDD232">
        <v>1</v>
      </c>
      <c r="EDE232">
        <v>720</v>
      </c>
      <c r="EDF232">
        <v>720</v>
      </c>
      <c r="EDG232">
        <v>2</v>
      </c>
      <c r="EDH232">
        <v>0</v>
      </c>
      <c r="EMC232">
        <v>40</v>
      </c>
      <c r="EMD232">
        <v>2</v>
      </c>
      <c r="EMG232">
        <v>1</v>
      </c>
      <c r="EMH232">
        <v>999</v>
      </c>
      <c r="EMI232">
        <v>720</v>
      </c>
      <c r="EMJ232">
        <v>0</v>
      </c>
      <c r="EMK232">
        <v>999</v>
      </c>
      <c r="EYP232">
        <v>18</v>
      </c>
      <c r="EYQ232">
        <v>1</v>
      </c>
      <c r="EYR232">
        <v>1</v>
      </c>
      <c r="EYU232" s="35">
        <v>999</v>
      </c>
      <c r="EYV232">
        <v>720</v>
      </c>
      <c r="EYW232">
        <v>0</v>
      </c>
      <c r="EYX232">
        <v>999</v>
      </c>
    </row>
    <row r="233" spans="1:981 1028:2047 2049:3070 3073:4054 4168:5116 5159:5336" x14ac:dyDescent="0.25">
      <c r="A233" s="50">
        <v>10025902</v>
      </c>
      <c r="B233" s="50"/>
      <c r="C233" s="50"/>
      <c r="D233" s="50"/>
      <c r="E233" s="50"/>
      <c r="F233" s="50"/>
      <c r="G233" s="50"/>
      <c r="H233" s="50"/>
      <c r="J233" s="50"/>
      <c r="K233" s="50"/>
      <c r="L233" s="50"/>
      <c r="M233" s="50"/>
      <c r="N233" s="50"/>
      <c r="BJ233">
        <v>65</v>
      </c>
      <c r="BM233">
        <v>75</v>
      </c>
      <c r="FX233" s="50"/>
      <c r="FY233" s="50"/>
      <c r="FZ233" s="50"/>
      <c r="GA233" s="50"/>
      <c r="HQ233">
        <v>11700</v>
      </c>
      <c r="JP233" s="50"/>
      <c r="JQ233" s="50">
        <v>751.2</v>
      </c>
      <c r="JR233" s="50">
        <v>618</v>
      </c>
      <c r="JS233" s="50"/>
      <c r="JW233" s="3">
        <v>446.4</v>
      </c>
      <c r="JX233">
        <v>306</v>
      </c>
      <c r="KA233">
        <v>132.6</v>
      </c>
      <c r="KD233">
        <v>52.2</v>
      </c>
      <c r="NF233">
        <v>1413</v>
      </c>
      <c r="NG233">
        <v>1169.4000000000001</v>
      </c>
      <c r="NL233">
        <v>906</v>
      </c>
      <c r="NM233" s="3">
        <v>733.8</v>
      </c>
      <c r="NP233">
        <v>395.4</v>
      </c>
      <c r="NS233">
        <v>206.4</v>
      </c>
      <c r="QS233" s="50"/>
      <c r="QT233" s="50">
        <v>678</v>
      </c>
      <c r="QU233" s="50">
        <v>546.6</v>
      </c>
      <c r="QV233" s="50"/>
      <c r="QW233" s="50"/>
      <c r="QX233" s="50"/>
      <c r="QY233" s="50"/>
      <c r="QZ233">
        <v>414.6</v>
      </c>
      <c r="RA233">
        <v>362.4</v>
      </c>
      <c r="RD233">
        <v>285</v>
      </c>
      <c r="RG233">
        <v>233.4</v>
      </c>
      <c r="RM233">
        <v>351</v>
      </c>
      <c r="UK233" s="50"/>
      <c r="UL233" s="50"/>
      <c r="UM233" s="50"/>
      <c r="UN233" s="50">
        <v>99600</v>
      </c>
      <c r="UO233" s="50"/>
      <c r="UP233" s="50"/>
      <c r="UQ233" s="50"/>
      <c r="UR233" s="50"/>
      <c r="US233" s="50"/>
      <c r="UT233" s="50"/>
      <c r="UU233" s="50"/>
      <c r="UV233" s="50"/>
      <c r="ACF233" s="50"/>
      <c r="ACG233" s="50">
        <v>0.56559999999999999</v>
      </c>
      <c r="ACH233">
        <v>0.37330000000000002</v>
      </c>
      <c r="ADD233" s="50"/>
      <c r="ADE233" s="50"/>
      <c r="AEJ233">
        <v>0.4491</v>
      </c>
      <c r="AEK233">
        <v>0.2828</v>
      </c>
      <c r="AGV233">
        <v>682.2</v>
      </c>
      <c r="AHE233">
        <v>541.79999999999995</v>
      </c>
      <c r="AKF233">
        <v>0.96150000000000002</v>
      </c>
      <c r="ANA233" s="50"/>
      <c r="ANB233" s="50"/>
      <c r="ANC233" s="50"/>
      <c r="AND233" s="50"/>
      <c r="ANE233" s="50"/>
      <c r="ANF233" s="50"/>
      <c r="ANG233" s="50"/>
      <c r="ANH233" s="50"/>
      <c r="ANI233" s="50"/>
      <c r="ANJ233" s="50"/>
      <c r="ANY233">
        <v>41.8</v>
      </c>
      <c r="ANZ233">
        <v>34</v>
      </c>
      <c r="AOF233">
        <v>9</v>
      </c>
      <c r="AOQ233">
        <v>38.5</v>
      </c>
      <c r="BZQ233" s="50">
        <v>1000</v>
      </c>
      <c r="BZR233" s="50">
        <v>1</v>
      </c>
      <c r="BZU233">
        <v>1</v>
      </c>
      <c r="BZW233">
        <v>7</v>
      </c>
      <c r="BZX233">
        <v>9</v>
      </c>
      <c r="BZY233">
        <v>3</v>
      </c>
      <c r="BZZ233">
        <v>0</v>
      </c>
      <c r="CUZ233">
        <v>500</v>
      </c>
      <c r="CVA233">
        <v>1</v>
      </c>
      <c r="CVD233">
        <v>1</v>
      </c>
      <c r="CVE233">
        <v>7</v>
      </c>
      <c r="CVF233">
        <v>9</v>
      </c>
      <c r="CVG233">
        <v>3</v>
      </c>
      <c r="CVH233">
        <v>0</v>
      </c>
      <c r="CXU233">
        <v>100</v>
      </c>
      <c r="CXV233">
        <v>1</v>
      </c>
      <c r="CXY233">
        <v>1</v>
      </c>
      <c r="CXZ233">
        <v>999</v>
      </c>
      <c r="CYA233">
        <v>999</v>
      </c>
      <c r="CYB233">
        <v>0</v>
      </c>
      <c r="CYC233">
        <v>0</v>
      </c>
      <c r="DCZ233">
        <v>50</v>
      </c>
      <c r="DDA233">
        <v>1</v>
      </c>
      <c r="DDC233">
        <v>1</v>
      </c>
      <c r="DDD233" s="35">
        <v>999</v>
      </c>
      <c r="DDE233">
        <v>999</v>
      </c>
      <c r="DDF233">
        <v>0</v>
      </c>
      <c r="DDG233">
        <v>999</v>
      </c>
      <c r="EXN233">
        <v>1</v>
      </c>
      <c r="FXM233">
        <v>1</v>
      </c>
      <c r="GRM233">
        <v>0.4</v>
      </c>
      <c r="GRN233">
        <v>1</v>
      </c>
      <c r="GRQ233">
        <v>1</v>
      </c>
      <c r="GRR233" s="35">
        <v>999</v>
      </c>
      <c r="GRT233">
        <v>0</v>
      </c>
      <c r="GRU233">
        <v>999</v>
      </c>
    </row>
    <row r="234" spans="1:981 1028:2047 2049:3070 3073:4054 4168:5116 5159:5336" x14ac:dyDescent="0.25">
      <c r="A234" s="50">
        <v>10027654</v>
      </c>
      <c r="B234" s="50"/>
      <c r="C234" s="50"/>
      <c r="D234" s="50"/>
      <c r="E234" s="50"/>
      <c r="F234" s="50"/>
      <c r="G234" s="50"/>
      <c r="H234" s="50"/>
      <c r="J234" s="50"/>
      <c r="K234" s="50"/>
      <c r="L234" s="50"/>
      <c r="M234" s="50"/>
      <c r="N234" s="50"/>
      <c r="JP234" s="50"/>
      <c r="JQ234" s="50"/>
      <c r="JR234" s="50">
        <v>32</v>
      </c>
      <c r="JS234" s="50"/>
      <c r="JV234">
        <v>61</v>
      </c>
      <c r="KD234">
        <v>39</v>
      </c>
      <c r="KS234">
        <v>26</v>
      </c>
      <c r="MN234">
        <v>61</v>
      </c>
      <c r="NF234">
        <v>168</v>
      </c>
      <c r="NG234">
        <v>122</v>
      </c>
      <c r="NH234">
        <v>85</v>
      </c>
      <c r="OH234">
        <v>38</v>
      </c>
      <c r="UK234" s="50"/>
      <c r="UL234" s="50"/>
      <c r="UM234" s="50"/>
      <c r="UN234" s="50"/>
      <c r="UO234" s="50"/>
      <c r="UP234" s="50"/>
      <c r="UQ234" s="50"/>
      <c r="UR234" s="50"/>
      <c r="US234" s="50"/>
      <c r="UT234" s="50"/>
      <c r="UU234" s="50"/>
      <c r="UV234" s="50"/>
      <c r="ACF234" s="50"/>
      <c r="ACG234" s="50"/>
      <c r="ACH234">
        <v>0.7</v>
      </c>
      <c r="ACT234">
        <v>0.8</v>
      </c>
      <c r="AGD234">
        <v>101</v>
      </c>
      <c r="AHF234">
        <v>137</v>
      </c>
      <c r="AHY234">
        <v>98</v>
      </c>
      <c r="ANA234" s="50"/>
      <c r="ANB234" s="50"/>
      <c r="ANC234" s="50"/>
      <c r="AND234" s="50"/>
      <c r="ANE234" s="50"/>
      <c r="ANF234" s="50"/>
      <c r="ANG234" s="50"/>
      <c r="ANH234" s="50"/>
      <c r="ANI234" s="50"/>
      <c r="ANJ234" s="50"/>
      <c r="BZQ234" s="50">
        <v>500</v>
      </c>
      <c r="BZR234" s="50">
        <v>1</v>
      </c>
      <c r="BZU234">
        <v>1</v>
      </c>
      <c r="BZW234" s="35">
        <v>999</v>
      </c>
      <c r="BZX234">
        <v>999</v>
      </c>
      <c r="BZY234">
        <v>0</v>
      </c>
      <c r="BZZ234">
        <v>999</v>
      </c>
      <c r="FMR234">
        <v>10</v>
      </c>
      <c r="FMS234">
        <v>1</v>
      </c>
      <c r="FMV234">
        <v>1</v>
      </c>
      <c r="FMW234">
        <v>30</v>
      </c>
      <c r="FMX234">
        <v>59</v>
      </c>
      <c r="FMY234">
        <v>30</v>
      </c>
      <c r="FMZ234">
        <v>0</v>
      </c>
      <c r="FNP234">
        <v>1</v>
      </c>
      <c r="FNQ234">
        <v>30</v>
      </c>
      <c r="FNR234">
        <v>30</v>
      </c>
      <c r="FNS234">
        <v>1</v>
      </c>
      <c r="FNT234">
        <v>0</v>
      </c>
      <c r="FPN234">
        <v>1</v>
      </c>
      <c r="FPO234">
        <v>30</v>
      </c>
      <c r="FPP234">
        <v>30</v>
      </c>
      <c r="FPQ234">
        <v>1</v>
      </c>
      <c r="FPR234">
        <v>0</v>
      </c>
    </row>
    <row r="235" spans="1:981 1028:2047 2049:3070 3073:4054 4168:5116 5159:5336" x14ac:dyDescent="0.25">
      <c r="A235" s="50">
        <v>10084485</v>
      </c>
      <c r="B235" s="50"/>
      <c r="C235" s="50"/>
      <c r="D235" s="50"/>
      <c r="E235" s="50"/>
      <c r="F235" s="50"/>
      <c r="G235" s="50"/>
      <c r="H235" s="50"/>
      <c r="J235" s="50"/>
      <c r="K235" s="50"/>
      <c r="L235" s="50">
        <v>4000</v>
      </c>
      <c r="M235" s="50"/>
      <c r="N235" s="50"/>
      <c r="JP235" s="50"/>
      <c r="JQ235" s="50">
        <v>150</v>
      </c>
      <c r="JR235" s="50"/>
      <c r="JS235" s="50"/>
      <c r="NF235">
        <v>40</v>
      </c>
      <c r="QT235">
        <v>110</v>
      </c>
      <c r="UK235" s="50"/>
      <c r="UL235" s="50"/>
      <c r="UM235" s="50"/>
      <c r="UN235" s="50"/>
      <c r="UO235" s="50"/>
      <c r="UP235" s="50"/>
      <c r="UQ235" s="50"/>
      <c r="UR235" s="50"/>
      <c r="US235" s="50"/>
      <c r="UT235" s="50"/>
      <c r="UU235" s="50"/>
      <c r="UV235" s="50"/>
      <c r="ACF235" s="50"/>
      <c r="ACG235" s="50"/>
      <c r="ANA235" s="50"/>
      <c r="ANB235" s="50"/>
      <c r="ANC235" s="50"/>
      <c r="AND235" s="50"/>
      <c r="ANE235" s="50"/>
      <c r="ANF235" s="50"/>
      <c r="ANG235" s="50"/>
      <c r="ANH235" s="50"/>
      <c r="ANI235" s="50"/>
      <c r="ANJ235" s="50"/>
      <c r="BZU235">
        <v>1</v>
      </c>
      <c r="BZW235">
        <v>1</v>
      </c>
      <c r="BZX235">
        <v>1</v>
      </c>
      <c r="BZY235">
        <v>1</v>
      </c>
      <c r="BZZ235">
        <v>0</v>
      </c>
      <c r="CYI235">
        <v>1</v>
      </c>
      <c r="CYJ235">
        <v>1</v>
      </c>
      <c r="CYK235">
        <v>1</v>
      </c>
      <c r="CYL235">
        <v>1</v>
      </c>
      <c r="CYM235">
        <v>0</v>
      </c>
      <c r="FLQ235">
        <v>1</v>
      </c>
      <c r="FLR235">
        <v>1</v>
      </c>
      <c r="FLS235">
        <v>1</v>
      </c>
      <c r="FLT235">
        <v>1</v>
      </c>
      <c r="FLU235">
        <v>0</v>
      </c>
      <c r="GWF235">
        <v>1</v>
      </c>
    </row>
    <row r="236" spans="1:981 1028:2047 2049:3070 3073:4054 4168:5116 5159:5336" x14ac:dyDescent="0.25">
      <c r="A236" s="50">
        <v>10098420</v>
      </c>
      <c r="B236" s="50"/>
      <c r="C236" s="50"/>
      <c r="D236" s="50"/>
      <c r="E236" s="50"/>
      <c r="F236" s="50"/>
      <c r="G236" s="50"/>
      <c r="H236" s="50"/>
      <c r="J236" s="50"/>
      <c r="K236" s="50"/>
      <c r="L236" s="50"/>
      <c r="M236" s="50"/>
      <c r="N236" s="50"/>
      <c r="BC236">
        <v>8</v>
      </c>
      <c r="BD236">
        <v>15</v>
      </c>
      <c r="BF236">
        <v>12</v>
      </c>
      <c r="CM236">
        <v>6.07</v>
      </c>
      <c r="CN236">
        <v>4</v>
      </c>
      <c r="CO236">
        <v>4.6399999999999997</v>
      </c>
      <c r="EG236">
        <v>47</v>
      </c>
      <c r="EH236">
        <v>53</v>
      </c>
      <c r="EJ236">
        <v>57</v>
      </c>
      <c r="JP236" s="50"/>
      <c r="JQ236" s="50"/>
      <c r="JR236" s="50">
        <v>8581</v>
      </c>
      <c r="JS236" s="50">
        <v>2450</v>
      </c>
      <c r="JT236">
        <v>1391</v>
      </c>
      <c r="NF236">
        <v>6950</v>
      </c>
      <c r="NG236" s="14">
        <v>6450</v>
      </c>
      <c r="NI236">
        <v>3094</v>
      </c>
      <c r="QT236">
        <v>73</v>
      </c>
      <c r="QU236">
        <v>75</v>
      </c>
      <c r="QV236">
        <v>84</v>
      </c>
      <c r="QW236">
        <v>111</v>
      </c>
      <c r="ACH236">
        <v>4.88</v>
      </c>
      <c r="ACI236">
        <v>1.99</v>
      </c>
      <c r="AKF236">
        <v>1.48</v>
      </c>
      <c r="AKG236">
        <v>2.09</v>
      </c>
      <c r="AKI236">
        <v>5.26</v>
      </c>
      <c r="AMN236">
        <v>97</v>
      </c>
      <c r="AMO236">
        <v>127</v>
      </c>
      <c r="AMQ236">
        <v>323</v>
      </c>
      <c r="ANA236" s="50"/>
      <c r="ANB236" s="50"/>
      <c r="ANC236" s="50"/>
      <c r="AND236" s="50"/>
      <c r="ANE236" s="50"/>
      <c r="ANF236" s="50"/>
      <c r="ANG236" s="50"/>
      <c r="ANH236" s="50"/>
      <c r="ANI236" s="50"/>
      <c r="ANJ236" s="50"/>
      <c r="BZU236">
        <v>1</v>
      </c>
      <c r="BZW236">
        <v>6</v>
      </c>
    </row>
    <row r="237" spans="1:981 1028:2047 2049:3070 3073:4054 4168:5116 5159:5336" x14ac:dyDescent="0.25">
      <c r="A237" s="50">
        <v>10129565</v>
      </c>
      <c r="B237" s="50"/>
      <c r="C237" s="50"/>
      <c r="D237" s="50"/>
      <c r="E237" s="50"/>
      <c r="F237" s="50"/>
      <c r="G237" s="50"/>
      <c r="H237" s="50"/>
      <c r="JP237" s="50"/>
      <c r="JQ237" s="50"/>
      <c r="JR237" s="50">
        <v>1092</v>
      </c>
      <c r="JS237" s="50">
        <v>376.2</v>
      </c>
      <c r="JU237">
        <v>98.4</v>
      </c>
      <c r="KB237">
        <v>22.2</v>
      </c>
      <c r="NG237">
        <v>2796</v>
      </c>
      <c r="NH237">
        <v>1938</v>
      </c>
      <c r="NJ237">
        <v>1104</v>
      </c>
      <c r="NQ237">
        <v>214.8</v>
      </c>
      <c r="QU237">
        <v>435.6</v>
      </c>
      <c r="QX237" s="3">
        <v>503.4</v>
      </c>
      <c r="RE237">
        <v>201.6</v>
      </c>
      <c r="AKH237">
        <v>0.8145</v>
      </c>
      <c r="AKQ237">
        <v>0.78049999999999997</v>
      </c>
      <c r="ANZ237">
        <v>85.3</v>
      </c>
      <c r="AOA237">
        <v>56.9</v>
      </c>
      <c r="AOJ237">
        <v>3.3</v>
      </c>
      <c r="BZQ237">
        <v>2</v>
      </c>
      <c r="BZR237">
        <v>1</v>
      </c>
    </row>
    <row r="238" spans="1:981 1028:2047 2049:3070 3073:4054 4168:5116 5159:5336" x14ac:dyDescent="0.25">
      <c r="A238" s="50">
        <v>10146828</v>
      </c>
      <c r="B238" s="50"/>
      <c r="C238" s="50"/>
      <c r="D238" s="50"/>
      <c r="E238" s="50"/>
      <c r="F238" s="50"/>
      <c r="G238" s="50"/>
      <c r="H238" s="50"/>
      <c r="JP238" s="50"/>
      <c r="JQ238" s="50">
        <v>585</v>
      </c>
      <c r="JR238" s="50">
        <v>128</v>
      </c>
      <c r="JS238" s="50"/>
      <c r="JV238">
        <v>32</v>
      </c>
      <c r="KD238">
        <v>20</v>
      </c>
      <c r="NF238">
        <v>469</v>
      </c>
      <c r="NG238">
        <v>240</v>
      </c>
      <c r="NK238">
        <v>81</v>
      </c>
      <c r="NS238">
        <v>19</v>
      </c>
      <c r="ACG238">
        <v>0.4</v>
      </c>
      <c r="ACT238">
        <v>0.4</v>
      </c>
      <c r="AHH238">
        <v>156</v>
      </c>
      <c r="BZQ238">
        <v>500</v>
      </c>
      <c r="BZU238">
        <v>1</v>
      </c>
      <c r="BZW238">
        <v>18</v>
      </c>
      <c r="BZX238">
        <v>20</v>
      </c>
      <c r="BZY238">
        <v>0</v>
      </c>
      <c r="BZZ238">
        <v>0</v>
      </c>
      <c r="CAC238">
        <v>100</v>
      </c>
      <c r="CAD238">
        <v>1</v>
      </c>
      <c r="CAG238">
        <v>1</v>
      </c>
      <c r="CAH238" s="35">
        <v>999</v>
      </c>
      <c r="CAI238">
        <v>999</v>
      </c>
      <c r="CAJ238">
        <v>0</v>
      </c>
      <c r="CAK238">
        <v>999</v>
      </c>
      <c r="CIM238">
        <v>600</v>
      </c>
      <c r="CIN238">
        <v>1</v>
      </c>
      <c r="CIQ238">
        <v>1</v>
      </c>
      <c r="CIS238" s="35">
        <v>999</v>
      </c>
      <c r="CIT238">
        <v>7</v>
      </c>
      <c r="CIU238">
        <v>0</v>
      </c>
      <c r="CIV238">
        <v>999</v>
      </c>
      <c r="CIX238" s="50"/>
      <c r="CIY238">
        <v>1</v>
      </c>
      <c r="CJB238">
        <v>1</v>
      </c>
      <c r="CJC238">
        <v>3</v>
      </c>
      <c r="CJD238">
        <v>9</v>
      </c>
      <c r="CJE238">
        <v>7</v>
      </c>
      <c r="DMQ238">
        <v>10</v>
      </c>
      <c r="DMR238">
        <v>3</v>
      </c>
      <c r="DMU238">
        <v>1</v>
      </c>
      <c r="DMV238" s="35">
        <v>999</v>
      </c>
      <c r="DMW238">
        <v>999</v>
      </c>
      <c r="DMX238">
        <v>0</v>
      </c>
      <c r="DMY238">
        <v>999</v>
      </c>
      <c r="DVG238">
        <v>25</v>
      </c>
      <c r="DVH238">
        <v>1</v>
      </c>
      <c r="DVK238">
        <v>1</v>
      </c>
      <c r="DVL238" s="35">
        <v>999</v>
      </c>
      <c r="DVM238">
        <v>999</v>
      </c>
      <c r="DVN238">
        <v>0</v>
      </c>
      <c r="DVO238">
        <v>999</v>
      </c>
      <c r="DWL238">
        <v>10</v>
      </c>
      <c r="DWP238">
        <v>1</v>
      </c>
      <c r="DWQ238" s="35">
        <v>999</v>
      </c>
      <c r="DWR238">
        <v>20</v>
      </c>
      <c r="DWS238">
        <v>0</v>
      </c>
      <c r="DWT238">
        <v>999</v>
      </c>
      <c r="DYM238">
        <v>5000</v>
      </c>
      <c r="DYN238">
        <v>1</v>
      </c>
      <c r="DYP238">
        <v>1</v>
      </c>
      <c r="DYS238" s="35">
        <v>999</v>
      </c>
      <c r="DYT238">
        <v>3</v>
      </c>
      <c r="DYU238">
        <v>0</v>
      </c>
      <c r="DYV238">
        <v>999</v>
      </c>
      <c r="EBV238">
        <v>40</v>
      </c>
      <c r="EBW238">
        <v>1</v>
      </c>
      <c r="EBY238">
        <v>1</v>
      </c>
      <c r="EBZ238">
        <v>999</v>
      </c>
      <c r="ECA238">
        <v>999</v>
      </c>
      <c r="ECB238">
        <v>0</v>
      </c>
      <c r="ECC238">
        <v>0</v>
      </c>
      <c r="EQO238">
        <v>1</v>
      </c>
      <c r="EQP238">
        <v>12</v>
      </c>
      <c r="EQQ238">
        <v>12</v>
      </c>
      <c r="EQR238">
        <v>1</v>
      </c>
      <c r="EQS238">
        <v>0</v>
      </c>
    </row>
    <row r="239" spans="1:981 1028:2047 2049:3070 3073:4054 4168:5116 5159:5336" x14ac:dyDescent="0.25">
      <c r="A239">
        <v>10163776</v>
      </c>
      <c r="CM239">
        <v>5.0199999999999996</v>
      </c>
      <c r="JP239" s="50"/>
      <c r="JQ239" s="50"/>
      <c r="JR239" s="50"/>
      <c r="JS239" s="50"/>
      <c r="MJ239">
        <v>17</v>
      </c>
      <c r="NF239">
        <v>98</v>
      </c>
      <c r="QB239">
        <v>66</v>
      </c>
      <c r="QT239">
        <v>1027</v>
      </c>
      <c r="WB239">
        <v>210</v>
      </c>
      <c r="WE239">
        <v>202</v>
      </c>
      <c r="WW239">
        <v>125</v>
      </c>
      <c r="ANY239">
        <v>18.7</v>
      </c>
      <c r="BNW239">
        <v>40.4</v>
      </c>
      <c r="BZP239">
        <v>1</v>
      </c>
      <c r="CBH239">
        <v>1</v>
      </c>
      <c r="CIX239">
        <v>5</v>
      </c>
      <c r="CIY239">
        <v>1</v>
      </c>
      <c r="CJB239">
        <v>1</v>
      </c>
      <c r="CJC239">
        <v>999</v>
      </c>
      <c r="CJD239">
        <v>8</v>
      </c>
      <c r="CJE239">
        <v>0</v>
      </c>
      <c r="CJF239">
        <v>999</v>
      </c>
      <c r="DDI239">
        <v>1</v>
      </c>
      <c r="DJN239">
        <v>1</v>
      </c>
      <c r="DRS239">
        <v>1</v>
      </c>
      <c r="DXF239">
        <v>1</v>
      </c>
      <c r="ECO239">
        <v>1</v>
      </c>
      <c r="FJD239">
        <v>1</v>
      </c>
      <c r="FMQ239">
        <v>1</v>
      </c>
      <c r="GNT239">
        <v>1</v>
      </c>
      <c r="GPK239">
        <v>1</v>
      </c>
    </row>
    <row r="240" spans="1:981 1028:2047 2049:3070 3073:4054 4168:5116 5159:5336" x14ac:dyDescent="0.25">
      <c r="A240">
        <v>10173664</v>
      </c>
      <c r="B240" s="50"/>
      <c r="BF240">
        <v>77.8</v>
      </c>
      <c r="CP240">
        <v>1.1200000000000001</v>
      </c>
      <c r="EJ240">
        <v>33.4</v>
      </c>
      <c r="HT240">
        <v>6490</v>
      </c>
      <c r="IA240">
        <v>6000</v>
      </c>
      <c r="JT240">
        <v>963.6</v>
      </c>
      <c r="JV240">
        <v>779.4</v>
      </c>
      <c r="KA240">
        <v>715.2</v>
      </c>
      <c r="NI240">
        <v>2065.1999999999998</v>
      </c>
      <c r="NK240">
        <v>1780.2</v>
      </c>
      <c r="NP240">
        <v>1845.6</v>
      </c>
      <c r="QW240">
        <v>193.8</v>
      </c>
      <c r="QY240">
        <v>191.4</v>
      </c>
      <c r="RD240">
        <v>227.4</v>
      </c>
      <c r="ZW240">
        <v>15.9</v>
      </c>
      <c r="AEM240">
        <v>0.11650000000000001</v>
      </c>
      <c r="AEO240">
        <v>0.13120000000000001</v>
      </c>
      <c r="AES240">
        <v>0.2364</v>
      </c>
      <c r="AGX240">
        <v>129</v>
      </c>
      <c r="AGZ240">
        <v>118.2</v>
      </c>
      <c r="AHE240">
        <v>125.4</v>
      </c>
      <c r="AKI240">
        <v>0.73980000000000001</v>
      </c>
      <c r="AOB240">
        <v>2.1</v>
      </c>
      <c r="AOI240">
        <v>1.5</v>
      </c>
      <c r="APO240" s="3">
        <v>28.828800000000001</v>
      </c>
      <c r="ASY240">
        <v>180000</v>
      </c>
      <c r="BAO240">
        <v>46</v>
      </c>
      <c r="BDM240" s="59"/>
      <c r="BGT240">
        <v>140</v>
      </c>
      <c r="BHZ240">
        <v>4.21</v>
      </c>
      <c r="BJC240">
        <v>2.4300000000000002</v>
      </c>
      <c r="BZU240">
        <v>1</v>
      </c>
      <c r="BZW240">
        <v>92</v>
      </c>
      <c r="BZX240">
        <v>92</v>
      </c>
      <c r="BZY240">
        <v>0</v>
      </c>
      <c r="BZZ240">
        <v>0</v>
      </c>
      <c r="FEL240">
        <v>44</v>
      </c>
      <c r="FEM240">
        <v>3</v>
      </c>
      <c r="FEP240">
        <v>1</v>
      </c>
      <c r="FER240">
        <v>92</v>
      </c>
      <c r="FES240">
        <v>92</v>
      </c>
      <c r="FET240">
        <v>0</v>
      </c>
      <c r="FEU240">
        <v>0</v>
      </c>
    </row>
  </sheetData>
  <conditionalFormatting sqref="G4:K4">
    <cfRule type="duplicateValues" dxfId="68" priority="45"/>
  </conditionalFormatting>
  <conditionalFormatting sqref="P38">
    <cfRule type="duplicateValues" dxfId="67" priority="15"/>
  </conditionalFormatting>
  <conditionalFormatting sqref="P38">
    <cfRule type="duplicateValues" dxfId="66" priority="14"/>
  </conditionalFormatting>
  <conditionalFormatting sqref="A20">
    <cfRule type="duplicateValues" dxfId="65" priority="3"/>
  </conditionalFormatting>
  <conditionalFormatting sqref="B31 D31:K31">
    <cfRule type="duplicateValues" dxfId="64" priority="78"/>
  </conditionalFormatting>
  <conditionalFormatting sqref="B32 D32:K32">
    <cfRule type="duplicateValues" dxfId="63" priority="81"/>
  </conditionalFormatting>
  <conditionalFormatting sqref="B34 D34:K34">
    <cfRule type="duplicateValues" dxfId="62" priority="90"/>
  </conditionalFormatting>
  <conditionalFormatting sqref="B35 D35:K35">
    <cfRule type="duplicateValues" dxfId="61" priority="93"/>
  </conditionalFormatting>
  <conditionalFormatting sqref="B38 D38:F38">
    <cfRule type="duplicateValues" dxfId="60" priority="96"/>
  </conditionalFormatting>
  <conditionalFormatting sqref="B36 D36:K36">
    <cfRule type="duplicateValues" dxfId="59" priority="102"/>
  </conditionalFormatting>
  <conditionalFormatting sqref="B8 D8:K8">
    <cfRule type="duplicateValues" dxfId="58" priority="105"/>
  </conditionalFormatting>
  <conditionalFormatting sqref="B9 D9:K9">
    <cfRule type="duplicateValues" dxfId="57" priority="108"/>
  </conditionalFormatting>
  <conditionalFormatting sqref="B10 D10:K10">
    <cfRule type="duplicateValues" dxfId="56" priority="111"/>
  </conditionalFormatting>
  <conditionalFormatting sqref="B25 D25:F25">
    <cfRule type="duplicateValues" dxfId="55" priority="120"/>
  </conditionalFormatting>
  <conditionalFormatting sqref="B26 D26:F26">
    <cfRule type="duplicateValues" dxfId="54" priority="123"/>
  </conditionalFormatting>
  <conditionalFormatting sqref="B27 D27:F27">
    <cfRule type="duplicateValues" dxfId="53" priority="126"/>
  </conditionalFormatting>
  <conditionalFormatting sqref="D39:F39">
    <cfRule type="duplicateValues" dxfId="52" priority="129"/>
  </conditionalFormatting>
  <conditionalFormatting sqref="D40:F40">
    <cfRule type="duplicateValues" dxfId="51" priority="132"/>
  </conditionalFormatting>
  <conditionalFormatting sqref="B39">
    <cfRule type="duplicateValues" dxfId="50" priority="138"/>
  </conditionalFormatting>
  <conditionalFormatting sqref="B29 D29:F29">
    <cfRule type="duplicateValues" dxfId="49" priority="141"/>
  </conditionalFormatting>
  <conditionalFormatting sqref="B28 D28:F28">
    <cfRule type="duplicateValues" dxfId="48" priority="144"/>
  </conditionalFormatting>
  <conditionalFormatting sqref="B40">
    <cfRule type="duplicateValues" dxfId="47" priority="150"/>
  </conditionalFormatting>
  <conditionalFormatting sqref="B41 D41:F41">
    <cfRule type="duplicateValues" dxfId="46" priority="153"/>
  </conditionalFormatting>
  <conditionalFormatting sqref="B42 D42:F42">
    <cfRule type="duplicateValues" dxfId="45" priority="159"/>
  </conditionalFormatting>
  <conditionalFormatting sqref="B43 D43:F43">
    <cfRule type="duplicateValues" dxfId="44" priority="162"/>
  </conditionalFormatting>
  <conditionalFormatting sqref="B30 D30:F30">
    <cfRule type="duplicateValues" dxfId="43" priority="168"/>
  </conditionalFormatting>
  <conditionalFormatting sqref="B37 D37:K37">
    <cfRule type="duplicateValues" dxfId="42" priority="171"/>
  </conditionalFormatting>
  <conditionalFormatting sqref="B13 D13:F13">
    <cfRule type="duplicateValues" dxfId="41" priority="1"/>
  </conditionalFormatting>
  <conditionalFormatting sqref="B14 D14:F14">
    <cfRule type="duplicateValues" dxfId="40" priority="2"/>
  </conditionalFormatting>
  <conditionalFormatting sqref="B11 D11:K11 D15:K15 B15">
    <cfRule type="duplicateValues" dxfId="39" priority="269"/>
  </conditionalFormatting>
  <conditionalFormatting sqref="B33 D33:K33">
    <cfRule type="duplicateValues" dxfId="38" priority="270"/>
  </conditionalFormatting>
  <conditionalFormatting sqref="B18 D18:F18">
    <cfRule type="duplicateValues" dxfId="37" priority="323"/>
  </conditionalFormatting>
  <conditionalFormatting sqref="B69 B42 B44 D44:F44 D69:F69 D42:F42">
    <cfRule type="duplicateValues" dxfId="36" priority="32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DC62-EA08-42F9-ACEC-82579FD522E2}">
  <dimension ref="A1:AA240"/>
  <sheetViews>
    <sheetView workbookViewId="0">
      <selection activeCell="B2" sqref="B2:AA2"/>
    </sheetView>
  </sheetViews>
  <sheetFormatPr baseColWidth="10" defaultRowHeight="15" x14ac:dyDescent="0.25"/>
  <sheetData>
    <row r="1" spans="1:27" x14ac:dyDescent="0.25">
      <c r="B1" t="str">
        <f>LOWER(Tabelle1[[#Headers],[ck-12 tage vor krankheitsbeginn]])</f>
        <v>ck-12 tage vor krankheitsbeginn</v>
      </c>
      <c r="C1" t="str">
        <f>LOWER(Tabelle1[[#Headers],[ck-11 tage vor krankheitsbeginn]])</f>
        <v>ck-11 tage vor krankheitsbeginn</v>
      </c>
      <c r="D1" t="str">
        <f>LOWER(Tabelle1[[#Headers],[ck-7 tage vor krankheitsbeginn]])</f>
        <v>ck-7 tage vor krankheitsbeginn</v>
      </c>
      <c r="E1" t="str">
        <f>LOWER(Tabelle1[[#Headers],[ck-6 tage vor krankheitsbeginn]])</f>
        <v>ck-6 tage vor krankheitsbeginn</v>
      </c>
      <c r="F1" t="str">
        <f>LOWER(Tabelle1[[#Headers],[ck-4 tage vor krankheitsbeginn ]])</f>
        <v xml:space="preserve">ck-4 tage vor krankheitsbeginn </v>
      </c>
      <c r="G1" t="str">
        <f>LOWER(Tabelle1[[#Headers],[ck-3 tage vor krankheitsbeginn]])</f>
        <v>ck-3 tage vor krankheitsbeginn</v>
      </c>
      <c r="H1" t="str">
        <f>LOWER(Tabelle1[[#Headers],[ck-2 tage vor krankheitsbeginn  ]])</f>
        <v xml:space="preserve">ck-2 tage vor krankheitsbeginn  </v>
      </c>
      <c r="I1" t="str">
        <f>LOWER(Tabelle1[[#Headers],[ck-1 tag vor krankheitsbeginn  ]])</f>
        <v xml:space="preserve">ck-1 tag vor krankheitsbeginn  </v>
      </c>
      <c r="J1" t="str">
        <f>LOWER(Tabelle1[[#Headers],[ck-datum unbekannt]])</f>
        <v>ck-datum unbekannt</v>
      </c>
      <c r="K1" t="str">
        <f>LOWER(Tabelle1[[#Headers],[ck-d1 ]])</f>
        <v xml:space="preserve">ck-d1 </v>
      </c>
      <c r="L1" t="str">
        <f>LOWER(Tabelle1[[#Headers],[ck-d2]])</f>
        <v>ck-d2</v>
      </c>
      <c r="M1" t="str">
        <f>LOWER(Tabelle1[[#Headers],[ck-d3]])</f>
        <v>ck-d3</v>
      </c>
      <c r="N1" t="str">
        <f>LOWER(Tabelle1[[#Headers],[ck-d4]])</f>
        <v>ck-d4</v>
      </c>
      <c r="O1" t="str">
        <f>LOWER(Tabelle1[[#Headers],[ck-  d5]])</f>
        <v>ck-  d5</v>
      </c>
      <c r="P1" t="str">
        <f>LOWER(Tabelle1[[#Headers],[ck-d6]])</f>
        <v>ck-d6</v>
      </c>
      <c r="Q1" t="str">
        <f>LOWER(Tabelle1[[#Headers],[ck-d7]])</f>
        <v>ck-d7</v>
      </c>
      <c r="R1" t="str">
        <f>LOWER(Tabelle1[[#Headers],[ck-d1w1]])</f>
        <v>ck-d1w1</v>
      </c>
      <c r="S1" t="str">
        <f>LOWER(Tabelle1[[#Headers],[ck-d2w1]])</f>
        <v>ck-d2w1</v>
      </c>
      <c r="T1" t="str">
        <f>LOWER(Tabelle1[[#Headers],[ck-d3w1 ]])</f>
        <v xml:space="preserve">ck-d3w1 </v>
      </c>
      <c r="U1" t="str">
        <f>LOWER(Tabelle1[[#Headers],[ck-d4w1]])</f>
        <v>ck-d4w1</v>
      </c>
      <c r="V1" t="str">
        <f>LOWER(Tabelle1[[#Headers],[ck-  d6w1]])</f>
        <v>ck-  d6w1</v>
      </c>
      <c r="W1" t="str">
        <f>LOWER(Tabelle1[[#Headers],[ck-d1w2]])</f>
        <v>ck-d1w2</v>
      </c>
      <c r="X1" t="str">
        <f>LOWER(Tabelle1[[#Headers],[ck-d2w2]])</f>
        <v>ck-d2w2</v>
      </c>
      <c r="Y1" t="str">
        <f>LOWER(Tabelle1[[#Headers],[ck-d4w2 ]])</f>
        <v xml:space="preserve">ck-d4w2 </v>
      </c>
      <c r="Z1" t="str">
        <f>LOWER(Tabelle1[[#Headers],[ck-  d3w3]])</f>
        <v>ck-  d3w3</v>
      </c>
      <c r="AA1" t="str">
        <f>LOWER(Tabelle1[[#Headers],[ck-  d5w3m1]])</f>
        <v>ck-  d5w3m1</v>
      </c>
    </row>
    <row r="2" spans="1:27" ht="30" x14ac:dyDescent="0.25">
      <c r="A2" s="63" t="s">
        <v>63</v>
      </c>
      <c r="B2" t="s">
        <v>2702</v>
      </c>
      <c r="C2" t="s">
        <v>2703</v>
      </c>
      <c r="D2" t="s">
        <v>2704</v>
      </c>
      <c r="E2" t="s">
        <v>2705</v>
      </c>
      <c r="F2" t="s">
        <v>2706</v>
      </c>
      <c r="G2" t="s">
        <v>2707</v>
      </c>
      <c r="H2" t="s">
        <v>2708</v>
      </c>
      <c r="I2" t="s">
        <v>2709</v>
      </c>
      <c r="J2" t="s">
        <v>2710</v>
      </c>
      <c r="K2" t="s">
        <v>2711</v>
      </c>
      <c r="L2" t="s">
        <v>2712</v>
      </c>
      <c r="M2" t="s">
        <v>2713</v>
      </c>
      <c r="N2" t="s">
        <v>2714</v>
      </c>
      <c r="O2" t="s">
        <v>2715</v>
      </c>
      <c r="P2" t="s">
        <v>2716</v>
      </c>
      <c r="Q2" t="s">
        <v>2717</v>
      </c>
      <c r="R2" t="s">
        <v>2718</v>
      </c>
      <c r="S2" t="s">
        <v>2719</v>
      </c>
      <c r="T2" t="s">
        <v>2720</v>
      </c>
      <c r="U2" t="s">
        <v>2721</v>
      </c>
      <c r="V2" t="s">
        <v>2722</v>
      </c>
      <c r="W2" t="s">
        <v>2723</v>
      </c>
      <c r="X2" t="s">
        <v>2724</v>
      </c>
      <c r="Y2" t="s">
        <v>2725</v>
      </c>
      <c r="Z2" t="s">
        <v>2726</v>
      </c>
      <c r="AA2" t="s">
        <v>2727</v>
      </c>
    </row>
    <row r="3" spans="1:27" x14ac:dyDescent="0.25">
      <c r="A3" s="40" t="s">
        <v>575</v>
      </c>
    </row>
    <row r="4" spans="1:27" x14ac:dyDescent="0.25">
      <c r="A4" s="10" t="s">
        <v>2696</v>
      </c>
      <c r="C4" s="10"/>
      <c r="D4" s="10"/>
      <c r="E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5">
      <c r="A5">
        <v>7072184</v>
      </c>
      <c r="J5">
        <v>12.441000000000001</v>
      </c>
      <c r="K5" s="6"/>
      <c r="L5" s="6"/>
      <c r="M5" s="6"/>
      <c r="N5" s="6"/>
      <c r="O5" s="6"/>
      <c r="P5" s="6"/>
      <c r="Q5" s="6"/>
      <c r="V5" s="6"/>
      <c r="W5" s="6"/>
      <c r="X5" s="6"/>
      <c r="Y5" s="6"/>
      <c r="Z5" s="6"/>
      <c r="AA5" s="6"/>
    </row>
    <row r="6" spans="1:27" x14ac:dyDescent="0.25">
      <c r="A6">
        <v>9108231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25">
      <c r="A7">
        <v>12061933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>
        <v>95005911</v>
      </c>
    </row>
    <row r="9" spans="1:27" x14ac:dyDescent="0.25">
      <c r="A9">
        <v>99001908</v>
      </c>
    </row>
    <row r="10" spans="1:27" x14ac:dyDescent="0.25">
      <c r="A10">
        <v>99004067</v>
      </c>
    </row>
    <row r="11" spans="1:27" x14ac:dyDescent="0.25">
      <c r="A11">
        <v>97002136</v>
      </c>
    </row>
    <row r="12" spans="1:27" x14ac:dyDescent="0.25">
      <c r="A12">
        <v>1502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>
        <v>4003543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>
        <v>4900261</v>
      </c>
      <c r="F14">
        <v>18973</v>
      </c>
      <c r="G14">
        <v>12480</v>
      </c>
      <c r="H14">
        <v>13564</v>
      </c>
      <c r="J14">
        <v>18000</v>
      </c>
      <c r="K14">
        <v>7207</v>
      </c>
      <c r="M14" s="2"/>
      <c r="N14" s="2"/>
      <c r="O14" s="2"/>
      <c r="P14" s="6"/>
      <c r="Q14">
        <v>4544</v>
      </c>
      <c r="R14" s="2"/>
      <c r="S14" s="2"/>
      <c r="T14" s="2"/>
      <c r="U14" s="2"/>
      <c r="V14" s="2"/>
      <c r="W14" s="2"/>
      <c r="X14" s="2"/>
      <c r="Y14">
        <v>341</v>
      </c>
    </row>
    <row r="16" spans="1:27" x14ac:dyDescent="0.25">
      <c r="A16" s="10" t="s">
        <v>2697</v>
      </c>
      <c r="C16" s="10"/>
      <c r="D16" s="10"/>
      <c r="E16" s="1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>
        <v>14242856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>
        <v>99001183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>
        <v>3000983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25">
      <c r="A20">
        <v>10064335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25">
      <c r="A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10" t="s">
        <v>2698</v>
      </c>
      <c r="C22" s="10"/>
      <c r="D22" s="10"/>
      <c r="E22" s="1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5">
      <c r="A23">
        <v>1480</v>
      </c>
      <c r="C23" s="64"/>
      <c r="D23" s="64"/>
      <c r="E23" s="64"/>
      <c r="F23" s="64"/>
      <c r="G23" s="64"/>
      <c r="H23" s="64"/>
      <c r="I23" s="64"/>
      <c r="J23" s="64"/>
    </row>
    <row r="24" spans="1:27" x14ac:dyDescent="0.25">
      <c r="A24">
        <v>7063959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25">
      <c r="A25">
        <v>1003215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5">
      <c r="A26">
        <v>99000802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25">
      <c r="A27">
        <v>99000892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25">
      <c r="A28">
        <v>1000192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25">
      <c r="A29">
        <v>1506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25">
      <c r="A30">
        <v>99000894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25">
      <c r="A31">
        <v>99000897</v>
      </c>
    </row>
    <row r="32" spans="1:27" x14ac:dyDescent="0.25">
      <c r="A32">
        <v>99001245</v>
      </c>
    </row>
    <row r="33" spans="1:27" x14ac:dyDescent="0.25">
      <c r="A33">
        <v>99001902</v>
      </c>
    </row>
    <row r="34" spans="1:27" x14ac:dyDescent="0.25">
      <c r="A34">
        <v>99001912</v>
      </c>
    </row>
    <row r="35" spans="1:27" x14ac:dyDescent="0.25">
      <c r="A35">
        <v>99001913</v>
      </c>
    </row>
    <row r="36" spans="1:27" x14ac:dyDescent="0.25">
      <c r="A36">
        <v>99001937</v>
      </c>
    </row>
    <row r="37" spans="1:27" x14ac:dyDescent="0.25">
      <c r="A37">
        <v>99001943</v>
      </c>
    </row>
    <row r="38" spans="1:27" x14ac:dyDescent="0.25">
      <c r="A38">
        <v>99001927</v>
      </c>
    </row>
    <row r="39" spans="1:27" x14ac:dyDescent="0.25">
      <c r="A39">
        <v>1505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25">
      <c r="A40">
        <v>1000197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25">
      <c r="A41">
        <v>96018835</v>
      </c>
      <c r="K41" s="6"/>
      <c r="L41" s="6"/>
      <c r="M41" s="6"/>
      <c r="N41" s="6"/>
      <c r="O41" s="6"/>
      <c r="P41">
        <v>40</v>
      </c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5">
      <c r="A42">
        <v>98008326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25">
      <c r="A43">
        <v>99000717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25"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25">
      <c r="A45" s="25" t="s">
        <v>180</v>
      </c>
      <c r="C45" s="10"/>
      <c r="D45" s="10"/>
      <c r="E45" s="10"/>
    </row>
    <row r="46" spans="1:27" x14ac:dyDescent="0.25">
      <c r="A46" s="10" t="s">
        <v>154</v>
      </c>
      <c r="C46" s="10"/>
      <c r="D46" s="10"/>
      <c r="E46" s="10"/>
    </row>
    <row r="47" spans="1:27" x14ac:dyDescent="0.25">
      <c r="A47">
        <v>6016435</v>
      </c>
    </row>
    <row r="48" spans="1:27" x14ac:dyDescent="0.25">
      <c r="A48">
        <v>8045149</v>
      </c>
    </row>
    <row r="49" spans="1:5" x14ac:dyDescent="0.25">
      <c r="A49">
        <v>10023001</v>
      </c>
    </row>
    <row r="50" spans="1:5" x14ac:dyDescent="0.25">
      <c r="A50">
        <v>10027526</v>
      </c>
    </row>
    <row r="51" spans="1:5" x14ac:dyDescent="0.25">
      <c r="A51">
        <v>14222171</v>
      </c>
    </row>
    <row r="52" spans="1:5" x14ac:dyDescent="0.25">
      <c r="A52">
        <v>1006143</v>
      </c>
    </row>
    <row r="53" spans="1:5" x14ac:dyDescent="0.25">
      <c r="A53">
        <v>6006917</v>
      </c>
    </row>
    <row r="55" spans="1:5" x14ac:dyDescent="0.25">
      <c r="A55" s="10" t="s">
        <v>157</v>
      </c>
    </row>
    <row r="56" spans="1:5" x14ac:dyDescent="0.25">
      <c r="A56">
        <v>8057159</v>
      </c>
    </row>
    <row r="57" spans="1:5" x14ac:dyDescent="0.25">
      <c r="A57">
        <v>9140312</v>
      </c>
    </row>
    <row r="58" spans="1:5" x14ac:dyDescent="0.25">
      <c r="A58">
        <v>12008230</v>
      </c>
      <c r="C58" s="23"/>
      <c r="D58" s="23"/>
      <c r="E58" s="23"/>
    </row>
    <row r="59" spans="1:5" x14ac:dyDescent="0.25">
      <c r="A59">
        <v>12088444</v>
      </c>
      <c r="C59" s="23"/>
      <c r="D59" s="23"/>
      <c r="E59" s="23"/>
    </row>
    <row r="60" spans="1:5" x14ac:dyDescent="0.25">
      <c r="A60">
        <v>13118872</v>
      </c>
    </row>
    <row r="61" spans="1:5" x14ac:dyDescent="0.25">
      <c r="A61">
        <v>12012030</v>
      </c>
    </row>
    <row r="63" spans="1:5" x14ac:dyDescent="0.25">
      <c r="A63" s="10" t="s">
        <v>131</v>
      </c>
    </row>
    <row r="64" spans="1:5" x14ac:dyDescent="0.25">
      <c r="A64">
        <v>9074418</v>
      </c>
    </row>
    <row r="65" spans="1:27" x14ac:dyDescent="0.25">
      <c r="A65">
        <v>1263</v>
      </c>
      <c r="C65" s="64"/>
      <c r="D65" s="64"/>
      <c r="E65" s="64"/>
      <c r="F65" s="64"/>
      <c r="G65" s="64"/>
      <c r="H65" s="64"/>
      <c r="I65" s="64"/>
      <c r="J65" s="64"/>
      <c r="K65">
        <v>124</v>
      </c>
      <c r="M65">
        <v>41</v>
      </c>
    </row>
    <row r="66" spans="1:27" x14ac:dyDescent="0.25">
      <c r="A66">
        <v>98004910</v>
      </c>
    </row>
    <row r="67" spans="1:27" x14ac:dyDescent="0.25">
      <c r="A67">
        <v>7103068</v>
      </c>
    </row>
    <row r="68" spans="1:27" x14ac:dyDescent="0.25">
      <c r="A68">
        <v>11240728</v>
      </c>
    </row>
    <row r="69" spans="1:27" x14ac:dyDescent="0.25"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5">
      <c r="A70" s="26" t="s">
        <v>181</v>
      </c>
      <c r="C70" s="10"/>
      <c r="D70" s="10"/>
      <c r="E70" s="10"/>
    </row>
    <row r="71" spans="1:27" x14ac:dyDescent="0.25">
      <c r="A71" s="10" t="s">
        <v>154</v>
      </c>
    </row>
    <row r="72" spans="1:27" x14ac:dyDescent="0.25">
      <c r="A72">
        <v>5015869</v>
      </c>
    </row>
    <row r="73" spans="1:27" x14ac:dyDescent="0.25">
      <c r="A73">
        <v>5016969</v>
      </c>
    </row>
    <row r="74" spans="1:27" x14ac:dyDescent="0.25">
      <c r="A74">
        <v>6023231</v>
      </c>
      <c r="J74">
        <v>83400</v>
      </c>
    </row>
    <row r="75" spans="1:27" x14ac:dyDescent="0.25">
      <c r="A75">
        <v>6010712</v>
      </c>
    </row>
    <row r="76" spans="1:27" x14ac:dyDescent="0.25">
      <c r="A76">
        <v>6011198</v>
      </c>
    </row>
    <row r="77" spans="1:27" x14ac:dyDescent="0.25">
      <c r="A77">
        <v>6012681</v>
      </c>
    </row>
    <row r="78" spans="1:27" x14ac:dyDescent="0.25">
      <c r="A78">
        <v>6014511</v>
      </c>
    </row>
    <row r="79" spans="1:27" x14ac:dyDescent="0.25">
      <c r="A79">
        <v>6045127</v>
      </c>
    </row>
    <row r="80" spans="1:27" x14ac:dyDescent="0.25">
      <c r="A80">
        <v>7000458</v>
      </c>
    </row>
    <row r="81" spans="1:10" x14ac:dyDescent="0.25">
      <c r="A81">
        <v>7015502</v>
      </c>
    </row>
    <row r="82" spans="1:10" x14ac:dyDescent="0.25">
      <c r="A82">
        <v>7025847</v>
      </c>
    </row>
    <row r="83" spans="1:10" x14ac:dyDescent="0.25">
      <c r="A83">
        <v>7082707</v>
      </c>
    </row>
    <row r="84" spans="1:10" x14ac:dyDescent="0.25">
      <c r="A84">
        <v>7083159</v>
      </c>
    </row>
    <row r="85" spans="1:10" x14ac:dyDescent="0.25">
      <c r="A85">
        <v>7084659</v>
      </c>
    </row>
    <row r="86" spans="1:10" x14ac:dyDescent="0.25">
      <c r="A86">
        <v>7076814</v>
      </c>
    </row>
    <row r="87" spans="1:10" x14ac:dyDescent="0.25">
      <c r="A87">
        <v>7076815</v>
      </c>
    </row>
    <row r="88" spans="1:10" x14ac:dyDescent="0.25">
      <c r="A88">
        <v>7089231</v>
      </c>
    </row>
    <row r="89" spans="1:10" x14ac:dyDescent="0.25">
      <c r="A89">
        <v>7116004</v>
      </c>
      <c r="J89">
        <v>40</v>
      </c>
    </row>
    <row r="90" spans="1:10" x14ac:dyDescent="0.25">
      <c r="A90">
        <v>8003819</v>
      </c>
    </row>
    <row r="91" spans="1:10" x14ac:dyDescent="0.25">
      <c r="A91">
        <v>8091779</v>
      </c>
    </row>
    <row r="92" spans="1:10" x14ac:dyDescent="0.25">
      <c r="A92">
        <v>8097989</v>
      </c>
    </row>
    <row r="93" spans="1:10" x14ac:dyDescent="0.25">
      <c r="A93">
        <v>8112522</v>
      </c>
    </row>
    <row r="94" spans="1:10" x14ac:dyDescent="0.25">
      <c r="A94">
        <v>8127397</v>
      </c>
    </row>
    <row r="95" spans="1:10" x14ac:dyDescent="0.25">
      <c r="A95">
        <v>8130998</v>
      </c>
    </row>
    <row r="96" spans="1:10" x14ac:dyDescent="0.25">
      <c r="A96">
        <v>9002836</v>
      </c>
    </row>
    <row r="97" spans="1:1" x14ac:dyDescent="0.25">
      <c r="A97">
        <v>9003331</v>
      </c>
    </row>
    <row r="98" spans="1:1" x14ac:dyDescent="0.25">
      <c r="A98">
        <v>9003370</v>
      </c>
    </row>
    <row r="99" spans="1:1" x14ac:dyDescent="0.25">
      <c r="A99">
        <v>9016278</v>
      </c>
    </row>
    <row r="100" spans="1:1" x14ac:dyDescent="0.25">
      <c r="A100">
        <v>9030684</v>
      </c>
    </row>
    <row r="101" spans="1:1" x14ac:dyDescent="0.25">
      <c r="A101">
        <v>9031387</v>
      </c>
    </row>
    <row r="102" spans="1:1" x14ac:dyDescent="0.25">
      <c r="A102">
        <v>9038676</v>
      </c>
    </row>
    <row r="103" spans="1:1" x14ac:dyDescent="0.25">
      <c r="A103">
        <v>9039416</v>
      </c>
    </row>
    <row r="104" spans="1:1" x14ac:dyDescent="0.25">
      <c r="A104">
        <v>9042861</v>
      </c>
    </row>
    <row r="105" spans="1:1" x14ac:dyDescent="0.25">
      <c r="A105">
        <v>9044899</v>
      </c>
    </row>
    <row r="106" spans="1:1" x14ac:dyDescent="0.25">
      <c r="A106">
        <v>9052398</v>
      </c>
    </row>
    <row r="107" spans="1:1" x14ac:dyDescent="0.25">
      <c r="A107">
        <v>9085204</v>
      </c>
    </row>
    <row r="108" spans="1:1" x14ac:dyDescent="0.25">
      <c r="A108">
        <v>9090323</v>
      </c>
    </row>
    <row r="109" spans="1:1" x14ac:dyDescent="0.25">
      <c r="A109">
        <v>9105492</v>
      </c>
    </row>
    <row r="110" spans="1:1" x14ac:dyDescent="0.25">
      <c r="A110">
        <v>9138470</v>
      </c>
    </row>
    <row r="111" spans="1:1" x14ac:dyDescent="0.25">
      <c r="A111">
        <v>9150676</v>
      </c>
    </row>
    <row r="112" spans="1:1" x14ac:dyDescent="0.25">
      <c r="A112">
        <v>10010926</v>
      </c>
    </row>
    <row r="113" spans="1:21" x14ac:dyDescent="0.25">
      <c r="A113">
        <v>10016588</v>
      </c>
    </row>
    <row r="114" spans="1:21" x14ac:dyDescent="0.25">
      <c r="A114">
        <v>10030897</v>
      </c>
    </row>
    <row r="115" spans="1:21" x14ac:dyDescent="0.25">
      <c r="A115">
        <v>324</v>
      </c>
    </row>
    <row r="116" spans="1:21" x14ac:dyDescent="0.25">
      <c r="A116">
        <v>3909</v>
      </c>
    </row>
    <row r="117" spans="1:21" x14ac:dyDescent="0.25">
      <c r="A117">
        <v>4663</v>
      </c>
    </row>
    <row r="118" spans="1:21" x14ac:dyDescent="0.25">
      <c r="A118">
        <v>1005522</v>
      </c>
    </row>
    <row r="119" spans="1:21" x14ac:dyDescent="0.25">
      <c r="A119">
        <v>1007631</v>
      </c>
    </row>
    <row r="120" spans="1:21" x14ac:dyDescent="0.25">
      <c r="A120">
        <v>1009760</v>
      </c>
    </row>
    <row r="121" spans="1:21" x14ac:dyDescent="0.25">
      <c r="A121">
        <v>2000646</v>
      </c>
      <c r="K121">
        <v>1987</v>
      </c>
      <c r="L121">
        <v>5772</v>
      </c>
      <c r="R121">
        <v>1366</v>
      </c>
      <c r="S121">
        <v>1330</v>
      </c>
      <c r="T121">
        <v>1190</v>
      </c>
      <c r="U121">
        <v>1001</v>
      </c>
    </row>
    <row r="122" spans="1:21" x14ac:dyDescent="0.25">
      <c r="A122">
        <v>2003761</v>
      </c>
    </row>
    <row r="123" spans="1:21" x14ac:dyDescent="0.25">
      <c r="A123">
        <v>2004061</v>
      </c>
    </row>
    <row r="124" spans="1:21" x14ac:dyDescent="0.25">
      <c r="A124">
        <v>2006469</v>
      </c>
    </row>
    <row r="125" spans="1:21" x14ac:dyDescent="0.25">
      <c r="A125">
        <v>3005132</v>
      </c>
    </row>
    <row r="126" spans="1:21" x14ac:dyDescent="0.25">
      <c r="A126">
        <v>3009119</v>
      </c>
      <c r="K126">
        <v>250</v>
      </c>
    </row>
    <row r="127" spans="1:21" x14ac:dyDescent="0.25">
      <c r="A127">
        <v>3009936</v>
      </c>
    </row>
    <row r="128" spans="1:21" x14ac:dyDescent="0.25">
      <c r="A128">
        <v>3011094</v>
      </c>
    </row>
    <row r="129" spans="1:18" x14ac:dyDescent="0.25">
      <c r="A129">
        <v>3014643</v>
      </c>
    </row>
    <row r="130" spans="1:18" x14ac:dyDescent="0.25">
      <c r="A130">
        <v>3016056</v>
      </c>
    </row>
    <row r="131" spans="1:18" x14ac:dyDescent="0.25">
      <c r="A131">
        <v>3900219</v>
      </c>
    </row>
    <row r="132" spans="1:18" x14ac:dyDescent="0.25">
      <c r="A132">
        <v>4000158</v>
      </c>
    </row>
    <row r="133" spans="1:18" x14ac:dyDescent="0.25">
      <c r="A133">
        <v>4000304</v>
      </c>
    </row>
    <row r="134" spans="1:18" x14ac:dyDescent="0.25">
      <c r="A134">
        <v>4001905</v>
      </c>
      <c r="K134">
        <v>8209</v>
      </c>
      <c r="L134">
        <v>8047</v>
      </c>
      <c r="M134">
        <v>3881</v>
      </c>
      <c r="N134">
        <v>1505</v>
      </c>
      <c r="O134">
        <v>782</v>
      </c>
      <c r="R134">
        <v>261</v>
      </c>
    </row>
    <row r="135" spans="1:18" x14ac:dyDescent="0.25">
      <c r="A135">
        <v>4002206</v>
      </c>
    </row>
    <row r="136" spans="1:18" x14ac:dyDescent="0.25">
      <c r="A136">
        <v>4002715</v>
      </c>
    </row>
    <row r="137" spans="1:18" x14ac:dyDescent="0.25">
      <c r="A137">
        <v>4003924</v>
      </c>
    </row>
    <row r="138" spans="1:18" x14ac:dyDescent="0.25">
      <c r="A138">
        <v>4006051</v>
      </c>
    </row>
    <row r="139" spans="1:18" x14ac:dyDescent="0.25">
      <c r="A139">
        <v>4008140</v>
      </c>
    </row>
    <row r="140" spans="1:18" x14ac:dyDescent="0.25">
      <c r="A140">
        <v>4009906</v>
      </c>
    </row>
    <row r="141" spans="1:18" x14ac:dyDescent="0.25">
      <c r="A141">
        <v>4011027</v>
      </c>
    </row>
    <row r="142" spans="1:18" x14ac:dyDescent="0.25">
      <c r="A142">
        <v>4011920</v>
      </c>
    </row>
    <row r="143" spans="1:18" x14ac:dyDescent="0.25">
      <c r="A143">
        <v>4012248</v>
      </c>
    </row>
    <row r="144" spans="1:18" x14ac:dyDescent="0.25">
      <c r="A144">
        <v>4013603</v>
      </c>
    </row>
    <row r="145" spans="1:24" x14ac:dyDescent="0.25">
      <c r="A145">
        <v>5004654</v>
      </c>
      <c r="L145">
        <v>186</v>
      </c>
    </row>
    <row r="146" spans="1:24" x14ac:dyDescent="0.25">
      <c r="A146" s="65"/>
    </row>
    <row r="147" spans="1:24" x14ac:dyDescent="0.25">
      <c r="A147" s="10" t="s">
        <v>157</v>
      </c>
    </row>
    <row r="148" spans="1:24" x14ac:dyDescent="0.25">
      <c r="A148">
        <v>4289</v>
      </c>
      <c r="L148">
        <v>18780</v>
      </c>
      <c r="M148">
        <v>67895</v>
      </c>
    </row>
    <row r="149" spans="1:24" x14ac:dyDescent="0.25">
      <c r="A149">
        <v>500245</v>
      </c>
    </row>
    <row r="150" spans="1:24" x14ac:dyDescent="0.25">
      <c r="A150">
        <v>2002573</v>
      </c>
    </row>
    <row r="151" spans="1:24" x14ac:dyDescent="0.25">
      <c r="A151">
        <v>2003539</v>
      </c>
    </row>
    <row r="152" spans="1:24" x14ac:dyDescent="0.25">
      <c r="A152">
        <v>2003649</v>
      </c>
    </row>
    <row r="153" spans="1:24" x14ac:dyDescent="0.25">
      <c r="A153">
        <v>2005572</v>
      </c>
    </row>
    <row r="154" spans="1:24" x14ac:dyDescent="0.25">
      <c r="A154">
        <v>2013117</v>
      </c>
    </row>
    <row r="155" spans="1:24" x14ac:dyDescent="0.25">
      <c r="A155">
        <v>3009633</v>
      </c>
    </row>
    <row r="156" spans="1:24" x14ac:dyDescent="0.25">
      <c r="A156">
        <v>3010583</v>
      </c>
    </row>
    <row r="157" spans="1:24" x14ac:dyDescent="0.25">
      <c r="A157" s="23">
        <v>3011892</v>
      </c>
    </row>
    <row r="158" spans="1:24" x14ac:dyDescent="0.25">
      <c r="A158">
        <v>4001382</v>
      </c>
      <c r="W158" s="14">
        <v>126</v>
      </c>
      <c r="X158" s="14">
        <v>275.5</v>
      </c>
    </row>
    <row r="159" spans="1:24" x14ac:dyDescent="0.25">
      <c r="A159">
        <v>5018675</v>
      </c>
    </row>
    <row r="160" spans="1:24" x14ac:dyDescent="0.25">
      <c r="A160">
        <v>6050168</v>
      </c>
    </row>
    <row r="161" spans="1:11" x14ac:dyDescent="0.25">
      <c r="A161">
        <v>5006592</v>
      </c>
    </row>
    <row r="162" spans="1:11" x14ac:dyDescent="0.25">
      <c r="A162">
        <v>5007274</v>
      </c>
    </row>
    <row r="163" spans="1:11" x14ac:dyDescent="0.25">
      <c r="A163">
        <v>5015851</v>
      </c>
    </row>
    <row r="164" spans="1:11" x14ac:dyDescent="0.25">
      <c r="A164">
        <v>6015647</v>
      </c>
      <c r="K164">
        <v>75</v>
      </c>
    </row>
    <row r="165" spans="1:11" x14ac:dyDescent="0.25">
      <c r="A165">
        <v>6056633</v>
      </c>
    </row>
    <row r="166" spans="1:11" x14ac:dyDescent="0.25">
      <c r="A166">
        <v>7086224</v>
      </c>
    </row>
    <row r="167" spans="1:11" x14ac:dyDescent="0.25">
      <c r="A167">
        <v>8040959</v>
      </c>
    </row>
    <row r="168" spans="1:11" x14ac:dyDescent="0.25">
      <c r="A168">
        <v>8107048</v>
      </c>
    </row>
    <row r="169" spans="1:11" x14ac:dyDescent="0.25">
      <c r="A169">
        <v>8124044</v>
      </c>
    </row>
    <row r="170" spans="1:11" x14ac:dyDescent="0.25">
      <c r="A170">
        <v>8142949</v>
      </c>
    </row>
    <row r="171" spans="1:11" x14ac:dyDescent="0.25">
      <c r="A171">
        <v>9023306</v>
      </c>
    </row>
    <row r="172" spans="1:11" x14ac:dyDescent="0.25">
      <c r="A172">
        <v>9030615</v>
      </c>
    </row>
    <row r="173" spans="1:11" x14ac:dyDescent="0.25">
      <c r="A173">
        <v>9034464</v>
      </c>
    </row>
    <row r="174" spans="1:11" x14ac:dyDescent="0.25">
      <c r="A174">
        <v>9040167</v>
      </c>
    </row>
    <row r="175" spans="1:11" x14ac:dyDescent="0.25">
      <c r="A175">
        <v>9054567</v>
      </c>
    </row>
    <row r="176" spans="1:11" x14ac:dyDescent="0.25">
      <c r="A176">
        <v>9083682</v>
      </c>
      <c r="J176">
        <v>55</v>
      </c>
    </row>
    <row r="177" spans="1:1" x14ac:dyDescent="0.25">
      <c r="A177">
        <v>9102044</v>
      </c>
    </row>
    <row r="178" spans="1:1" x14ac:dyDescent="0.25">
      <c r="A178">
        <v>9119854</v>
      </c>
    </row>
    <row r="179" spans="1:1" x14ac:dyDescent="0.25">
      <c r="A179">
        <v>9125126</v>
      </c>
    </row>
    <row r="180" spans="1:1" x14ac:dyDescent="0.25">
      <c r="A180">
        <v>9174811</v>
      </c>
    </row>
    <row r="181" spans="1:1" x14ac:dyDescent="0.25">
      <c r="A181">
        <v>10002875</v>
      </c>
    </row>
    <row r="182" spans="1:1" x14ac:dyDescent="0.25">
      <c r="A182">
        <v>10023080</v>
      </c>
    </row>
    <row r="183" spans="1:1" x14ac:dyDescent="0.25">
      <c r="A183">
        <v>10025212</v>
      </c>
    </row>
    <row r="184" spans="1:1" x14ac:dyDescent="0.25">
      <c r="A184">
        <v>10069407</v>
      </c>
    </row>
    <row r="185" spans="1:1" x14ac:dyDescent="0.25">
      <c r="A185">
        <v>10071135</v>
      </c>
    </row>
    <row r="186" spans="1:1" x14ac:dyDescent="0.25">
      <c r="A186">
        <v>10083649</v>
      </c>
    </row>
    <row r="187" spans="1:1" x14ac:dyDescent="0.25">
      <c r="A187">
        <v>10102021</v>
      </c>
    </row>
    <row r="188" spans="1:1" x14ac:dyDescent="0.25">
      <c r="A188">
        <v>10123729</v>
      </c>
    </row>
    <row r="189" spans="1:1" x14ac:dyDescent="0.25">
      <c r="A189">
        <v>10144736</v>
      </c>
    </row>
    <row r="190" spans="1:1" x14ac:dyDescent="0.25">
      <c r="A190">
        <v>10157275</v>
      </c>
    </row>
    <row r="191" spans="1:1" x14ac:dyDescent="0.25">
      <c r="A191" s="65"/>
    </row>
    <row r="192" spans="1:1" x14ac:dyDescent="0.25">
      <c r="A192" s="10" t="s">
        <v>131</v>
      </c>
    </row>
    <row r="193" spans="1:21" x14ac:dyDescent="0.25">
      <c r="A193">
        <v>5281</v>
      </c>
    </row>
    <row r="194" spans="1:21" x14ac:dyDescent="0.25">
      <c r="A194">
        <v>200085</v>
      </c>
      <c r="K194">
        <v>20</v>
      </c>
      <c r="L194">
        <v>12</v>
      </c>
      <c r="P194">
        <v>8</v>
      </c>
      <c r="Q194">
        <v>8</v>
      </c>
      <c r="R194">
        <v>8</v>
      </c>
      <c r="T194">
        <v>9</v>
      </c>
    </row>
    <row r="195" spans="1:21" x14ac:dyDescent="0.25">
      <c r="A195">
        <v>500129</v>
      </c>
    </row>
    <row r="196" spans="1:21" x14ac:dyDescent="0.25">
      <c r="A196" s="23">
        <v>1002033</v>
      </c>
    </row>
    <row r="197" spans="1:21" x14ac:dyDescent="0.25">
      <c r="A197">
        <v>1003457</v>
      </c>
    </row>
    <row r="198" spans="1:21" x14ac:dyDescent="0.25">
      <c r="A198">
        <v>2005223</v>
      </c>
      <c r="M198">
        <v>348.6</v>
      </c>
    </row>
    <row r="199" spans="1:21" x14ac:dyDescent="0.25">
      <c r="A199">
        <v>2006107</v>
      </c>
    </row>
    <row r="200" spans="1:21" x14ac:dyDescent="0.25">
      <c r="A200">
        <v>2012014</v>
      </c>
    </row>
    <row r="201" spans="1:21" x14ac:dyDescent="0.25">
      <c r="A201">
        <v>3000152</v>
      </c>
      <c r="J201">
        <v>65.400000000000006</v>
      </c>
    </row>
    <row r="202" spans="1:21" x14ac:dyDescent="0.25">
      <c r="A202">
        <v>3014566</v>
      </c>
    </row>
    <row r="203" spans="1:21" x14ac:dyDescent="0.25">
      <c r="A203">
        <v>3015058</v>
      </c>
      <c r="C203">
        <v>105</v>
      </c>
      <c r="L203">
        <v>56</v>
      </c>
      <c r="M203">
        <v>37</v>
      </c>
      <c r="S203">
        <v>132</v>
      </c>
    </row>
    <row r="204" spans="1:21" x14ac:dyDescent="0.25">
      <c r="A204" s="23">
        <v>4000996</v>
      </c>
      <c r="U204">
        <v>13.8</v>
      </c>
    </row>
    <row r="205" spans="1:21" x14ac:dyDescent="0.25">
      <c r="A205">
        <v>4003768</v>
      </c>
    </row>
    <row r="206" spans="1:21" x14ac:dyDescent="0.25">
      <c r="A206">
        <v>4006540</v>
      </c>
    </row>
    <row r="207" spans="1:21" x14ac:dyDescent="0.25">
      <c r="A207">
        <v>4007054</v>
      </c>
    </row>
    <row r="208" spans="1:21" x14ac:dyDescent="0.25">
      <c r="A208">
        <v>4011002</v>
      </c>
    </row>
    <row r="209" spans="1:18" x14ac:dyDescent="0.25">
      <c r="A209">
        <v>4900268</v>
      </c>
    </row>
    <row r="210" spans="1:18" x14ac:dyDescent="0.25">
      <c r="A210">
        <v>5001097</v>
      </c>
      <c r="D210">
        <v>63</v>
      </c>
      <c r="E210">
        <v>42</v>
      </c>
    </row>
    <row r="211" spans="1:18" x14ac:dyDescent="0.25">
      <c r="A211">
        <v>5001098</v>
      </c>
      <c r="B211">
        <v>24</v>
      </c>
      <c r="D211">
        <v>16</v>
      </c>
    </row>
    <row r="212" spans="1:18" x14ac:dyDescent="0.25">
      <c r="A212">
        <v>5006152</v>
      </c>
      <c r="L212">
        <v>234</v>
      </c>
    </row>
    <row r="213" spans="1:18" x14ac:dyDescent="0.25">
      <c r="A213">
        <v>6012361</v>
      </c>
    </row>
    <row r="214" spans="1:18" x14ac:dyDescent="0.25">
      <c r="A214">
        <v>6015793</v>
      </c>
    </row>
    <row r="215" spans="1:18" x14ac:dyDescent="0.25">
      <c r="A215">
        <v>6043619</v>
      </c>
    </row>
    <row r="216" spans="1:18" x14ac:dyDescent="0.25">
      <c r="A216">
        <v>7001097</v>
      </c>
    </row>
    <row r="217" spans="1:18" x14ac:dyDescent="0.25">
      <c r="A217">
        <v>7011435</v>
      </c>
    </row>
    <row r="218" spans="1:18" x14ac:dyDescent="0.25">
      <c r="A218">
        <v>7045811</v>
      </c>
      <c r="O218">
        <v>500.4</v>
      </c>
      <c r="R218">
        <v>336</v>
      </c>
    </row>
    <row r="219" spans="1:18" x14ac:dyDescent="0.25">
      <c r="A219">
        <v>7071198</v>
      </c>
    </row>
    <row r="220" spans="1:18" x14ac:dyDescent="0.25">
      <c r="A220">
        <v>7101143</v>
      </c>
    </row>
    <row r="221" spans="1:18" x14ac:dyDescent="0.25">
      <c r="A221">
        <v>8073350</v>
      </c>
    </row>
    <row r="222" spans="1:18" x14ac:dyDescent="0.25">
      <c r="A222">
        <v>8073645</v>
      </c>
    </row>
    <row r="223" spans="1:18" x14ac:dyDescent="0.25">
      <c r="A223" s="23">
        <v>8089666</v>
      </c>
      <c r="H223" s="14">
        <v>55.5</v>
      </c>
      <c r="I223">
        <v>45</v>
      </c>
      <c r="K223" s="14">
        <v>102.5</v>
      </c>
      <c r="L223">
        <v>147</v>
      </c>
    </row>
    <row r="224" spans="1:18" x14ac:dyDescent="0.25">
      <c r="A224">
        <v>8103536</v>
      </c>
      <c r="J224">
        <v>83</v>
      </c>
    </row>
    <row r="225" spans="1:11" x14ac:dyDescent="0.25">
      <c r="A225">
        <v>8124816</v>
      </c>
    </row>
    <row r="226" spans="1:11" x14ac:dyDescent="0.25">
      <c r="A226">
        <v>9003267</v>
      </c>
    </row>
    <row r="227" spans="1:11" x14ac:dyDescent="0.25">
      <c r="A227">
        <v>9036964</v>
      </c>
    </row>
    <row r="228" spans="1:11" x14ac:dyDescent="0.25">
      <c r="A228">
        <v>9090287</v>
      </c>
    </row>
    <row r="229" spans="1:11" x14ac:dyDescent="0.25">
      <c r="A229">
        <v>9095148</v>
      </c>
    </row>
    <row r="230" spans="1:11" x14ac:dyDescent="0.25">
      <c r="A230">
        <v>9104979</v>
      </c>
    </row>
    <row r="231" spans="1:11" x14ac:dyDescent="0.25">
      <c r="A231">
        <v>9139514</v>
      </c>
    </row>
    <row r="232" spans="1:11" x14ac:dyDescent="0.25">
      <c r="A232">
        <v>10020659</v>
      </c>
    </row>
    <row r="233" spans="1:11" x14ac:dyDescent="0.25">
      <c r="A233">
        <v>10025902</v>
      </c>
    </row>
    <row r="234" spans="1:11" x14ac:dyDescent="0.25">
      <c r="A234">
        <v>10027654</v>
      </c>
    </row>
    <row r="235" spans="1:11" x14ac:dyDescent="0.25">
      <c r="A235">
        <v>10084485</v>
      </c>
      <c r="K235">
        <v>4000</v>
      </c>
    </row>
    <row r="236" spans="1:11" x14ac:dyDescent="0.25">
      <c r="A236">
        <v>10098420</v>
      </c>
    </row>
    <row r="237" spans="1:11" x14ac:dyDescent="0.25">
      <c r="A237">
        <v>10129565</v>
      </c>
    </row>
    <row r="238" spans="1:11" x14ac:dyDescent="0.25">
      <c r="A238">
        <v>10146828</v>
      </c>
    </row>
    <row r="239" spans="1:11" x14ac:dyDescent="0.25">
      <c r="A239">
        <v>10163776</v>
      </c>
    </row>
    <row r="240" spans="1:11" x14ac:dyDescent="0.25">
      <c r="A240">
        <v>10173664</v>
      </c>
    </row>
  </sheetData>
  <conditionalFormatting sqref="F4:J4">
    <cfRule type="duplicateValues" dxfId="35" priority="6"/>
  </conditionalFormatting>
  <conditionalFormatting sqref="O38">
    <cfRule type="duplicateValues" dxfId="34" priority="5"/>
  </conditionalFormatting>
  <conditionalFormatting sqref="O38">
    <cfRule type="duplicateValues" dxfId="33" priority="4"/>
  </conditionalFormatting>
  <conditionalFormatting sqref="A20">
    <cfRule type="duplicateValues" dxfId="32" priority="3"/>
  </conditionalFormatting>
  <conditionalFormatting sqref="C31:J31">
    <cfRule type="duplicateValues" dxfId="31" priority="7"/>
  </conditionalFormatting>
  <conditionalFormatting sqref="C32:J32">
    <cfRule type="duplicateValues" dxfId="30" priority="8"/>
  </conditionalFormatting>
  <conditionalFormatting sqref="C34:J34">
    <cfRule type="duplicateValues" dxfId="29" priority="9"/>
  </conditionalFormatting>
  <conditionalFormatting sqref="C35:J35">
    <cfRule type="duplicateValues" dxfId="28" priority="10"/>
  </conditionalFormatting>
  <conditionalFormatting sqref="C38:E38">
    <cfRule type="duplicateValues" dxfId="27" priority="11"/>
  </conditionalFormatting>
  <conditionalFormatting sqref="C36:J36">
    <cfRule type="duplicateValues" dxfId="26" priority="12"/>
  </conditionalFormatting>
  <conditionalFormatting sqref="C8:J8">
    <cfRule type="duplicateValues" dxfId="25" priority="13"/>
  </conditionalFormatting>
  <conditionalFormatting sqref="C9:J9">
    <cfRule type="duplicateValues" dxfId="24" priority="14"/>
  </conditionalFormatting>
  <conditionalFormatting sqref="C10:J10">
    <cfRule type="duplicateValues" dxfId="23" priority="15"/>
  </conditionalFormatting>
  <conditionalFormatting sqref="C25:E25">
    <cfRule type="duplicateValues" dxfId="22" priority="16"/>
  </conditionalFormatting>
  <conditionalFormatting sqref="C26:E26">
    <cfRule type="duplicateValues" dxfId="21" priority="17"/>
  </conditionalFormatting>
  <conditionalFormatting sqref="C27:E27">
    <cfRule type="duplicateValues" dxfId="20" priority="18"/>
  </conditionalFormatting>
  <conditionalFormatting sqref="C39:E39">
    <cfRule type="duplicateValues" dxfId="19" priority="19"/>
  </conditionalFormatting>
  <conditionalFormatting sqref="C40:E40">
    <cfRule type="duplicateValues" dxfId="18" priority="20"/>
  </conditionalFormatting>
  <conditionalFormatting sqref="C29:E29">
    <cfRule type="duplicateValues" dxfId="17" priority="21"/>
  </conditionalFormatting>
  <conditionalFormatting sqref="C28:E28">
    <cfRule type="duplicateValues" dxfId="16" priority="22"/>
  </conditionalFormatting>
  <conditionalFormatting sqref="C41:E41">
    <cfRule type="duplicateValues" dxfId="15" priority="23"/>
  </conditionalFormatting>
  <conditionalFormatting sqref="C42:E42">
    <cfRule type="duplicateValues" dxfId="14" priority="24"/>
  </conditionalFormatting>
  <conditionalFormatting sqref="C43:E43">
    <cfRule type="duplicateValues" dxfId="13" priority="25"/>
  </conditionalFormatting>
  <conditionalFormatting sqref="C30:E30">
    <cfRule type="duplicateValues" dxfId="12" priority="26"/>
  </conditionalFormatting>
  <conditionalFormatting sqref="C37:J37">
    <cfRule type="duplicateValues" dxfId="11" priority="27"/>
  </conditionalFormatting>
  <conditionalFormatting sqref="C13:E13">
    <cfRule type="duplicateValues" dxfId="10" priority="1"/>
  </conditionalFormatting>
  <conditionalFormatting sqref="C14:E14">
    <cfRule type="duplicateValues" dxfId="9" priority="2"/>
  </conditionalFormatting>
  <conditionalFormatting sqref="C11:J11 C15:J15">
    <cfRule type="duplicateValues" dxfId="8" priority="28"/>
  </conditionalFormatting>
  <conditionalFormatting sqref="C33:J33">
    <cfRule type="duplicateValues" dxfId="7" priority="29"/>
  </conditionalFormatting>
  <conditionalFormatting sqref="C18:E18">
    <cfRule type="duplicateValues" dxfId="6" priority="30"/>
  </conditionalFormatting>
  <conditionalFormatting sqref="C44:E44 C69:E69 C42:E42">
    <cfRule type="duplicateValues" dxfId="5" priority="3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0D42-1A25-4C8A-9B75-8F7475F6762E}">
  <dimension ref="A1:D29"/>
  <sheetViews>
    <sheetView tabSelected="1" workbookViewId="0">
      <selection activeCell="D33" sqref="D33"/>
    </sheetView>
  </sheetViews>
  <sheetFormatPr baseColWidth="10" defaultRowHeight="15" x14ac:dyDescent="0.25"/>
  <cols>
    <col min="1" max="1" width="21.140625" bestFit="1" customWidth="1"/>
    <col min="2" max="2" width="8" bestFit="1" customWidth="1"/>
    <col min="3" max="3" width="81.140625" bestFit="1" customWidth="1"/>
    <col min="4" max="4" width="35.5703125" bestFit="1" customWidth="1"/>
  </cols>
  <sheetData>
    <row r="1" spans="1:4" ht="15.75" x14ac:dyDescent="0.25">
      <c r="A1" s="67" t="s">
        <v>63</v>
      </c>
      <c r="B1" s="67" t="s">
        <v>2699</v>
      </c>
      <c r="C1" s="67" t="s">
        <v>2700</v>
      </c>
      <c r="D1" s="67" t="s">
        <v>2701</v>
      </c>
    </row>
    <row r="2" spans="1:4" x14ac:dyDescent="0.25">
      <c r="A2" s="66">
        <v>7072184</v>
      </c>
      <c r="B2" s="66" t="s">
        <v>2728</v>
      </c>
      <c r="C2" s="66" t="s">
        <v>2710</v>
      </c>
      <c r="D2" s="66">
        <v>1</v>
      </c>
    </row>
    <row r="3" spans="1:4" ht="30" x14ac:dyDescent="0.25">
      <c r="A3" s="66">
        <v>4900261</v>
      </c>
      <c r="B3" s="66" t="s">
        <v>2728</v>
      </c>
      <c r="C3" s="68" t="s">
        <v>2729</v>
      </c>
      <c r="D3" s="66">
        <v>7</v>
      </c>
    </row>
    <row r="4" spans="1:4" x14ac:dyDescent="0.25">
      <c r="A4" s="66">
        <v>96018835</v>
      </c>
      <c r="B4" s="66" t="s">
        <v>2728</v>
      </c>
      <c r="C4" s="66" t="s">
        <v>2716</v>
      </c>
      <c r="D4" s="66">
        <v>1</v>
      </c>
    </row>
    <row r="5" spans="1:4" x14ac:dyDescent="0.25">
      <c r="A5" s="66">
        <v>1263</v>
      </c>
      <c r="B5" s="66" t="s">
        <v>2728</v>
      </c>
      <c r="C5" s="66" t="s">
        <v>2730</v>
      </c>
      <c r="D5" s="66">
        <v>2</v>
      </c>
    </row>
    <row r="6" spans="1:4" x14ac:dyDescent="0.25">
      <c r="A6" s="66">
        <v>6023231</v>
      </c>
      <c r="B6" s="66" t="s">
        <v>2728</v>
      </c>
      <c r="C6" s="66" t="s">
        <v>2710</v>
      </c>
      <c r="D6" s="66">
        <v>1</v>
      </c>
    </row>
    <row r="7" spans="1:4" x14ac:dyDescent="0.25">
      <c r="A7" s="66">
        <v>7116004</v>
      </c>
      <c r="B7" s="66" t="s">
        <v>2728</v>
      </c>
      <c r="C7" s="66" t="s">
        <v>2710</v>
      </c>
      <c r="D7" s="66">
        <v>1</v>
      </c>
    </row>
    <row r="8" spans="1:4" x14ac:dyDescent="0.25">
      <c r="A8" s="66">
        <v>2000646</v>
      </c>
      <c r="B8" s="66" t="s">
        <v>2728</v>
      </c>
      <c r="C8" s="66" t="s">
        <v>2731</v>
      </c>
      <c r="D8" s="66">
        <v>6</v>
      </c>
    </row>
    <row r="9" spans="1:4" x14ac:dyDescent="0.25">
      <c r="A9" s="66">
        <v>3009119</v>
      </c>
      <c r="B9" s="66" t="s">
        <v>2728</v>
      </c>
      <c r="C9" s="66" t="s">
        <v>2711</v>
      </c>
      <c r="D9" s="66">
        <v>1</v>
      </c>
    </row>
    <row r="10" spans="1:4" x14ac:dyDescent="0.25">
      <c r="A10" s="66">
        <v>4001905</v>
      </c>
      <c r="B10" s="66" t="s">
        <v>2728</v>
      </c>
      <c r="C10" s="66" t="s">
        <v>2732</v>
      </c>
      <c r="D10" s="66">
        <v>6</v>
      </c>
    </row>
    <row r="11" spans="1:4" x14ac:dyDescent="0.25">
      <c r="A11" s="66">
        <v>5004654</v>
      </c>
      <c r="B11" s="66" t="s">
        <v>2728</v>
      </c>
      <c r="C11" s="66" t="s">
        <v>2712</v>
      </c>
      <c r="D11" s="66">
        <v>1</v>
      </c>
    </row>
    <row r="12" spans="1:4" x14ac:dyDescent="0.25">
      <c r="A12" s="66">
        <v>4289</v>
      </c>
      <c r="B12" s="66" t="s">
        <v>2728</v>
      </c>
      <c r="C12" s="66" t="s">
        <v>2733</v>
      </c>
      <c r="D12" s="66">
        <v>2</v>
      </c>
    </row>
    <row r="13" spans="1:4" x14ac:dyDescent="0.25">
      <c r="A13" s="66">
        <v>4001382</v>
      </c>
      <c r="B13" s="66" t="s">
        <v>2728</v>
      </c>
      <c r="C13" s="66" t="s">
        <v>2734</v>
      </c>
      <c r="D13" s="66">
        <v>2</v>
      </c>
    </row>
    <row r="14" spans="1:4" x14ac:dyDescent="0.25">
      <c r="A14" s="66">
        <v>6015647</v>
      </c>
      <c r="B14" s="66" t="s">
        <v>2728</v>
      </c>
      <c r="C14" s="66" t="s">
        <v>2711</v>
      </c>
      <c r="D14" s="66">
        <v>1</v>
      </c>
    </row>
    <row r="15" spans="1:4" x14ac:dyDescent="0.25">
      <c r="A15" s="66">
        <v>9083682</v>
      </c>
      <c r="B15" s="66" t="s">
        <v>2728</v>
      </c>
      <c r="C15" s="66" t="s">
        <v>2710</v>
      </c>
      <c r="D15" s="66">
        <v>1</v>
      </c>
    </row>
    <row r="16" spans="1:4" x14ac:dyDescent="0.25">
      <c r="A16" s="66">
        <v>200085</v>
      </c>
      <c r="B16" s="66" t="s">
        <v>2728</v>
      </c>
      <c r="C16" s="66" t="s">
        <v>2735</v>
      </c>
      <c r="D16" s="66">
        <v>6</v>
      </c>
    </row>
    <row r="17" spans="1:4" x14ac:dyDescent="0.25">
      <c r="A17" s="66">
        <v>2005223</v>
      </c>
      <c r="B17" s="66" t="s">
        <v>2728</v>
      </c>
      <c r="C17" s="66" t="s">
        <v>2713</v>
      </c>
      <c r="D17" s="66">
        <v>1</v>
      </c>
    </row>
    <row r="18" spans="1:4" x14ac:dyDescent="0.25">
      <c r="A18" s="66">
        <v>3000152</v>
      </c>
      <c r="B18" s="66" t="s">
        <v>2728</v>
      </c>
      <c r="C18" s="66" t="s">
        <v>2710</v>
      </c>
      <c r="D18" s="66">
        <v>1</v>
      </c>
    </row>
    <row r="19" spans="1:4" x14ac:dyDescent="0.25">
      <c r="A19" s="66">
        <v>3015058</v>
      </c>
      <c r="B19" s="66" t="s">
        <v>2728</v>
      </c>
      <c r="C19" s="66" t="s">
        <v>2736</v>
      </c>
      <c r="D19" s="66">
        <v>4</v>
      </c>
    </row>
    <row r="20" spans="1:4" x14ac:dyDescent="0.25">
      <c r="A20" s="66">
        <v>4000996</v>
      </c>
      <c r="B20" s="66" t="s">
        <v>2728</v>
      </c>
      <c r="C20" s="66" t="s">
        <v>2721</v>
      </c>
      <c r="D20" s="66">
        <v>1</v>
      </c>
    </row>
    <row r="21" spans="1:4" x14ac:dyDescent="0.25">
      <c r="A21" s="66">
        <v>5001097</v>
      </c>
      <c r="B21" s="66" t="s">
        <v>2728</v>
      </c>
      <c r="C21" s="66" t="s">
        <v>2737</v>
      </c>
      <c r="D21" s="66">
        <v>2</v>
      </c>
    </row>
    <row r="22" spans="1:4" x14ac:dyDescent="0.25">
      <c r="A22" s="66">
        <v>5001098</v>
      </c>
      <c r="B22" s="66" t="s">
        <v>2728</v>
      </c>
      <c r="C22" s="66" t="s">
        <v>2738</v>
      </c>
      <c r="D22" s="66">
        <v>2</v>
      </c>
    </row>
    <row r="23" spans="1:4" x14ac:dyDescent="0.25">
      <c r="A23" s="66">
        <v>5006152</v>
      </c>
      <c r="B23" s="66" t="s">
        <v>2728</v>
      </c>
      <c r="C23" s="66" t="s">
        <v>2712</v>
      </c>
      <c r="D23" s="66">
        <v>1</v>
      </c>
    </row>
    <row r="24" spans="1:4" x14ac:dyDescent="0.25">
      <c r="A24" s="66">
        <v>7045811</v>
      </c>
      <c r="B24" s="66" t="s">
        <v>2728</v>
      </c>
      <c r="C24" s="66" t="s">
        <v>2739</v>
      </c>
      <c r="D24" s="66">
        <v>2</v>
      </c>
    </row>
    <row r="25" spans="1:4" x14ac:dyDescent="0.25">
      <c r="A25" s="66">
        <v>8089666</v>
      </c>
      <c r="B25" s="66" t="s">
        <v>2728</v>
      </c>
      <c r="C25" s="66" t="s">
        <v>2740</v>
      </c>
      <c r="D25" s="66">
        <v>4</v>
      </c>
    </row>
    <row r="26" spans="1:4" x14ac:dyDescent="0.25">
      <c r="A26" s="66">
        <v>8103536</v>
      </c>
      <c r="B26" s="66" t="s">
        <v>2728</v>
      </c>
      <c r="C26" s="66" t="s">
        <v>2710</v>
      </c>
      <c r="D26" s="66">
        <v>1</v>
      </c>
    </row>
    <row r="27" spans="1:4" x14ac:dyDescent="0.25">
      <c r="A27" s="66">
        <v>10084485</v>
      </c>
      <c r="B27" s="66" t="s">
        <v>2728</v>
      </c>
      <c r="C27" s="66" t="s">
        <v>2711</v>
      </c>
      <c r="D27" s="66">
        <v>1</v>
      </c>
    </row>
    <row r="29" spans="1:4" x14ac:dyDescent="0.25">
      <c r="A29">
        <f>SUBTOTAL(3,CK[BfArM Nummer])</f>
        <v>26</v>
      </c>
      <c r="B29">
        <f>SUBTOTAL(3,CK[BfArM Nummer])</f>
        <v>26</v>
      </c>
      <c r="C29">
        <f>SUBTOTAL(3,CK[BfArM Nummer])</f>
        <v>26</v>
      </c>
      <c r="D29">
        <f>SUBTOTAL(9,CK[Total Number of Observations])</f>
        <v>59</v>
      </c>
    </row>
  </sheetData>
  <phoneticPr fontId="6" type="noConversion"/>
  <conditionalFormatting sqref="A2:A27">
    <cfRule type="duplicateValues" dxfId="4" priority="326"/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8BF28A-384D-4C01-8E35-FC11E3D5D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Arbeitsmaterial Literaturfälle</vt:lpstr>
      <vt:lpstr>CK</vt:lpstr>
      <vt:lpstr>CK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2023-04-18T10:46:34Z</dcterms:modified>
</cp:coreProperties>
</file>