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10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11.xml" ContentType="application/vnd.openxmlformats-officedocument.spreadsheetml.query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12.xml" ContentType="application/vnd.openxmlformats-officedocument.spreadsheetml.query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1C9A7186-327D-4642-8983-92644E77B61D}" xr6:coauthVersionLast="47" xr6:coauthVersionMax="47" xr10:uidLastSave="{00000000-0000-0000-0000-000000000000}"/>
  <bookViews>
    <workbookView xWindow="-120" yWindow="-120" windowWidth="29040" windowHeight="15840" tabRatio="771" xr2:uid="{00000000-000D-0000-FFFF-FFFF00000000}"/>
  </bookViews>
  <sheets>
    <sheet name="Arbeitsmaterial Literaturfälle" sheetId="4" r:id="rId1"/>
    <sheet name="CK" sheetId="27" r:id="rId2"/>
    <sheet name="CK Table" sheetId="28" r:id="rId3"/>
    <sheet name="CK-MB" sheetId="29" r:id="rId4"/>
    <sheet name="CK-MB Tabelle" sheetId="30" r:id="rId5"/>
    <sheet name="Quick" sheetId="31" r:id="rId6"/>
    <sheet name="Quick Tabelle" sheetId="32" r:id="rId7"/>
    <sheet name="INR" sheetId="33" r:id="rId8"/>
    <sheet name="INR Tabelle" sheetId="34" r:id="rId9"/>
    <sheet name="PTT" sheetId="35" r:id="rId10"/>
    <sheet name="PTT Tabelle" sheetId="37" r:id="rId11"/>
    <sheet name="Leukozyten" sheetId="38" r:id="rId12"/>
    <sheet name="Leukozyten Tabelle" sheetId="39" r:id="rId13"/>
    <sheet name="GOT" sheetId="40" r:id="rId14"/>
    <sheet name="GOT Tabelle" sheetId="41" r:id="rId15"/>
    <sheet name="GPT" sheetId="42" r:id="rId16"/>
    <sheet name="GPT Tabelle" sheetId="43" r:id="rId17"/>
    <sheet name="GGT" sheetId="45" r:id="rId18"/>
    <sheet name="GGT Tabelle" sheetId="47" r:id="rId19"/>
    <sheet name="LDH" sheetId="46" r:id="rId20"/>
    <sheet name="LDH Tabelle" sheetId="48" r:id="rId21"/>
    <sheet name="Lymphozyten" sheetId="49" r:id="rId22"/>
    <sheet name="Lymphozyten Tabelle" sheetId="50" r:id="rId23"/>
    <sheet name="Hb" sheetId="51" r:id="rId24"/>
    <sheet name="Hb Tabelle" sheetId="52" r:id="rId25"/>
    <sheet name="Bilirubin" sheetId="53" r:id="rId26"/>
    <sheet name="Bilirubin Tabelle" sheetId="55" r:id="rId27"/>
  </sheets>
  <definedNames>
    <definedName name="ExterneDaten_1" localSheetId="26" hidden="1">'Bilirubin Tabelle'!$A$1:$D$101</definedName>
    <definedName name="ExterneDaten_1" localSheetId="2" hidden="1">'CK Table'!$A$1:$D$27</definedName>
    <definedName name="ExterneDaten_1" localSheetId="4" hidden="1">'CK-MB Tabelle'!$A$1:$D$6</definedName>
    <definedName name="ExterneDaten_1" localSheetId="18" hidden="1">'GGT Tabelle'!$A$1:$D$134</definedName>
    <definedName name="ExterneDaten_1" localSheetId="14" hidden="1">'GOT Tabelle'!$A$1:$D$162</definedName>
    <definedName name="ExterneDaten_1" localSheetId="16" hidden="1">'GPT Tabelle'!$A$1:$D$167</definedName>
    <definedName name="ExterneDaten_1" localSheetId="24" hidden="1">'Hb Tabelle'!$A$1:$D$76</definedName>
    <definedName name="ExterneDaten_1" localSheetId="8" hidden="1">'INR Tabelle'!$A$1:$D$44</definedName>
    <definedName name="ExterneDaten_1" localSheetId="20" hidden="1">'LDH Tabelle'!$A$1:$D$70</definedName>
    <definedName name="ExterneDaten_1" localSheetId="12" hidden="1">'Leukozyten Tabelle'!$A$1:$D$106</definedName>
    <definedName name="ExterneDaten_1" localSheetId="22" hidden="1">'Lymphozyten Tabelle'!$A$1:$D$40</definedName>
    <definedName name="ExterneDaten_1" localSheetId="10" hidden="1">'PTT Tabelle'!$A$1:$C$49</definedName>
    <definedName name="ExterneDaten_1" localSheetId="6" hidden="1">'Quick Tabelle'!$A$1:$D$67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" i="27" l="1"/>
  <c r="D1" i="27"/>
  <c r="E1" i="27"/>
  <c r="F1" i="27"/>
  <c r="G1" i="27"/>
  <c r="H1" i="27"/>
  <c r="I1" i="27"/>
  <c r="J1" i="27"/>
  <c r="K1" i="27"/>
  <c r="L1" i="27"/>
  <c r="M1" i="27"/>
  <c r="N1" i="27"/>
  <c r="O1" i="27"/>
  <c r="P1" i="27"/>
  <c r="Q1" i="27"/>
  <c r="R1" i="27"/>
  <c r="S1" i="27"/>
  <c r="T1" i="27"/>
  <c r="U1" i="27"/>
  <c r="V1" i="27"/>
  <c r="W1" i="27"/>
  <c r="X1" i="27"/>
  <c r="Y1" i="27"/>
  <c r="Z1" i="27"/>
  <c r="AA1" i="27"/>
  <c r="B1" i="27"/>
  <c r="D29" i="28"/>
  <c r="C29" i="28"/>
  <c r="B29" i="28"/>
  <c r="A29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3F4F1F-F354-4E79-97D8-5A3FAE93516F}" keepAlive="1" name="Abfrage - Bilirubin" description="Verbindung mit der Abfrage 'Bilirubin' in der Arbeitsmappe." type="5" refreshedVersion="8" background="1" saveData="1">
    <dbPr connection="Provider=Microsoft.Mashup.OleDb.1;Data Source=$Workbook$;Location=Bilirubin;Extended Properties=&quot;&quot;" command="SELECT * FROM [Bilirubin]"/>
  </connection>
  <connection id="2" xr16:uid="{03421DB0-1A64-485D-8E5E-39B52FBA69A4}" keepAlive="1" name="Abfrage - CK" description="Verbindung mit der Abfrage 'CK' in der Arbeitsmappe." type="5" refreshedVersion="8" background="1" saveData="1">
    <dbPr connection="Provider=Microsoft.Mashup.OleDb.1;Data Source=$Workbook$;Location=CK;Extended Properties=&quot;&quot;" command="SELECT * FROM [CK]"/>
  </connection>
  <connection id="3" xr16:uid="{048C22CB-242A-453E-A26B-3A8EA8B93734}" keepAlive="1" name="Abfrage - CK-MB" description="Verbindung mit der Abfrage 'CK-MB' in der Arbeitsmappe." type="5" refreshedVersion="8" background="1" saveData="1">
    <dbPr connection="Provider=Microsoft.Mashup.OleDb.1;Data Source=$Workbook$;Location=CK-MB;Extended Properties=&quot;&quot;" command="SELECT * FROM [CK-MB]"/>
  </connection>
  <connection id="4" xr16:uid="{C5203DFE-F40B-49CD-8C0A-578B27F22022}" keepAlive="1" name="Abfrage - GGT" description="Verbindung mit der Abfrage 'GGT' in der Arbeitsmappe." type="5" refreshedVersion="8" background="1" saveData="1">
    <dbPr connection="Provider=Microsoft.Mashup.OleDb.1;Data Source=$Workbook$;Location=GGT;Extended Properties=&quot;&quot;" command="SELECT * FROM [GGT]"/>
  </connection>
  <connection id="5" xr16:uid="{0107F31D-3C4B-4938-8800-4097540CC3E6}" keepAlive="1" name="Abfrage - LDH" description="Verbindung mit der Abfrage 'LDH' in der Arbeitsmappe." type="5" refreshedVersion="8" background="1" saveData="1">
    <dbPr connection="Provider=Microsoft.Mashup.OleDb.1;Data Source=$Workbook$;Location=LDH;Extended Properties=&quot;&quot;" command="SELECT * FROM [LDH]"/>
  </connection>
  <connection id="6" xr16:uid="{8E59B8FF-B84E-4B93-BC4C-96846CDDDAA5}" keepAlive="1" name="Abfrage - Lymphozyten" description="Verbindung mit der Abfrage 'Lymphozyten' in der Arbeitsmappe." type="5" refreshedVersion="8" background="1" saveData="1">
    <dbPr connection="Provider=Microsoft.Mashup.OleDb.1;Data Source=$Workbook$;Location=Lymphozyten;Extended Properties=&quot;&quot;" command="SELECT * FROM [Lymphozyten]"/>
  </connection>
  <connection id="7" xr16:uid="{918EE667-379A-4D76-811F-82A550A5BA41}" keepAlive="1" name="Abfrage - Tabelle11" description="Verbindung mit der Abfrage 'Tabelle11' in der Arbeitsmappe." type="5" refreshedVersion="8" background="1" saveData="1">
    <dbPr connection="Provider=Microsoft.Mashup.OleDb.1;Data Source=$Workbook$;Location=Tabelle11;Extended Properties=&quot;&quot;" command="SELECT * FROM [Tabelle11]"/>
  </connection>
  <connection id="8" xr16:uid="{26D8C588-3917-416A-B601-0D3EB658BFE1}" keepAlive="1" name="Abfrage - Tabelle13" description="Verbindung mit der Abfrage 'Tabelle13' in der Arbeitsmappe." type="5" refreshedVersion="8" background="1" saveData="1">
    <dbPr connection="Provider=Microsoft.Mashup.OleDb.1;Data Source=$Workbook$;Location=Tabelle13;Extended Properties=&quot;&quot;" command="SELECT * FROM [Tabelle13]"/>
  </connection>
  <connection id="9" xr16:uid="{D5C29876-78B4-4DEA-AC04-D6D749F9681C}" keepAlive="1" name="Abfrage - Tabelle15" description="Verbindung mit der Abfrage 'Tabelle15' in der Arbeitsmappe." type="5" refreshedVersion="8" background="1" saveData="1">
    <dbPr connection="Provider=Microsoft.Mashup.OleDb.1;Data Source=$Workbook$;Location=Tabelle15;Extended Properties=&quot;&quot;" command="SELECT * FROM [Tabelle15]"/>
  </connection>
  <connection id="10" xr16:uid="{CB0398C7-B22A-4A23-BD8C-725837D2A446}" keepAlive="1" name="Abfrage - Tabelle24" description="Verbindung mit der Abfrage 'Tabelle24' in der Arbeitsmappe." type="5" refreshedVersion="8" background="1" saveData="1">
    <dbPr connection="Provider=Microsoft.Mashup.OleDb.1;Data Source=$Workbook$;Location=Tabelle24;Extended Properties=&quot;&quot;" command="SELECT * FROM [Tabelle24]"/>
  </connection>
  <connection id="11" xr16:uid="{7D029C4C-DE84-4A99-AFC9-84D22F71BF69}" keepAlive="1" name="Abfrage - Tabelle5" description="Verbindung mit der Abfrage 'Tabelle5' in der Arbeitsmappe." type="5" refreshedVersion="8" background="1" saveData="1">
    <dbPr connection="Provider=Microsoft.Mashup.OleDb.1;Data Source=$Workbook$;Location=Tabelle5;Extended Properties=&quot;&quot;" command="SELECT * FROM [Tabelle5]"/>
  </connection>
  <connection id="12" xr16:uid="{EBBC9294-CE5E-4CDE-AE08-2B734C2DE487}" keepAlive="1" name="Abfrage - Tabelle7" description="Verbindung mit der Abfrage 'Tabelle7' in der Arbeitsmappe." type="5" refreshedVersion="8" background="1" saveData="1">
    <dbPr connection="Provider=Microsoft.Mashup.OleDb.1;Data Source=$Workbook$;Location=Tabelle7;Extended Properties=&quot;&quot;" command="SELECT * FROM [Tabelle7]"/>
  </connection>
  <connection id="13" xr16:uid="{B10C8880-CB6E-48C8-B39A-07145BD493F7}" keepAlive="1" name="Abfrage - Tabelle9" description="Verbindung mit der Abfrage 'Tabelle9' in der Arbeitsmappe." type="5" refreshedVersion="8" background="1" saveData="1">
    <dbPr connection="Provider=Microsoft.Mashup.OleDb.1;Data Source=$Workbook$;Location=Tabelle9;Extended Properties=&quot;&quot;" command="SELECT * FROM [Tabelle9]"/>
  </connection>
</connections>
</file>

<file path=xl/sharedStrings.xml><?xml version="1.0" encoding="utf-8"?>
<sst xmlns="http://schemas.openxmlformats.org/spreadsheetml/2006/main" count="7541" uniqueCount="2478">
  <si>
    <t xml:space="preserve"> 1: 1280</t>
  </si>
  <si>
    <t>HIV</t>
  </si>
  <si>
    <t>Alter</t>
  </si>
  <si>
    <t>BMI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</si>
  <si>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</si>
  <si>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</si>
  <si>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</si>
  <si>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</si>
  <si>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</si>
  <si>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</si>
  <si>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</si>
  <si>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</si>
  <si>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</si>
  <si>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</si>
  <si>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</si>
  <si>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</si>
  <si>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</si>
  <si>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</si>
  <si>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</si>
  <si>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</si>
  <si>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</si>
  <si>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</si>
  <si>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</si>
  <si>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</si>
  <si>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</si>
  <si>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</si>
  <si>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</si>
  <si>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</si>
  <si>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</si>
  <si>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</si>
  <si>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</si>
  <si>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</si>
  <si>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</si>
  <si>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</si>
  <si>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</si>
  <si>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</si>
  <si>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</si>
  <si>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</si>
  <si>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</si>
  <si>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</si>
  <si>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</si>
  <si>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</si>
  <si>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</si>
  <si>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</si>
  <si>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Hb-d6</t>
  </si>
  <si>
    <t>Lymphozyten-d1w2</t>
  </si>
  <si>
    <t>GOT-d4w1</t>
  </si>
  <si>
    <t>GPT-d4w1</t>
  </si>
  <si>
    <t>GGT-d4w1</t>
  </si>
  <si>
    <t>LDH-d3w2</t>
  </si>
  <si>
    <t>GOT-d5w1</t>
  </si>
  <si>
    <t>GPT-d1w1</t>
  </si>
  <si>
    <t>GPT-d5w1</t>
  </si>
  <si>
    <t>LDH-d6w1</t>
  </si>
  <si>
    <t>LDH-d3w3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</si>
  <si>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</si>
  <si>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</si>
  <si>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</si>
  <si>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</si>
  <si>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</si>
  <si>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</si>
  <si>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</si>
  <si>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Hb-d3</t>
  </si>
  <si>
    <t>Hb-d4</t>
  </si>
  <si>
    <t>Hb-d5w1</t>
  </si>
  <si>
    <t>PTT-d1 (sec.)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</si>
  <si>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</si>
  <si>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</si>
  <si>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</si>
  <si>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</si>
  <si>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</si>
  <si>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</si>
  <si>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</si>
  <si>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</si>
  <si>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</si>
  <si>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</si>
  <si>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</si>
  <si>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</si>
  <si>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</si>
  <si>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</si>
  <si>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</si>
  <si>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</si>
  <si>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</si>
  <si>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Paracetamol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</si>
  <si>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</si>
  <si>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</si>
  <si>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</si>
  <si>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</si>
  <si>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</si>
  <si>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</si>
  <si>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</si>
  <si>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</si>
  <si>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</si>
  <si>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</si>
  <si>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</si>
  <si>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</si>
  <si>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</si>
  <si>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</si>
  <si>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</si>
  <si>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</si>
  <si>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</si>
  <si>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</si>
  <si>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</si>
  <si>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</si>
  <si>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</si>
  <si>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</si>
  <si>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</si>
  <si>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</si>
  <si>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</si>
  <si>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</si>
  <si>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</si>
  <si>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</si>
  <si>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</si>
  <si>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</si>
  <si>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</si>
  <si>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</si>
  <si>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</si>
  <si>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</si>
  <si>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 xml:space="preserve">Hämorrhagien 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</si>
  <si>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</si>
  <si>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</si>
  <si>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</si>
  <si>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</si>
  <si>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</si>
  <si>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</si>
  <si>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</si>
  <si>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</si>
  <si>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</si>
  <si>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</si>
  <si>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Hautreaktionen</t>
  </si>
  <si>
    <t>Leberreaktionen</t>
  </si>
  <si>
    <t>Stomatitis</t>
  </si>
  <si>
    <t>DRESS</t>
  </si>
  <si>
    <t>Hepatitis toxic drug-induced</t>
  </si>
  <si>
    <t>Hepatitis</t>
  </si>
  <si>
    <t>TSH (Thyreoidea-stimulierendes Hormon)-d6 (mI.E./l)</t>
  </si>
  <si>
    <t>T3-d6 (pg/ml)</t>
  </si>
  <si>
    <t>T4-d6 (ng/dl)</t>
  </si>
  <si>
    <t>Cholestase</t>
  </si>
  <si>
    <t>Exanthem</t>
  </si>
  <si>
    <t>Leberzirrhose</t>
  </si>
  <si>
    <t>Leberschaden</t>
  </si>
  <si>
    <t>Leberfunktionsstörung</t>
  </si>
  <si>
    <t>Leberversagen</t>
  </si>
  <si>
    <t>Hepatopathie</t>
  </si>
  <si>
    <t>Hämangiom</t>
  </si>
  <si>
    <t>Lebernekrose</t>
  </si>
  <si>
    <t>Ekzem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</si>
  <si>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</si>
  <si>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</si>
  <si>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</si>
  <si>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</si>
  <si>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</si>
  <si>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</si>
  <si>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</si>
  <si>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</si>
  <si>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</si>
  <si>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</si>
  <si>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</si>
  <si>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</si>
  <si>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</si>
  <si>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</si>
  <si>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</si>
  <si>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</si>
  <si>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</si>
  <si>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</si>
  <si>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</si>
  <si>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</si>
  <si>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</si>
  <si>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</si>
  <si>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</si>
  <si>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</si>
  <si>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</si>
  <si>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</si>
  <si>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</si>
  <si>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</si>
  <si>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</si>
  <si>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</si>
  <si>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</si>
  <si>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</si>
  <si>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Hautschmerzen</t>
  </si>
  <si>
    <t>Raufuncton</t>
  </si>
  <si>
    <t>Meprivacain</t>
  </si>
  <si>
    <t>i.c.</t>
  </si>
  <si>
    <t>Nausea</t>
  </si>
  <si>
    <t>0,57 (umgerechnet aus Einnahme 4x pro Woche)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</si>
  <si>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</si>
  <si>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</si>
  <si>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</si>
  <si>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</si>
  <si>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</si>
  <si>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</si>
  <si>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</si>
  <si>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</si>
  <si>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</si>
  <si>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</si>
  <si>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</si>
  <si>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</si>
  <si>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</si>
  <si>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</si>
  <si>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</si>
  <si>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</si>
  <si>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</si>
  <si>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</si>
  <si>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</si>
  <si>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</si>
  <si>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</si>
  <si>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</si>
  <si>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</si>
  <si>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</si>
  <si>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</si>
  <si>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</si>
  <si>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</si>
  <si>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</si>
  <si>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</si>
  <si>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</si>
  <si>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</si>
  <si>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</si>
  <si>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</si>
  <si>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</si>
  <si>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</si>
  <si>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</si>
  <si>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</si>
  <si>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</si>
  <si>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</si>
  <si>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</si>
  <si>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</si>
  <si>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</si>
  <si>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</si>
  <si>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</si>
  <si>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</si>
  <si>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</si>
  <si>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</si>
  <si>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</si>
  <si>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</si>
  <si>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</si>
  <si>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</si>
  <si>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</si>
  <si>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</si>
  <si>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</si>
  <si>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</si>
  <si>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</si>
  <si>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</si>
  <si>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</si>
  <si>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</si>
  <si>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</si>
  <si>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</si>
  <si>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</si>
  <si>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</si>
  <si>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</si>
  <si>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</si>
  <si>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</si>
  <si>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</si>
  <si>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</si>
  <si>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</si>
  <si>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</si>
  <si>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</si>
  <si>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</si>
  <si>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</si>
  <si>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</si>
  <si>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</si>
  <si>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</si>
  <si>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</si>
  <si>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</si>
  <si>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</si>
  <si>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</si>
  <si>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</si>
  <si>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</si>
  <si>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</si>
  <si>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</si>
  <si>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</si>
  <si>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</si>
  <si>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</si>
  <si>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</si>
  <si>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</si>
  <si>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</si>
  <si>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</si>
  <si>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</si>
  <si>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</si>
  <si>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</si>
  <si>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</si>
  <si>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</si>
  <si>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</si>
  <si>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</si>
  <si>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</si>
  <si>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</si>
  <si>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</si>
  <si>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</si>
  <si>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</si>
  <si>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</si>
  <si>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</si>
  <si>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</si>
  <si>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</si>
  <si>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</si>
  <si>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</si>
  <si>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</si>
  <si>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</si>
  <si>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</si>
  <si>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</si>
  <si>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</si>
  <si>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</si>
  <si>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</si>
  <si>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</si>
  <si>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</si>
  <si>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</si>
  <si>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</si>
  <si>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</si>
  <si>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</si>
  <si>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</si>
  <si>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</si>
  <si>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</si>
  <si>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</si>
  <si>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</si>
  <si>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</si>
  <si>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</si>
  <si>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</si>
  <si>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</si>
  <si>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</si>
  <si>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</si>
  <si>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</si>
  <si>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</si>
  <si>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</si>
  <si>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</si>
  <si>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</si>
  <si>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</si>
  <si>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</si>
  <si>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</si>
  <si>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</si>
  <si>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</si>
  <si>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</si>
  <si>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</si>
  <si>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</si>
  <si>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</si>
  <si>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</si>
  <si>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</si>
  <si>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</si>
  <si>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</si>
  <si>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</si>
  <si>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</si>
  <si>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</si>
  <si>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</si>
  <si>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Etilefrin, Dihydroergotaminmesilat (Sympathomimetikum)</t>
  </si>
  <si>
    <t>Dosis (Tropf/Verabreichung)</t>
  </si>
  <si>
    <t>Chlorphenoxamin (Antihistaminikum)</t>
  </si>
  <si>
    <t>6000, später noch mal mit anderer Dosierung eingenommen</t>
  </si>
  <si>
    <t>Nikotinabusus</t>
  </si>
  <si>
    <t>Alkoholabusus</t>
  </si>
  <si>
    <t>Herzschrittmacher</t>
  </si>
  <si>
    <t>100, zweite Einnahme nach beginn der Therapie in anderer Dosis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</si>
  <si>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</si>
  <si>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</si>
  <si>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</si>
  <si>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</si>
  <si>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</si>
  <si>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</si>
  <si>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</si>
  <si>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</si>
  <si>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</si>
  <si>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</si>
  <si>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</si>
  <si>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</si>
  <si>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Dosis (Lotion)</t>
  </si>
  <si>
    <t>Miconazol (Antimykotikum)</t>
  </si>
  <si>
    <t>Dosis (Salbe)</t>
  </si>
  <si>
    <t>Pentoxifyllin (Durchblutungsstörung)</t>
  </si>
  <si>
    <t>0,1%, Später noch mal eingenommen in anderer Konzentration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</si>
  <si>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</si>
  <si>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</si>
  <si>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</si>
  <si>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</si>
  <si>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</si>
  <si>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</si>
  <si>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</si>
  <si>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</si>
  <si>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</si>
  <si>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</si>
  <si>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</si>
  <si>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</si>
  <si>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</si>
  <si>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</si>
  <si>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Tbl + Inj</t>
  </si>
  <si>
    <t>Atenolol, Clortalidon (Hypertonus)</t>
  </si>
  <si>
    <t>Nifedipin (Hypertonus)</t>
  </si>
  <si>
    <t>50, 2 verschiedene Med mit gleichem Wirkstoff eingenommen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</si>
  <si>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</si>
  <si>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</si>
  <si>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</si>
  <si>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</si>
  <si>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</si>
  <si>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</si>
  <si>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</si>
  <si>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</si>
  <si>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</si>
  <si>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</si>
  <si>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</si>
  <si>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</si>
  <si>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</si>
  <si>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</si>
  <si>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</si>
  <si>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</si>
  <si>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</si>
  <si>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</si>
  <si>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</si>
  <si>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</si>
  <si>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</si>
  <si>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</si>
  <si>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</si>
  <si>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</si>
  <si>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</si>
  <si>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</si>
  <si>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</si>
  <si>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</si>
  <si>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</si>
  <si>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</si>
  <si>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</si>
  <si>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</si>
  <si>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</si>
  <si>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</si>
  <si>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</si>
  <si>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</si>
  <si>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</si>
  <si>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</si>
  <si>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</si>
  <si>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</si>
  <si>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</si>
  <si>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</si>
  <si>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</si>
  <si>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</si>
  <si>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</si>
  <si>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Dosis (Mg pro Kg/Verabreichung)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</si>
  <si>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</si>
  <si>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</si>
  <si>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</si>
  <si>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</si>
  <si>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</si>
  <si>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</si>
  <si>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</si>
  <si>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</si>
  <si>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Aciclovir (Antimykotikum)</t>
  </si>
  <si>
    <t>später noch mal in höherer Dosierung und iv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</si>
  <si>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</si>
  <si>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</si>
  <si>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</si>
  <si>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</si>
  <si>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</si>
  <si>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</si>
  <si>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</si>
  <si>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</si>
  <si>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</si>
  <si>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</si>
  <si>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</si>
  <si>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</si>
  <si>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</si>
  <si>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</si>
  <si>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</si>
  <si>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</si>
  <si>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</si>
  <si>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</si>
  <si>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</si>
  <si>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GOT-3 Tage vor Krankheitsbeginn</t>
  </si>
  <si>
    <t>GOT-2 Tage vor Krankheitsbeginn</t>
  </si>
  <si>
    <t>Ödem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</si>
  <si>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</si>
  <si>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</si>
  <si>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</si>
  <si>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</si>
  <si>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</si>
  <si>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Hydroxycarbamid (Krebsmedikament)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</si>
  <si>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</si>
  <si>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</si>
  <si>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</si>
  <si>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</si>
  <si>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</si>
  <si>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</si>
  <si>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</si>
  <si>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</si>
  <si>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</si>
  <si>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</si>
  <si>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</si>
  <si>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</si>
  <si>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</si>
  <si>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</si>
  <si>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</si>
  <si>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</si>
  <si>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</si>
  <si>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</si>
  <si>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</si>
  <si>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</si>
  <si>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</si>
  <si>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</si>
  <si>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Glucose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</si>
  <si>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</si>
  <si>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</si>
  <si>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</si>
  <si>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</si>
  <si>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</si>
  <si>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</si>
  <si>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</si>
  <si>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</si>
  <si>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</si>
  <si>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100 (Später noch mal in höherer Konzentration eingenommen)</t>
  </si>
  <si>
    <t>Beine</t>
  </si>
  <si>
    <t>Hypoalbuminaemie</t>
  </si>
  <si>
    <t>Candidose</t>
  </si>
  <si>
    <t>Diarrhoe</t>
  </si>
  <si>
    <t>Lymphadenitis</t>
  </si>
  <si>
    <t>Missempfindung</t>
  </si>
  <si>
    <t>Kopf</t>
  </si>
  <si>
    <t>Nevirapin (Virostatikum, HIV)</t>
  </si>
  <si>
    <t>Didanosin (Virostatikum, HIV)</t>
  </si>
  <si>
    <t>Videx (Virostatikum, HIV)</t>
  </si>
  <si>
    <t>Erythrozyten-Datum unbekannt</t>
  </si>
  <si>
    <t>SJS-Fälle</t>
  </si>
  <si>
    <t>Fieber 
[°C]-d1</t>
  </si>
  <si>
    <t>PTT-d2</t>
  </si>
  <si>
    <t>Fieber 
[°C]-Tag unbekannt</t>
  </si>
  <si>
    <t>Reticulozyten-Datum unbekannt (% pro 1000 Erys)</t>
  </si>
  <si>
    <t>GPT-d2w1</t>
  </si>
  <si>
    <t>GGT-d7</t>
  </si>
  <si>
    <t>Fieber 
[°C]-d7</t>
  </si>
  <si>
    <t>Fieber-6 Tage vor Krankheitsbeginn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</si>
  <si>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</si>
  <si>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</si>
  <si>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</si>
  <si>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</si>
  <si>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</si>
  <si>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</si>
  <si>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</si>
  <si>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</si>
  <si>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</si>
  <si>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</si>
  <si>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</si>
  <si>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</si>
  <si>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</si>
  <si>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</si>
  <si>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</si>
  <si>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</si>
  <si>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</si>
  <si>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</si>
  <si>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Hb-d3w1</t>
  </si>
  <si>
    <t xml:space="preserve"> 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</si>
  <si>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</si>
  <si>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</si>
  <si>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</si>
  <si>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</si>
  <si>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</si>
  <si>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</si>
  <si>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</si>
  <si>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</si>
  <si>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</si>
  <si>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</si>
  <si>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</si>
  <si>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</si>
  <si>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</si>
  <si>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</si>
  <si>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</si>
  <si>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</si>
  <si>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</si>
  <si>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</si>
  <si>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</si>
  <si>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</si>
  <si>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</si>
  <si>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</si>
  <si>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</si>
  <si>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</si>
  <si>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</si>
  <si>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</si>
  <si>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</si>
  <si>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MCHC-Datum unbekannt (g/dl)</t>
  </si>
  <si>
    <t>Protein 24h-Sammelurin-Datum unbekannt (mg/dl)</t>
  </si>
  <si>
    <t>Glucose-d7w1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</si>
  <si>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</si>
  <si>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</si>
  <si>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</si>
  <si>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</si>
  <si>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</si>
  <si>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</si>
  <si>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</si>
  <si>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</si>
  <si>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</si>
  <si>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</si>
  <si>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</si>
  <si>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</si>
  <si>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INR-Datum unbekannt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</si>
  <si>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</si>
  <si>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</si>
  <si>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</si>
  <si>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</si>
  <si>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</si>
  <si>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</si>
  <si>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</si>
  <si>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</si>
  <si>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</si>
  <si>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</si>
  <si>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</si>
  <si>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</si>
  <si>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</si>
  <si>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</si>
  <si>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</si>
  <si>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</si>
  <si>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</si>
  <si>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</si>
  <si>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</si>
  <si>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</si>
  <si>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</si>
  <si>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</si>
  <si>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</si>
  <si>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</si>
  <si>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</si>
  <si>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</si>
  <si>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</si>
  <si>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</si>
  <si>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</si>
  <si>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</si>
  <si>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</si>
  <si>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</si>
  <si>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</si>
  <si>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</si>
  <si>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</si>
  <si>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</si>
  <si>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</si>
  <si>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</si>
  <si>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</si>
  <si>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</si>
  <si>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</si>
  <si>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</si>
  <si>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</si>
  <si>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</si>
  <si>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</si>
  <si>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</si>
  <si>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</si>
  <si>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</si>
  <si>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</si>
  <si>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</si>
  <si>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</si>
  <si>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</si>
  <si>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</si>
  <si>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</si>
  <si>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</si>
  <si>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</si>
  <si>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</si>
  <si>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</si>
  <si>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</si>
  <si>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</si>
  <si>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</si>
  <si>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</si>
  <si>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</si>
  <si>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</si>
  <si>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</si>
  <si>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</si>
  <si>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</si>
  <si>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</si>
  <si>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</si>
  <si>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</si>
  <si>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</si>
  <si>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</si>
  <si>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</si>
  <si>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</si>
  <si>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</si>
  <si>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</si>
  <si>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</si>
  <si>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</si>
  <si>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</si>
  <si>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</si>
  <si>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</si>
  <si>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</si>
  <si>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</si>
  <si>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</si>
  <si>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</si>
  <si>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</si>
  <si>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</si>
  <si>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</si>
  <si>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</si>
  <si>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</si>
  <si>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</si>
  <si>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</si>
  <si>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</si>
  <si>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</si>
  <si>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</si>
  <si>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</si>
  <si>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</si>
  <si>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</si>
  <si>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</si>
  <si>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</si>
  <si>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</si>
  <si>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</si>
  <si>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</si>
  <si>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</si>
  <si>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</si>
  <si>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</si>
  <si>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</si>
  <si>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</si>
  <si>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</si>
  <si>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</si>
  <si>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</si>
  <si>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</si>
  <si>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</si>
  <si>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</si>
  <si>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</si>
  <si>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</si>
  <si>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</si>
  <si>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</si>
  <si>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</si>
  <si>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</si>
  <si>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Papulae</t>
  </si>
  <si>
    <t>Oberschenkel</t>
  </si>
  <si>
    <t>Protein
[mg/dl]-d1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</si>
  <si>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</si>
  <si>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</si>
  <si>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</si>
  <si>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</si>
  <si>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</si>
  <si>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</si>
  <si>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</si>
  <si>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</si>
  <si>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</si>
  <si>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</si>
  <si>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</si>
  <si>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</si>
  <si>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</si>
  <si>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GPT (ALT, ALAT, Alanin-Aminotransferase)-d1 (u\l)</t>
  </si>
  <si>
    <t>Bilirubin-d3w1</t>
  </si>
  <si>
    <t>Bilirubin-d6w1</t>
  </si>
  <si>
    <t>GPT-d1w3</t>
  </si>
  <si>
    <t>GOT-d1w3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</si>
  <si>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</si>
  <si>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</si>
  <si>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</si>
  <si>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</si>
  <si>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</si>
  <si>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</si>
  <si>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</si>
  <si>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</si>
  <si>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</si>
  <si>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</si>
  <si>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</si>
  <si>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</si>
  <si>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</si>
  <si>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</si>
  <si>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</si>
  <si>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</si>
  <si>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</si>
  <si>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</si>
  <si>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</si>
  <si>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</si>
  <si>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</si>
  <si>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</si>
  <si>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</si>
  <si>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</si>
  <si>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</si>
  <si>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</si>
  <si>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</si>
  <si>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</si>
  <si>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</si>
  <si>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</si>
  <si>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</si>
  <si>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</si>
  <si>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</si>
  <si>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</si>
  <si>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 xml:space="preserve">Bilirubin-7 Tage vor Krankheitsbeginn </t>
  </si>
  <si>
    <t xml:space="preserve">Bilirubin-2 Tage vor Krankheitsbeginn </t>
  </si>
  <si>
    <t>PTT-d7</t>
  </si>
  <si>
    <t>GPT-2 Tage vor Krankheitsbeginn</t>
  </si>
  <si>
    <t>GPT-7 Tage vor Krankheitsbeginn</t>
  </si>
  <si>
    <t xml:space="preserve">Blut-Bilirubin-d2 </t>
  </si>
  <si>
    <t>Leukozyten-7 Tage vor Krankheitsbeginn</t>
  </si>
  <si>
    <t>Leukozyten-2 Tage vor Krankheitsbeginn</t>
  </si>
  <si>
    <t>INR-d2</t>
  </si>
  <si>
    <t>INR-d5</t>
  </si>
  <si>
    <t>Quick-d1w3</t>
  </si>
  <si>
    <t>PTT-d1w3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</si>
  <si>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</si>
  <si>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</si>
  <si>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</si>
  <si>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</si>
  <si>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</si>
  <si>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</si>
  <si>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Quick-d2w3</t>
  </si>
  <si>
    <t>INR-d2w3</t>
  </si>
  <si>
    <t>PTT-d2w3</t>
  </si>
  <si>
    <t>Natrium-d3</t>
  </si>
  <si>
    <t>INR-d3</t>
  </si>
  <si>
    <t>Quick-d4</t>
  </si>
  <si>
    <t>INR-d4</t>
  </si>
  <si>
    <t>MCHC-d1 (g/dl)</t>
  </si>
  <si>
    <t>GPT-d6w2</t>
  </si>
  <si>
    <t>Quick-d6w2</t>
  </si>
  <si>
    <t>Hb-8 Tage vor Krankheitsbeginn</t>
  </si>
  <si>
    <t>Leukozyten-8 Tage vor Krankheitsbeginn</t>
  </si>
  <si>
    <t>Leukozyten-1 Tag vor Krankheitsbeginn</t>
  </si>
  <si>
    <t xml:space="preserve">Bilirubin-d2 </t>
  </si>
  <si>
    <t>GPT-d6w1m1</t>
  </si>
  <si>
    <t>GGT-d6w1m1</t>
  </si>
  <si>
    <t>GGT-d4w2m2</t>
  </si>
  <si>
    <t>Hb-d1w2</t>
  </si>
  <si>
    <t>Glucose-d1 (mg/dl)</t>
  </si>
  <si>
    <t>Glucose-d3</t>
  </si>
  <si>
    <t>Kalium-d1w2</t>
  </si>
  <si>
    <t>Natrium-d2</t>
  </si>
  <si>
    <t>Natrium-d1w2</t>
  </si>
  <si>
    <t>HbA1C-Datum unbekannt</t>
  </si>
  <si>
    <t>HbA1C-d1 (%)</t>
  </si>
  <si>
    <t>HbA1C-d3</t>
  </si>
  <si>
    <t>MCHC-d2</t>
  </si>
  <si>
    <t>MCHC-d3</t>
  </si>
  <si>
    <t>MCHC-d2w1</t>
  </si>
  <si>
    <t>MCHC-d3w1</t>
  </si>
  <si>
    <t>MCHC-d5w1</t>
  </si>
  <si>
    <t>MCHC-d1w2</t>
  </si>
  <si>
    <t>INR-d6</t>
  </si>
  <si>
    <t>INR-d4w1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</si>
  <si>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</si>
  <si>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</si>
  <si>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</si>
  <si>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</si>
  <si>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</si>
  <si>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</si>
  <si>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</si>
  <si>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</si>
  <si>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</si>
  <si>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</si>
  <si>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</si>
  <si>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</si>
  <si>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</si>
  <si>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</si>
  <si>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</si>
  <si>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</si>
  <si>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</si>
  <si>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</si>
  <si>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Influanca-Vaczin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</si>
  <si>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</si>
  <si>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</si>
  <si>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</si>
  <si>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</si>
  <si>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</si>
  <si>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</si>
  <si>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</si>
  <si>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</si>
  <si>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</si>
  <si>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</si>
  <si>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</si>
  <si>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</si>
  <si>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</si>
  <si>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Buflomedil Hydrochlorid (periphera arterielle Verschlusskrankheit)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</si>
  <si>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</si>
  <si>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</si>
  <si>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</si>
  <si>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</si>
  <si>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</si>
  <si>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</si>
  <si>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</si>
  <si>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12ug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</si>
  <si>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</si>
  <si>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</si>
  <si>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</si>
  <si>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</si>
  <si>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</si>
  <si>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</si>
  <si>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</si>
  <si>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</si>
  <si>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</si>
  <si>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</si>
  <si>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</si>
  <si>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</si>
  <si>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</si>
  <si>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</si>
  <si>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</si>
  <si>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</si>
  <si>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</si>
  <si>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</si>
  <si>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</si>
  <si>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</si>
  <si>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</si>
  <si>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</si>
  <si>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</si>
  <si>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GGT-d7w2</t>
  </si>
  <si>
    <t>Hb-22 Tage vor Krankheitsbeginn</t>
  </si>
  <si>
    <t>Lymphozyten-22 Tage vor Krankheitsbeginn</t>
  </si>
  <si>
    <t>Lymphozyten-d7w1</t>
  </si>
  <si>
    <t>Lymphozyten-d2w2m1</t>
  </si>
  <si>
    <t>GOT-d7w3</t>
  </si>
  <si>
    <t>GPT-d7w3</t>
  </si>
  <si>
    <t>GGT-d7w3</t>
  </si>
  <si>
    <t>Natrium-d7w3</t>
  </si>
  <si>
    <t>LDH-d7w3</t>
  </si>
  <si>
    <t>Natrium-Datum unbekannt</t>
  </si>
  <si>
    <t>GGT-d6w0m2</t>
  </si>
  <si>
    <t>GOT-d6w0m2</t>
  </si>
  <si>
    <t>GPT-d6w0m2</t>
  </si>
  <si>
    <t>Hb-d6w0m2</t>
  </si>
  <si>
    <t>GGT-18 Tage vor Krankheitsbeginn</t>
  </si>
  <si>
    <t>INR-11 Tage vor Krankheitsbeginn</t>
  </si>
  <si>
    <t>PTT-11 Tage vor Krankheitsbeginn</t>
  </si>
  <si>
    <t>Quick-d2w2</t>
  </si>
  <si>
    <t>INR-d2w2</t>
  </si>
  <si>
    <t>Hb-20 Tage vor Krankheitsbeginn</t>
  </si>
  <si>
    <t>Leukozyten-20 Tage vor Krankheitsbeginn</t>
  </si>
  <si>
    <t>MCHC-20 Tage vor Krankheitsbeginn</t>
  </si>
  <si>
    <t>Lymphozyten-20 Tage vor Krankheitsbeginn</t>
  </si>
  <si>
    <t>Lymphozyten-d2w1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</si>
  <si>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</si>
  <si>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</si>
  <si>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</si>
  <si>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</si>
  <si>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</si>
  <si>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</si>
  <si>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GOT-d5w3</t>
  </si>
  <si>
    <t>Glucose-d2</t>
  </si>
  <si>
    <t>Leukozyten-d2w2</t>
  </si>
  <si>
    <t>MCHC-d4</t>
  </si>
  <si>
    <t>MCHC-d2w2</t>
  </si>
  <si>
    <t>GGT-d3w1</t>
  </si>
  <si>
    <t>Natrium-d4</t>
  </si>
  <si>
    <t>Kalium-d4</t>
  </si>
  <si>
    <t>Glucose-d4</t>
  </si>
  <si>
    <t>LDH-d3w1</t>
  </si>
  <si>
    <t>Quick-d2w1</t>
  </si>
  <si>
    <t>Quick-d4w1</t>
  </si>
  <si>
    <t>INR-d2w1</t>
  </si>
  <si>
    <t>INR-d3w1</t>
  </si>
  <si>
    <t>PTT-d3w1</t>
  </si>
  <si>
    <t>PTT-d4w1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</si>
  <si>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</si>
  <si>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</si>
  <si>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</si>
  <si>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</si>
  <si>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</si>
  <si>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</si>
  <si>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</si>
  <si>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Quick-2 Tage vor Krankheitsbeginn</t>
  </si>
  <si>
    <t>Hb-26 Tage vor Krankheitsbeginn</t>
  </si>
  <si>
    <t>GGT-d7w1m1</t>
  </si>
  <si>
    <t>GOT-d7w1m1</t>
  </si>
  <si>
    <t>Lymphozyten-d4w3m2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</si>
  <si>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</si>
  <si>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</si>
  <si>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</si>
  <si>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</si>
  <si>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</si>
  <si>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</si>
  <si>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</si>
  <si>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</si>
  <si>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</si>
  <si>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</si>
  <si>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</si>
  <si>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</si>
  <si>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</si>
  <si>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</si>
  <si>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</si>
  <si>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</si>
  <si>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Bilirubin-d5w3</t>
  </si>
  <si>
    <t>Bilirubin-d6w0m2</t>
  </si>
  <si>
    <t>Bilirubin-d2w0m3</t>
  </si>
  <si>
    <t>GOT-9 Tage vor Krankheitsbeginn</t>
  </si>
  <si>
    <t>GPT-9 Tage vor Krankheitsbeginn</t>
  </si>
  <si>
    <t>GGT-d2w0m1</t>
  </si>
  <si>
    <t>Hb-d7</t>
  </si>
  <si>
    <t>Bilirubin-d1w0m1</t>
  </si>
  <si>
    <t>Bilirubin-d7w0m2</t>
  </si>
  <si>
    <t>Bilirubin-d7w0m1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</si>
  <si>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</si>
  <si>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</si>
  <si>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</si>
  <si>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</si>
  <si>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</si>
  <si>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</si>
  <si>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</si>
  <si>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</si>
  <si>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</si>
  <si>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</si>
  <si>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MCHC-d1w0m1</t>
  </si>
  <si>
    <t>MCHC-d7w0m2</t>
  </si>
  <si>
    <t>MCHC-d3w3m2</t>
  </si>
  <si>
    <t>Quick-d1w1</t>
  </si>
  <si>
    <t>PTT-d1w1</t>
  </si>
  <si>
    <t>INR-d1w1</t>
  </si>
  <si>
    <t>Hb-d1w1</t>
  </si>
  <si>
    <t>Ferritin-d3</t>
  </si>
  <si>
    <t>Magnesium-d1 (mmol/l)</t>
  </si>
  <si>
    <t>GOT-d7w2</t>
  </si>
  <si>
    <t>Hb-d4w1</t>
  </si>
  <si>
    <t>MCHC-d6</t>
  </si>
  <si>
    <t>Leukozyten (WBC)-d1 (\mikrol)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</si>
  <si>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</si>
  <si>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</si>
  <si>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</si>
  <si>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</si>
  <si>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</si>
  <si>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</si>
  <si>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</si>
  <si>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</si>
  <si>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Natrium-d7</t>
  </si>
  <si>
    <t xml:space="preserve">Kalium-d7 </t>
  </si>
  <si>
    <t>Ferritin-d2</t>
  </si>
  <si>
    <t>Quick-d7</t>
  </si>
  <si>
    <t>Quick (TPZ, PTZ, PZ)-d1 (%)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</si>
  <si>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</si>
  <si>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</si>
  <si>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</si>
  <si>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</si>
  <si>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</si>
  <si>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</si>
  <si>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</si>
  <si>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</si>
  <si>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</si>
  <si>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</si>
  <si>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</si>
  <si>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</si>
  <si>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</si>
  <si>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</si>
  <si>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</si>
  <si>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Bilirubin-d1w1</t>
  </si>
  <si>
    <t>Lymphozyten-d1w1</t>
  </si>
  <si>
    <t>GGT-67 Tage vor Krankheitsbeginn</t>
  </si>
  <si>
    <t>GOT-d2w3</t>
  </si>
  <si>
    <t>GPT-d5w2</t>
  </si>
  <si>
    <t>GPT-d2w3</t>
  </si>
  <si>
    <t>GGT-d2w3</t>
  </si>
  <si>
    <t>Quick-d1w2</t>
  </si>
  <si>
    <t>PTT-d1w2</t>
  </si>
  <si>
    <t>Hb-d2w3</t>
  </si>
  <si>
    <t>Leukozyten-d2w3</t>
  </si>
  <si>
    <t>Bilirubin-d5w2</t>
  </si>
  <si>
    <t>Bilirubin-d2w3</t>
  </si>
  <si>
    <t>GOT-d3w0m1</t>
  </si>
  <si>
    <t>LDH-d3w0m1</t>
  </si>
  <si>
    <t>Leukozyten-d3w0m1</t>
  </si>
  <si>
    <t>Lymphozyten-d3w0m1</t>
  </si>
  <si>
    <t>GPT-d3w3</t>
  </si>
  <si>
    <t>Bilirubin-d3w3</t>
  </si>
  <si>
    <t>Serum-Eisen-d3w1</t>
  </si>
  <si>
    <t>Serum-Eisen-d2w2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</si>
  <si>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</si>
  <si>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</si>
  <si>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</si>
  <si>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</si>
  <si>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</si>
  <si>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</si>
  <si>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</si>
  <si>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</si>
  <si>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</si>
  <si>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</si>
  <si>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</si>
  <si>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</si>
  <si>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</si>
  <si>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</si>
  <si>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</si>
  <si>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</si>
  <si>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</si>
  <si>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</si>
  <si>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</si>
  <si>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</si>
  <si>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</si>
  <si>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</si>
  <si>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</si>
  <si>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</si>
  <si>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</si>
  <si>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</si>
  <si>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</si>
  <si>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</si>
  <si>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</si>
  <si>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</si>
  <si>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</si>
  <si>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</si>
  <si>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</si>
  <si>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</si>
  <si>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</si>
  <si>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</si>
  <si>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</si>
  <si>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</si>
  <si>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</si>
  <si>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</si>
  <si>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</si>
  <si>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</si>
  <si>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</si>
  <si>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</si>
  <si>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</si>
  <si>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</si>
  <si>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</si>
  <si>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</si>
  <si>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</si>
  <si>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</si>
  <si>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</si>
  <si>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</si>
  <si>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</si>
  <si>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</si>
  <si>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</si>
  <si>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</si>
  <si>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</si>
  <si>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</si>
  <si>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</si>
  <si>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</si>
  <si>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</si>
  <si>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</si>
  <si>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</si>
  <si>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</si>
  <si>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</si>
  <si>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</si>
  <si>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</si>
  <si>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</si>
  <si>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</si>
  <si>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</si>
  <si>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</si>
  <si>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</si>
  <si>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</si>
  <si>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</si>
  <si>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</si>
  <si>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</si>
  <si>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</si>
  <si>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</si>
  <si>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</si>
  <si>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</si>
  <si>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</si>
  <si>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</si>
  <si>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</si>
  <si>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</si>
  <si>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</si>
  <si>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</si>
  <si>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</si>
  <si>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</si>
  <si>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</si>
  <si>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</si>
  <si>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</si>
  <si>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</si>
  <si>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</si>
  <si>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</si>
  <si>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</si>
  <si>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</si>
  <si>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</si>
  <si>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</si>
  <si>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</si>
  <si>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</si>
  <si>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</si>
  <si>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</si>
  <si>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</si>
  <si>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</si>
  <si>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</si>
  <si>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</si>
  <si>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</si>
  <si>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</si>
  <si>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</si>
  <si>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</si>
  <si>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</si>
  <si>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</si>
  <si>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</si>
  <si>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</si>
  <si>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</si>
  <si>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</si>
  <si>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</si>
  <si>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</si>
  <si>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</si>
  <si>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</si>
  <si>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</si>
  <si>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</si>
  <si>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</si>
  <si>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</si>
  <si>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</si>
  <si>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</si>
  <si>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</si>
  <si>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</si>
  <si>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</si>
  <si>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</si>
  <si>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</si>
  <si>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</si>
  <si>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</si>
  <si>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</si>
  <si>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</si>
  <si>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</si>
  <si>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</si>
  <si>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</si>
  <si>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</si>
  <si>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</si>
  <si>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</si>
  <si>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</si>
  <si>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</si>
  <si>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</si>
  <si>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</si>
  <si>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t xml:space="preserve">Direktes Bilirubin-Datum unbekannt (mg/dl) 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</si>
  <si>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</si>
  <si>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</si>
  <si>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</si>
  <si>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</si>
  <si>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</si>
  <si>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</si>
  <si>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</si>
  <si>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</si>
  <si>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</si>
  <si>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</si>
  <si>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</si>
  <si>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</si>
  <si>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</si>
  <si>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</si>
  <si>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</si>
  <si>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</si>
  <si>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</si>
  <si>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</si>
  <si>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</si>
  <si>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</si>
  <si>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</si>
  <si>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</si>
  <si>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</si>
  <si>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</si>
  <si>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</si>
  <si>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</si>
  <si>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</si>
  <si>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</si>
  <si>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</si>
  <si>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</si>
  <si>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</si>
  <si>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</si>
  <si>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</si>
  <si>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</si>
  <si>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</si>
  <si>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</si>
  <si>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</si>
  <si>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</si>
  <si>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</si>
  <si>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</si>
  <si>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</si>
  <si>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</si>
  <si>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</si>
  <si>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</si>
  <si>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</si>
  <si>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</si>
  <si>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</si>
  <si>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</si>
  <si>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</si>
  <si>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</si>
  <si>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</si>
  <si>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</si>
  <si>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</si>
  <si>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</si>
  <si>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</si>
  <si>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</si>
  <si>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</si>
  <si>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</si>
  <si>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</si>
  <si>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</si>
  <si>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</si>
  <si>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</si>
  <si>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</si>
  <si>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</si>
  <si>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</si>
  <si>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</si>
  <si>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</si>
  <si>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</si>
  <si>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</si>
  <si>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</si>
  <si>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</si>
  <si>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</si>
  <si>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</si>
  <si>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</si>
  <si>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</si>
  <si>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</si>
  <si>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</si>
  <si>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</si>
  <si>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</si>
  <si>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</si>
  <si>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</si>
  <si>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</si>
  <si>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</si>
  <si>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</si>
  <si>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</si>
  <si>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</si>
  <si>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</si>
  <si>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</si>
  <si>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</si>
  <si>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</si>
  <si>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</si>
  <si>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</si>
  <si>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</si>
  <si>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</si>
  <si>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</si>
  <si>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</si>
  <si>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</si>
  <si>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</si>
  <si>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</si>
  <si>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</si>
  <si>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</si>
  <si>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</si>
  <si>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</si>
  <si>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</si>
  <si>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</si>
  <si>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</si>
  <si>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</si>
  <si>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</si>
  <si>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</si>
  <si>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</si>
  <si>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</si>
  <si>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</si>
  <si>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</si>
  <si>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</si>
  <si>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</si>
  <si>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</si>
  <si>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</si>
  <si>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</si>
  <si>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</si>
  <si>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</si>
  <si>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</si>
  <si>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</si>
  <si>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</si>
  <si>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</si>
  <si>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</si>
  <si>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</si>
  <si>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</si>
  <si>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</si>
  <si>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</si>
  <si>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</si>
  <si>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</si>
  <si>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</si>
  <si>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</si>
  <si>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</si>
  <si>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</si>
  <si>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</si>
  <si>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</si>
  <si>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</si>
  <si>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</si>
  <si>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</si>
  <si>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</si>
  <si>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 xml:space="preserve">Bilirubin-12 Tage vor Krankheitsbeginn 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</si>
  <si>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</si>
  <si>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</si>
  <si>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</si>
  <si>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</si>
  <si>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</si>
  <si>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</si>
  <si>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</si>
  <si>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</si>
  <si>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</si>
  <si>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</si>
  <si>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</si>
  <si>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</si>
  <si>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</si>
  <si>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</si>
  <si>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</si>
  <si>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</si>
  <si>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</si>
  <si>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</si>
  <si>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</si>
  <si>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</si>
  <si>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GOT-d5w0m1</t>
  </si>
  <si>
    <t>GOT-d4w2m2</t>
  </si>
  <si>
    <t>GPT-d5w0m1</t>
  </si>
  <si>
    <t>GPT-d4w2m2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</si>
  <si>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</si>
  <si>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</si>
  <si>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</si>
  <si>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</si>
  <si>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</si>
  <si>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</si>
  <si>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</si>
  <si>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</si>
  <si>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Bilirubin-d4w0m1</t>
  </si>
  <si>
    <t>Bilirubin-d5w0m1</t>
  </si>
  <si>
    <t>Bilirubin-d4w2m2</t>
  </si>
  <si>
    <t>Quick-d6w1</t>
  </si>
  <si>
    <t>Quick-d4w0m1</t>
  </si>
  <si>
    <t>GGT-9 Tage vor Krankheitsbeginn</t>
  </si>
  <si>
    <t>GOT-6 Tage vor Krankheitsbeginn</t>
  </si>
  <si>
    <t>GPT-6 Tage vor Krankheitsbeginn</t>
  </si>
  <si>
    <t>Hb-d4w2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</si>
  <si>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</si>
  <si>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</si>
  <si>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</si>
  <si>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</si>
  <si>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</si>
  <si>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</si>
  <si>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</si>
  <si>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Lymphozyten-11 Tage vor Krankheitsbeginn</t>
  </si>
  <si>
    <t>Hb-11 Tage vor Krankheitsbeginn</t>
  </si>
  <si>
    <t>MCHC-11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</si>
  <si>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</si>
  <si>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</si>
  <si>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</si>
  <si>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</si>
  <si>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</si>
  <si>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Glucose-11 Tage vor Krankheitsbeginn (mg/dl)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</si>
  <si>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</si>
  <si>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</si>
  <si>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</si>
  <si>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</si>
  <si>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Serum-Eisen-11 Tage vor Krankheitsbeginn</t>
  </si>
  <si>
    <t>Magnesium-d4</t>
  </si>
  <si>
    <t>Chlorid-Datum unbekannt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</si>
  <si>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</si>
  <si>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</si>
  <si>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</si>
  <si>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</si>
  <si>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</si>
  <si>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</si>
  <si>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</si>
  <si>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</si>
  <si>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</si>
  <si>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</si>
  <si>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</si>
  <si>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</si>
  <si>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</si>
  <si>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</si>
  <si>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 xml:space="preserve">Bilirubin-8 Tage vor Krankheitsbeginn </t>
  </si>
  <si>
    <t>Phosphat-d1 (mmol/l)</t>
  </si>
  <si>
    <t>Phosphat-Datum unbekannt</t>
  </si>
  <si>
    <t>Phosphat-8 Tage vor Krankheitsbeginn</t>
  </si>
  <si>
    <t>Quick-8 Tage vor Krankheitsbeginn</t>
  </si>
  <si>
    <t>INR-8 Tage vor Krankheitsbeginn</t>
  </si>
  <si>
    <t>PTT-8 Tage vor Krankheitsbeginn</t>
  </si>
  <si>
    <t>Leukozyten-5 Tage vor Krankheitsbeginn</t>
  </si>
  <si>
    <t>MCHC-8 Tage vor Krankheitsbeginn</t>
  </si>
  <si>
    <t xml:space="preserve">Bilirubin-5 Tage vor Krankheitsbeginn </t>
  </si>
  <si>
    <t>GOT-5 Tage vor Krankheitsbeginn</t>
  </si>
  <si>
    <t>LDH-5 Tage vor Krankheitsbeginn</t>
  </si>
  <si>
    <t>0.3756</t>
  </si>
  <si>
    <t>Lactat-d5</t>
  </si>
  <si>
    <t>Protein
-d5</t>
  </si>
  <si>
    <t>44.5</t>
  </si>
  <si>
    <t>Hb-6 Tage vor Krankheitsbeginn</t>
  </si>
  <si>
    <t>Hb-5 Tage vor Krankheitsbeginn</t>
  </si>
  <si>
    <t>MCHC-7 Tage vor Krankheitsbeginn</t>
  </si>
  <si>
    <t>MCHC-6 Tage vor Krankheitsbeginn</t>
  </si>
  <si>
    <t>Lymphozyten-7 Tage vor Krankheitsbeginn (%)</t>
  </si>
  <si>
    <t>Lymphozyten-6 Tage vor Krankheitsbeginn (%)</t>
  </si>
  <si>
    <t>Quick-7 Tage vor Krankheitsbeginn</t>
  </si>
  <si>
    <t>INR-7 Tage vor Krankheitsbeginn</t>
  </si>
  <si>
    <t>INR-d7</t>
  </si>
  <si>
    <t>Glucose-6 Tage vor Krankheitsbeginn (mg/dl)</t>
  </si>
  <si>
    <t>LDH-6 Tage vor Krankheitsbeginn</t>
  </si>
  <si>
    <t xml:space="preserve">Bilirubin-6 Tage vor Krankheitsbeginn </t>
  </si>
  <si>
    <t>Ferritin-7 Tage vor Krankheitsbeginn</t>
  </si>
  <si>
    <t>Hb-12 Tage vor Krankheitsbeginn</t>
  </si>
  <si>
    <t>MCHC-12 Tage vor Krankheitsbeginn</t>
  </si>
  <si>
    <t>PTT-12 Tage vor Krankheitsbeginn</t>
  </si>
  <si>
    <t>Lymphozyten-12 Tage vor Krankheitsbeginn</t>
  </si>
  <si>
    <t>Quick-12 Tage vor Krankheitsbeginn</t>
  </si>
  <si>
    <t>INR-12 Tage vor Krankheitsbeginn</t>
  </si>
  <si>
    <t>Kalium-12 Tage vor Krankheitsbeginn</t>
  </si>
  <si>
    <t>Kalzium-12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</si>
  <si>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</si>
  <si>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</si>
  <si>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</si>
  <si>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</si>
  <si>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</si>
  <si>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</si>
  <si>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</si>
  <si>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</si>
  <si>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Kalium-2 Tage vor Krankheitsbeginn</t>
  </si>
  <si>
    <t>Natrium-2 Tage vor Krankheitsbeginn</t>
  </si>
  <si>
    <t>Hb-2 Tage vor Krankheitsbeginn</t>
  </si>
  <si>
    <t>Glucose-2 Tage vor Krankheitsbeginn (mg/dl)</t>
  </si>
  <si>
    <t>PTT-2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</si>
  <si>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</si>
  <si>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</si>
  <si>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</si>
  <si>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</si>
  <si>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</si>
  <si>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</si>
  <si>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</si>
  <si>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</si>
  <si>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</si>
  <si>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</si>
  <si>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</si>
  <si>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</si>
  <si>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</si>
  <si>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</si>
  <si>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</si>
  <si>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</si>
  <si>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</si>
  <si>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</si>
  <si>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</si>
  <si>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</si>
  <si>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</si>
  <si>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</si>
  <si>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</si>
  <si>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</si>
  <si>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</si>
  <si>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</si>
  <si>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</si>
  <si>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</si>
  <si>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</si>
  <si>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</si>
  <si>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</si>
  <si>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</si>
  <si>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</si>
  <si>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</si>
  <si>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</si>
  <si>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</si>
  <si>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</si>
  <si>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</si>
  <si>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</si>
  <si>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</si>
  <si>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</si>
  <si>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</si>
  <si>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</si>
  <si>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</si>
  <si>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</si>
  <si>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</si>
  <si>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</si>
  <si>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</si>
  <si>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</si>
  <si>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</si>
  <si>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</si>
  <si>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</si>
  <si>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</si>
  <si>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</si>
  <si>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</si>
  <si>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</si>
  <si>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</si>
  <si>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</si>
  <si>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</si>
  <si>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</si>
  <si>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</si>
  <si>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</si>
  <si>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</si>
  <si>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</si>
  <si>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</si>
  <si>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</si>
  <si>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</si>
  <si>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</si>
  <si>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</si>
  <si>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</si>
  <si>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Bilirubin-d2w3m1</t>
  </si>
  <si>
    <t>Bilirubin-d7w1m5</t>
  </si>
  <si>
    <t>INR-d6w1</t>
  </si>
  <si>
    <t>Bilirubin-d5w2m1</t>
  </si>
  <si>
    <t>Bilirubin-d5w2m2</t>
  </si>
  <si>
    <t>Bilirubin-d6w1m3</t>
  </si>
  <si>
    <t>GOT-d5w2m1</t>
  </si>
  <si>
    <t>GOT-d5w2m2</t>
  </si>
  <si>
    <t>GOT- (u\l) d6w1m3</t>
  </si>
  <si>
    <t>GPT- (u\l) d5w2m1</t>
  </si>
  <si>
    <t>GPT-d5w2m2</t>
  </si>
  <si>
    <t>GPT- (u\l) d6w1m3</t>
  </si>
  <si>
    <t>GGT- (u\l) d5w2m1</t>
  </si>
  <si>
    <t>GGT-d5w2m2</t>
  </si>
  <si>
    <t>GGT- (u\l)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</si>
  <si>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</si>
  <si>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</si>
  <si>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</si>
  <si>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</si>
  <si>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</si>
  <si>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</si>
  <si>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</si>
  <si>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</si>
  <si>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</si>
  <si>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</si>
  <si>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</si>
  <si>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</si>
  <si>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</si>
  <si>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</si>
  <si>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</si>
  <si>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</si>
  <si>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</si>
  <si>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</si>
  <si>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GGT- (u\l) d4w2m1</t>
  </si>
  <si>
    <t>GGT-d4w1m2</t>
  </si>
  <si>
    <t>Serum-Eisen-d1w2</t>
  </si>
  <si>
    <t>MCHC- (g/dl) d4w3</t>
  </si>
  <si>
    <t>GOT-d4w1m2</t>
  </si>
  <si>
    <t>GPT-d4w3</t>
  </si>
  <si>
    <t>GPT-d4w1m2</t>
  </si>
  <si>
    <t>Leukozyten-d4w3</t>
  </si>
  <si>
    <t>GGT-d3w3</t>
  </si>
  <si>
    <t>Kalzium- (mmol/l) d4w1</t>
  </si>
  <si>
    <t>Kalzium-d3w3</t>
  </si>
  <si>
    <t>Chlorid-d3w3</t>
  </si>
  <si>
    <t>GPT-1 Tag vor Krankheitsbeginn</t>
  </si>
  <si>
    <t>GOT-1 Tag vor Krankheitsbeginn</t>
  </si>
  <si>
    <t>619.8</t>
  </si>
  <si>
    <t>GPT-d6w3</t>
  </si>
  <si>
    <t>GOT-d6w3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</si>
  <si>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</si>
  <si>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</si>
  <si>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</si>
  <si>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</si>
  <si>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</si>
  <si>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</si>
  <si>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</si>
  <si>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</si>
  <si>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</si>
  <si>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</si>
  <si>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</si>
  <si>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</si>
  <si>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</si>
  <si>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</si>
  <si>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</si>
  <si>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GPT- (u\l) d4w2m1</t>
  </si>
  <si>
    <t>175.2</t>
  </si>
  <si>
    <t>Hb-14 Tage vor Krankheitsbeginn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</si>
  <si>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</si>
  <si>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</si>
  <si>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</si>
  <si>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</si>
  <si>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</si>
  <si>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</si>
  <si>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</si>
  <si>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</si>
  <si>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</si>
  <si>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GPT-d3w1m1</t>
  </si>
  <si>
    <t>GPT-d2w0m2</t>
  </si>
  <si>
    <t>GOT-d3w1m1</t>
  </si>
  <si>
    <t>GOT-d2w0m2</t>
  </si>
  <si>
    <t>GGT-d2w0m2</t>
  </si>
  <si>
    <t>GGT-d3w1m1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</si>
  <si>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</si>
  <si>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</si>
  <si>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</si>
  <si>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</si>
  <si>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</si>
  <si>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</si>
  <si>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Kalium-d7w2</t>
  </si>
  <si>
    <t>Natrium- (mmol/l) d7w2</t>
  </si>
  <si>
    <t>Kalzium-d3w2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</si>
  <si>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</si>
  <si>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</si>
  <si>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</si>
  <si>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</si>
  <si>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</si>
  <si>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</si>
  <si>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</si>
  <si>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</si>
  <si>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</si>
  <si>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</si>
  <si>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</si>
  <si>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</si>
  <si>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</si>
  <si>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</si>
  <si>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</si>
  <si>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</si>
  <si>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</si>
  <si>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</si>
  <si>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</si>
  <si>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</si>
  <si>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</si>
  <si>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</si>
  <si>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</si>
  <si>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</si>
  <si>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</si>
  <si>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</si>
  <si>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</si>
  <si>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</si>
  <si>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</si>
  <si>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Valproat (Antikonvulsivum)</t>
  </si>
  <si>
    <t>Indometacin (NSAID)</t>
  </si>
  <si>
    <t>Felodipin (Hypertonie)</t>
  </si>
  <si>
    <t>Pilocarpin (Parasympathikomimetikum)</t>
  </si>
  <si>
    <t>intraocular</t>
  </si>
  <si>
    <t>10mg 3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</si>
  <si>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</si>
  <si>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</si>
  <si>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</si>
  <si>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</si>
  <si>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</si>
  <si>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</si>
  <si>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</si>
  <si>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</si>
  <si>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</si>
  <si>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</si>
  <si>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</si>
  <si>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</si>
  <si>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</si>
  <si>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</si>
  <si>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</si>
  <si>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</si>
  <si>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</si>
  <si>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</si>
  <si>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</si>
  <si>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</si>
  <si>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</si>
  <si>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</si>
  <si>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</si>
  <si>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</si>
  <si>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</si>
  <si>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</si>
  <si>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</si>
  <si>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</si>
  <si>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</si>
  <si>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</si>
  <si>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</si>
  <si>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</si>
  <si>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</si>
  <si>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</si>
  <si>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</si>
  <si>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</si>
  <si>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</si>
  <si>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</si>
  <si>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Leberbiopsie, Sonographie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</si>
  <si>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</si>
  <si>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</si>
  <si>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</si>
  <si>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</si>
  <si>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</si>
  <si>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</si>
  <si>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</si>
  <si>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</si>
  <si>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</si>
  <si>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</si>
  <si>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</si>
  <si>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</si>
  <si>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</si>
  <si>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</si>
  <si>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</si>
  <si>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</si>
  <si>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</si>
  <si>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</si>
  <si>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</si>
  <si>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</si>
  <si>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</si>
  <si>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>Quick-1 Tag vor Krankheitsbeginn</t>
  </si>
  <si>
    <t>GOT-d4w3m1</t>
  </si>
  <si>
    <t>GOT-d5w3m1</t>
  </si>
  <si>
    <t>GOT-d1w0m2</t>
  </si>
  <si>
    <t>GPT- (u\l) d4w3m1</t>
  </si>
  <si>
    <t>GPT- (u\l) d5w3m1</t>
  </si>
  <si>
    <t>GPT-d1w0m2</t>
  </si>
  <si>
    <t>GGT- (u\l) d4w3m1</t>
  </si>
  <si>
    <t>GGT- (u\l) d5w3m1</t>
  </si>
  <si>
    <t>GGT-d1w0m2</t>
  </si>
  <si>
    <t>Quick-d4w3m1</t>
  </si>
  <si>
    <t>INR-d4w3m1</t>
  </si>
  <si>
    <t>PTT-d4w3m1</t>
  </si>
  <si>
    <t>Natrium-d4w3m1</t>
  </si>
  <si>
    <t>Kalium-d4w3m1</t>
  </si>
  <si>
    <t>Kalzium-d4w0m1</t>
  </si>
  <si>
    <t>Leukozyten-d4w3m1</t>
  </si>
  <si>
    <t>Hb- [g/dl] d4w3m1</t>
  </si>
  <si>
    <t xml:space="preserve">CK-MB- (U\l) d5w3m1 </t>
  </si>
  <si>
    <t>LDH- (u\l) d5w3m1</t>
  </si>
  <si>
    <t>Bilirubin-d4w3m1</t>
  </si>
  <si>
    <t>GOT-d3w1m2</t>
  </si>
  <si>
    <t>GPT-d3w1m2</t>
  </si>
  <si>
    <t>GGT-d3w1m2</t>
  </si>
  <si>
    <t>LDH- (u\l) d3w1m2</t>
  </si>
  <si>
    <t>Quick-d3w1m2</t>
  </si>
  <si>
    <t>LDH- (u\l) d4w3m1</t>
  </si>
  <si>
    <t>Hb-d3w1m2</t>
  </si>
  <si>
    <t>Protein-d1 (mg/dl)</t>
  </si>
  <si>
    <t>Bilirubin-64 Tage vor Krankheitsbeginn (mg/dl)</t>
  </si>
  <si>
    <t>Bilirubin-64 Tage vor Krankheitsbeginn</t>
  </si>
  <si>
    <t>Leukozyten 64 Tage vor Krankheitsbeginn</t>
  </si>
  <si>
    <t>LDH-64 Tage vor Krankheitsbeginn (u\l)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</si>
  <si>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</si>
  <si>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</si>
  <si>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</si>
  <si>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</si>
  <si>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</si>
  <si>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</si>
  <si>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</si>
  <si>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</si>
  <si>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</si>
  <si>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</si>
  <si>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</si>
  <si>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</si>
  <si>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</si>
  <si>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</si>
  <si>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</si>
  <si>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</si>
  <si>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</si>
  <si>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</si>
  <si>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</si>
  <si>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</si>
  <si>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</si>
  <si>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Leukozyten-3 Tage vor Krankheitsbeginn</t>
  </si>
  <si>
    <t>MCHC-3 Tage vor Krankheitsbeginn</t>
  </si>
  <si>
    <t>MCHC-2 Tage vor Krankheitsbeginn</t>
  </si>
  <si>
    <t>MCHC-1 Tag vor Krankheitsbeginn</t>
  </si>
  <si>
    <t>Quick-3 Tage vor Krankheitsbeginn</t>
  </si>
  <si>
    <t>INR-3 Tage vor Krankheitsbeginn</t>
  </si>
  <si>
    <t>INR-1 Tag vor Krankheitsbeginn</t>
  </si>
  <si>
    <t>Natrium-d7w1</t>
  </si>
  <si>
    <t>Kalium-d7w1</t>
  </si>
  <si>
    <t>Glucose-d1w1</t>
  </si>
  <si>
    <t>GPT-d7w0m1</t>
  </si>
  <si>
    <t>GOT-d7w0m1</t>
  </si>
  <si>
    <t>GGT-d7w0m1</t>
  </si>
  <si>
    <t>Protein-d2 (mg/dl)</t>
  </si>
  <si>
    <t>Protein-d4 (mg/dl)</t>
  </si>
  <si>
    <t>GPT-114 Tage vor Krankheitsbeginn (u\l)</t>
  </si>
  <si>
    <t>GPT-107 Tage vor Krankheitsbeginn (u\l)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</si>
  <si>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</si>
  <si>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</si>
  <si>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</si>
  <si>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</si>
  <si>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</si>
  <si>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</si>
  <si>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</si>
  <si>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</si>
  <si>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</si>
  <si>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Bilirubin-d4w2m1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</si>
  <si>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</si>
  <si>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</si>
  <si>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</si>
  <si>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</si>
  <si>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</si>
  <si>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</si>
  <si>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GGT-275 Tage vor Krankheitsbeginn (u\l)</t>
  </si>
  <si>
    <t>GGT-37 Tage vor Krankheitsbeginn</t>
  </si>
  <si>
    <t>Quick-37 Tage vor Krankheitsbeginn</t>
  </si>
  <si>
    <t>GPT-30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</si>
  <si>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</si>
  <si>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</si>
  <si>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</si>
  <si>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</si>
  <si>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</si>
  <si>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</si>
  <si>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</si>
  <si>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</si>
  <si>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400ug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</si>
  <si>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</si>
  <si>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</si>
  <si>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</si>
  <si>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</si>
  <si>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</si>
  <si>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</si>
  <si>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</si>
  <si>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</si>
  <si>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</si>
  <si>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</si>
  <si>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Dosis (Mg/Tag)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</si>
  <si>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</si>
  <si>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</si>
  <si>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</si>
  <si>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</si>
  <si>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</si>
  <si>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</si>
  <si>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</si>
  <si>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</si>
  <si>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</si>
  <si>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</si>
  <si>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</si>
  <si>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</si>
  <si>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</si>
  <si>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</si>
  <si>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</si>
  <si>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</si>
  <si>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</si>
  <si>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</si>
  <si>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</si>
  <si>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</si>
  <si>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</si>
  <si>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</si>
  <si>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</si>
  <si>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</si>
  <si>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</si>
  <si>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</si>
  <si>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</si>
  <si>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</si>
  <si>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</si>
  <si>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</si>
  <si>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</si>
  <si>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</si>
  <si>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</si>
  <si>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</si>
  <si>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</si>
  <si>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</si>
  <si>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</si>
  <si>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</si>
  <si>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</si>
  <si>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</si>
  <si>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</si>
  <si>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</si>
  <si>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</si>
  <si>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</si>
  <si>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</si>
  <si>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</si>
  <si>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</si>
  <si>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</si>
  <si>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Östrogen</t>
  </si>
  <si>
    <t>Kalzium-d1w1</t>
  </si>
  <si>
    <t>11,23333333333333‬</t>
  </si>
  <si>
    <t>kann man das wirklich zu Symptomen hinzuzählen?</t>
  </si>
  <si>
    <t xml:space="preserve">Diclofenac </t>
  </si>
  <si>
    <t xml:space="preserve">Ibuprofen </t>
  </si>
  <si>
    <t xml:space="preserve">Paracetamol </t>
  </si>
  <si>
    <t>CK</t>
  </si>
  <si>
    <t>Day of Observation</t>
  </si>
  <si>
    <t>Total Number of Observations</t>
  </si>
  <si>
    <t>ck-12 tage vor krankheitsbeginn</t>
  </si>
  <si>
    <t>ck-11 tage vor krankheitsbeginn</t>
  </si>
  <si>
    <t>ck-7 tage vor krankheitsbeginn</t>
  </si>
  <si>
    <t>ck-6 tage vor krankheitsbeginn</t>
  </si>
  <si>
    <t xml:space="preserve">ck-4 tage vor krankheitsbeginn </t>
  </si>
  <si>
    <t>ck-3 tage vor krankheitsbeginn</t>
  </si>
  <si>
    <t xml:space="preserve">ck-2 tage vor krankheitsbeginn  </t>
  </si>
  <si>
    <t xml:space="preserve">ck-1 tag vor krankheitsbeginn  </t>
  </si>
  <si>
    <t>ck-datum unbekannt</t>
  </si>
  <si>
    <t xml:space="preserve">ck-d1 </t>
  </si>
  <si>
    <t>ck-d2</t>
  </si>
  <si>
    <t>ck-d3</t>
  </si>
  <si>
    <t>ck-d4</t>
  </si>
  <si>
    <t>ck-  d5</t>
  </si>
  <si>
    <t>ck-d6</t>
  </si>
  <si>
    <t>ck-d7</t>
  </si>
  <si>
    <t>ck-d1w1</t>
  </si>
  <si>
    <t>ck-d2w1</t>
  </si>
  <si>
    <t xml:space="preserve">ck-d3w1 </t>
  </si>
  <si>
    <t>ck-d4w1</t>
  </si>
  <si>
    <t>ck-  d6w1</t>
  </si>
  <si>
    <t>ck-d1w2</t>
  </si>
  <si>
    <t>ck-d2w2</t>
  </si>
  <si>
    <t xml:space="preserve">ck-d4w2 </t>
  </si>
  <si>
    <t>ck-  d3w3</t>
  </si>
  <si>
    <t>ck-  d5w3m1</t>
  </si>
  <si>
    <t>ck</t>
  </si>
  <si>
    <t xml:space="preserve">ck-4 tage vor krankheitsbeginn  , ck-3 tage vor krankheitsbeginn , ck-2 tage vor krankheitsbeginn   , ck-datum unbekannt , ck-d1  , ck-d7 , ck-d4w2 </t>
  </si>
  <si>
    <t>ck-d1  , ck-d3</t>
  </si>
  <si>
    <t>ck-d1  , ck-d2 , ck-d1w1 , ck-d2w1 , ck-d3w1  , ck-d4w1</t>
  </si>
  <si>
    <t>ck-d1  , ck-d2 , ck-d3 , ck-d4 , ck-  d5 , ck-d1w1</t>
  </si>
  <si>
    <t>ck-d2 , ck-d3</t>
  </si>
  <si>
    <t>ck-d1w2 , ck-d2w2</t>
  </si>
  <si>
    <t xml:space="preserve">ck-d1  , ck-d2 , ck-d6 , ck-d7 , ck-d1w1 , ck-d3w1 </t>
  </si>
  <si>
    <t>ck-11 tage vor krankheitsbeginn , ck-d2 , ck-d3 , ck-d2w1</t>
  </si>
  <si>
    <t>ck-7 tage vor krankheitsbeginn , ck-6 tage vor krankheitsbeginn</t>
  </si>
  <si>
    <t>ck-12 tage vor krankheitsbeginn , ck-7 tage vor krankheitsbeginn</t>
  </si>
  <si>
    <t>ck-  d5 , ck-d1w1</t>
  </si>
  <si>
    <t>ck-2 tage vor krankheitsbeginn   , ck-1 tag vor krankheitsbeginn   , ck-d1  , ck-d2</t>
  </si>
  <si>
    <t>CK-MB</t>
  </si>
  <si>
    <t>Day of Observations</t>
  </si>
  <si>
    <t xml:space="preserve">CK-MB-4 Tage vor Krankheitsbeginn (U\l) , CK-MB-3 Tage vor Krankheitsbeginn , CK-MB-2 Tage vor Krankheitsbeginn (U\l) , CK-MB-d1 (U/L) , CK-MB-d7 , CK-MB-d4w2 </t>
  </si>
  <si>
    <t xml:space="preserve">CK-MB-d1 (U/L) , CK-MB-d2 , CK-MB- (U\l) d1w1 , CK-MB-d2w1  , CK-MB-d3w1  , CK-MB-d4w1 </t>
  </si>
  <si>
    <t>Quick</t>
  </si>
  <si>
    <t>Total number of Observations</t>
  </si>
  <si>
    <t>Quick-d2  , Quick-d3</t>
  </si>
  <si>
    <t>Quick (TPZ, PTZ, PZ)-d1 (%) , Quick-d3 , Quick-d6 , Quick-d1w1</t>
  </si>
  <si>
    <t>Quick (TPZ, PTZ, PZ)-d1 (%) , Quick-d2  , Quick-d3</t>
  </si>
  <si>
    <t>Quick-d1w3 , Quick-d2w3</t>
  </si>
  <si>
    <t>Quick-d4 , Quick- (%) d3w2 , Quick-d6w2</t>
  </si>
  <si>
    <t>Quick (TPZ, PTZ, PZ)-d1 (%) , Quick-d3</t>
  </si>
  <si>
    <t>Quick-11 Tage vor Krankheitsbeginn (%) , Quick-d2w2</t>
  </si>
  <si>
    <t>Quick (TPZ, PTZ, PZ)-d1 (%) , Quick-d2  , Quick-d2w1 , Quick- (%) d3w1 , Quick-d4w1</t>
  </si>
  <si>
    <t>Quick-2 Tage vor Krankheitsbeginn , Quick (TPZ, PTZ, PZ)-d1 (%)</t>
  </si>
  <si>
    <t>Quick (TPZ, PTZ, PZ)-d1 (%) , Quick-d2  , Quick-d3 , Quick-d4</t>
  </si>
  <si>
    <t>Quick-d2  , Quick-d3 , Quick-d1w1 , Quick-d2w1</t>
  </si>
  <si>
    <t>Quick-d4 , Quick- (%) d5 , Quick-d6 , Quick-d2w1</t>
  </si>
  <si>
    <t>Quick (TPZ, PTZ, PZ)-d1 (%) , Quick-d4 , Quick- (%) d3w1</t>
  </si>
  <si>
    <t>Quick- (%) d3w1 , Quick- (%) d3w3</t>
  </si>
  <si>
    <t>Quick-Datum unbekannt (%) , Quick (TPZ, PTZ, PZ)-d1 (%)</t>
  </si>
  <si>
    <t>Quick (TPZ, PTZ, PZ)-d1 (%) , Quick-d5w0m1 , Quick-d5w2m1 , Quick-d5w2m2 , Quick-d6w1m3</t>
  </si>
  <si>
    <t xml:space="preserve">Quick (TPZ, PTZ, PZ)-d1 (%) , Quick-d2 </t>
  </si>
  <si>
    <t>Quick- (%) d5 , Quick-d7 , Quick- (%) d3w1 , Quick-d5w1 , Quick-d2w2 , Quick- (%) d3w2</t>
  </si>
  <si>
    <t>Quick- (%) d3w1 , Quick-d6w1 , Quick-d4w0m1</t>
  </si>
  <si>
    <t>Quick-11 Tage vor Krankheitsbeginn (%) , Quick-d4</t>
  </si>
  <si>
    <t>Quick-11 Tage vor Krankheitsbeginn (%) , Quick-8 Tage vor Krankheitsbeginn , Quick (TPZ, PTZ, PZ)-d1 (%) , Quick-d2  , Quick-d3 , Quick-d2w1</t>
  </si>
  <si>
    <t>Quick-d2  , Quick-d4</t>
  </si>
  <si>
    <t>Quick-d2  , Quick-d6</t>
  </si>
  <si>
    <t>Quick-7 Tage vor Krankheitsbeginn , Quick-d7</t>
  </si>
  <si>
    <t xml:space="preserve">Quick-2 Tage vor Krankheitsbeginn , Quick-d2 </t>
  </si>
  <si>
    <t>Quick-1 Tag vor Krankheitsbeginn , Quick (TPZ, PTZ, PZ)-d1 (%) , Quick-d2  , Quick- (%) d5</t>
  </si>
  <si>
    <t xml:space="preserve">Quick-3 Tage vor Krankheitsbeginn , Quick-2 Tage vor Krankheitsbeginn , Quick-1 Tag vor Krankheitsbeginn , Quick (TPZ, PTZ, PZ)-d1 (%) , Quick-d2 </t>
  </si>
  <si>
    <t>Quick-d3 , Quick-d4 , Quick- (%) d5 , Quick-d6</t>
  </si>
  <si>
    <t>Quick-37 Tage vor Krankheitsbeginn , Quick-2 Tage vor Krankheitsbeginn , Quick-d2w1</t>
  </si>
  <si>
    <t>Quick-d1w1 , Quick-d4w1</t>
  </si>
  <si>
    <t>Quick (TPZ, PTZ, PZ)-d1 (%) , Quick-d2  , Quick-d4</t>
  </si>
  <si>
    <t>INR</t>
  </si>
  <si>
    <t>INR-d1w3 , INR-d6w0m1</t>
  </si>
  <si>
    <t>INR-d1 , INR-d2 , INR-d5</t>
  </si>
  <si>
    <t>INR-d1w3 , INR-d2w3</t>
  </si>
  <si>
    <t>INR-d1 , INR-d2 , INR-d3</t>
  </si>
  <si>
    <t>INR-d1 , INR-d3</t>
  </si>
  <si>
    <t>INR-d3 , INR-d6 , INR-d4w1</t>
  </si>
  <si>
    <t>INR-11 Tage vor Krankheitsbeginn , INR-d2w2</t>
  </si>
  <si>
    <t>INR-d1 , INR-d2 , INR-d2w1 , INR-d3w1 , INR-d4w1</t>
  </si>
  <si>
    <t>INR-d2 , INR-d3 , INR-d1w1 , INR-d2w1</t>
  </si>
  <si>
    <t>INR-d4 , INR-d5 , INR-d6 , INR-d2w1</t>
  </si>
  <si>
    <t>INR-d1 , INR-d2 , INR-d3 , INR-d4</t>
  </si>
  <si>
    <t>INR-d1 , INR-d6w1</t>
  </si>
  <si>
    <t>INR-d5w0m1 , INR-d5w2m1 , INR-d5w2m2 , INR-d6w1m3</t>
  </si>
  <si>
    <t>INR-d6 , INR-d1w1</t>
  </si>
  <si>
    <t>INR-11 Tage vor Krankheitsbeginn , INR-8 Tage vor Krankheitsbeginn , INR-d1 , INR-d2 , INR-d3 , INR-d2w1</t>
  </si>
  <si>
    <t>INR-d2 , INR-d4</t>
  </si>
  <si>
    <t>INR-d2 , INR-d6</t>
  </si>
  <si>
    <t>INR-7 Tage vor Krankheitsbeginn , INR-d7</t>
  </si>
  <si>
    <t>INR-3 Tage vor Krankheitsbeginn , INR-2 Tage vor Krankheitsbeginn , INR-1 Tag vor Krankheitsbeginn , INR-d1 , INR-d2</t>
  </si>
  <si>
    <t>INR-d3 , INR-d4</t>
  </si>
  <si>
    <t>INR-d1 , INR-d2</t>
  </si>
  <si>
    <t>PTT-d1 (sec.) , PTT-d3 , PTT-d6</t>
  </si>
  <si>
    <t>PTT-d1 (sec.) , PTT-d2 , PTT-d3</t>
  </si>
  <si>
    <t>PTT-d1w3 , PTT-d2w3</t>
  </si>
  <si>
    <t>PTT-d1 (sec.) , PTT-d3</t>
  </si>
  <si>
    <t>PTT-11 Tage vor Krankheitsbeginn , PTT- (sec.) d2w2</t>
  </si>
  <si>
    <t>PTT-d1 (sec.) , PTT-d2 , PTT- (sec.) d2w1 , PTT-d3w1 , PTT-d4w1</t>
  </si>
  <si>
    <t>PTT-d1 (sec.) , PTT-d2 , PTT-d3 , PTT- (sec.) d4</t>
  </si>
  <si>
    <t>PTT-d2 , PTT-d3 , PTT-d1w1 , PTT- (sec.) d2w1</t>
  </si>
  <si>
    <t>PTT-d1 (sec.) , PTT-d5w0m1 , PTT-d5w2m1 , PTT-d5w2m2 , PTT-d6w1m3</t>
  </si>
  <si>
    <t>PTT-6 Tage vor Krankheitsbeginn , PTT-d1 (sec.) , PTT-d2</t>
  </si>
  <si>
    <t>PTT-7 Tage vor Krankheitsbeginn , PTT-6 Tage vor Krankheitsbeginn , PTT-5 Tage vor Krankheitsbeginn , PTT-4 Tage vor Krankheitsbeginn , PTT-d5 , PTT-d7 , PTT-d3w1 , PTT-d5w1 , PTT- (sec.) d2w2 , PTT-d3w2</t>
  </si>
  <si>
    <t>PTT-d6 , PTT-d1w1 , PTT-d5w1 , PTT-d4w0m1</t>
  </si>
  <si>
    <t>PTT-11 Tage vor Krankheitsbeginn , PTT- (sec.) d4</t>
  </si>
  <si>
    <t>PTT-11 Tage vor Krankheitsbeginn , PTT-8 Tage vor Krankheitsbeginn , PTT-d1 (sec.) , PTT-d2 , PTT-d3 , PTT- (sec.) d2w1</t>
  </si>
  <si>
    <t>PTT-d2 , PTT- (sec.) d4</t>
  </si>
  <si>
    <t>PTT-d2 , PTT-d6</t>
  </si>
  <si>
    <t>PTT-7 Tage vor Krankheitsbeginn , PTT-d7</t>
  </si>
  <si>
    <t>PTT-2 Tage vor Krankheitsbeginn , PTT-d2</t>
  </si>
  <si>
    <t>PTT-d1 (sec.) , PTT-d2</t>
  </si>
  <si>
    <t>PTT-d1 (sec.) , PTT-d2 , PTT- (sec.) d4</t>
  </si>
  <si>
    <t>Leukozyten</t>
  </si>
  <si>
    <t>Leukozyten- (\mikrol) d3 , Leukozyten-d5</t>
  </si>
  <si>
    <t>Leukozyten-d5 , Leukozyten-d6 , Leukozyten- (\mikrol) d1w0m1</t>
  </si>
  <si>
    <t>Leukozyten-39 Tage vor Krankheitsbeginn , Leukozyten-d4</t>
  </si>
  <si>
    <t>Leukozyten-4 Tage vor Krankheitsbeginn (\mikrol) , Leukozyten- (\mikrol) d3</t>
  </si>
  <si>
    <t>Leukozyten-d6 , Leukozyten-d4w1</t>
  </si>
  <si>
    <t>Leukozyten-d6 , Leukozyten- (\mikrol) d7</t>
  </si>
  <si>
    <t>Leukozyten (WBC)-d1 (\mikrol) , Leukozyten-d2 , Leukozyten- (\mikrol) d3 , Leukozyten-d4 , Leukozyten-d6 , Leukozyten-d2w1 , Leukozyten- (\mikrol) d5w1 , Leukozyten-w2 , Leukozyten- (\mikrol) d3w2</t>
  </si>
  <si>
    <t>Leukozyten-12 Tage vor Krankheitsbeginn , Leukozyten (WBC)-d1 (\mikrol)</t>
  </si>
  <si>
    <t>Leukozyten-d6w1 , Leukozyten-d6w2</t>
  </si>
  <si>
    <t>Leukozyten- (\mikrol) d7 , Leukozyten-d2w1 , Leukozyten-d4w1</t>
  </si>
  <si>
    <t>Leukozyten-d4 , Leukozyten-d3w1 , Leukozyten-d7w1m2 , Leukozyten-d1w3m5</t>
  </si>
  <si>
    <t>Leukozyten-Datum unbekannt (\mikrol) , Leukozyten-w2 , Leukozyten-d1w3</t>
  </si>
  <si>
    <t>Leukozyten-7 Tage vor Krankheitsbeginn , Leukozyten-2 Tage vor Krankheitsbeginn</t>
  </si>
  <si>
    <t>Leukozyten-d4 , Leukozyten-d5 , Leukozyten- (\mikrol) d5w1 , Leukozyten- (\mikrol) d6w3</t>
  </si>
  <si>
    <t>Leukozyten-8 Tage vor Krankheitsbeginn , Leukozyten-1 Tag vor Krankheitsbeginn , Leukozyten (WBC)-d1 (\mikrol) , Leukozyten- (\mikrol) d3 , Leukozyten-d2w1</t>
  </si>
  <si>
    <t>Leukozyten (WBC)-d1 (\mikrol) , Leukozyten- (\mikrol) d3 , Leukozyten-d6w1</t>
  </si>
  <si>
    <t>Leukozyten-36 Tage vor Krankheitsbeginn (\mikrol) , Leukozyten-20 Tage vor Krankheitsbeginn , Leukozyten (WBC)-d1 (\mikrol) , Leukozyten-d2w1 , Leukozyten-d1w2</t>
  </si>
  <si>
    <t>Leukozyten-d4 , Leukozyten-d3w1 , Leukozyten- (\mikrol) d5w1 , Leukozyten-d2w2</t>
  </si>
  <si>
    <t>Leukozyten (WBC)-d1 (\mikrol) , Leukozyten-d2 , Leukozyten-d2w1 , Leukozyten-d3w1 , Leukozyten-d4w1</t>
  </si>
  <si>
    <t>Leukozyten (WBC)-d1 (\mikrol) , Leukozyten-d2 , Leukozyten- (\mikrol) d3 , Leukozyten-d4</t>
  </si>
  <si>
    <t>Leukozyten (WBC)-d1 (\mikrol) , Leukozyten- (\mikrol) d3</t>
  </si>
  <si>
    <t>Leukozyten (WBC)-d1 (\mikrol) , Leukozyten-d1w1</t>
  </si>
  <si>
    <t>Leukozyten-d2 , Leukozyten- (\mikrol) d1w0m1 , Leukozyten-d7w0m2</t>
  </si>
  <si>
    <t>Leukozyten-d2 , Leukozyten-d4 , Leukozyten-d5 , Leukozyten-d6 , Leukozyten- (\mikrol) d7 , Leukozyten-d2w1 , Leukozyten-d4w1 , Leukozyten-d1w2</t>
  </si>
  <si>
    <t>Leukozyten (WBC)-d1 (\mikrol) , Leukozyten-d2 , Leukozyten- (\mikrol) d3</t>
  </si>
  <si>
    <t>Leukozyten (WBC)-d1 (\mikrol) , Leukozyten-d2 , Leukozyten-d4 , Leukozyten-d3w1</t>
  </si>
  <si>
    <t>Leukozyten-d5 , Leukozyten-d1w1</t>
  </si>
  <si>
    <t>Leukozyten (WBC)-d1 (\mikrol) , Leukozyten- (\mikrol) d3 , Leukozyten-d6</t>
  </si>
  <si>
    <t>Leukozyten-d1w2 , Leukozyten-d7w2 , Leukozyten-d2w3</t>
  </si>
  <si>
    <t>Leukozyten (WBC)-d1 (\mikrol) , Leukozyten-d2 , Leukozyten-d4 , Leukozyten- (\mikrol) d7 , Leukozyten-d3w1 , Leukozyten-d1w2 , Leukozyten-d4w3</t>
  </si>
  <si>
    <t>Leukozyten-d4 , Leukozyten- (\mikrol) d3w2</t>
  </si>
  <si>
    <t>Leukozyten-11 Tage vor Krankheitsbeginn , Leukozyten- (\mikrol) d3 , Leukozyten-d4</t>
  </si>
  <si>
    <t>Leukozyten-11 Tage vor Krankheitsbeginn , Leukozyten-8 Tage vor Krankheitsbeginn , Leukozyten-7 Tage vor Krankheitsbeginn , Leukozyten-5 Tage vor Krankheitsbeginn , Leukozyten-d2 , Leukozyten- (\mikrol) d3 , Leukozyten- (\mikrol) d7 , Leukozyten-d2w1</t>
  </si>
  <si>
    <t>Leukozyten-d2 , Leukozyten- (\mikrol) d3 , Leukozyten-d4w1</t>
  </si>
  <si>
    <t>Leukozyten-d4w1 , Leukozyten- (\mikrol) d5w1</t>
  </si>
  <si>
    <t>Leukozyten (WBC)-d1 (\mikrol) , Leukozyten-d2 , Leukozyten-d6 , Leukozyten-d2w1</t>
  </si>
  <si>
    <t>Leukozyten-7 Tage vor Krankheitsbeginn , Leukozyten-5 Tage vor Krankheitsbeginn , Leukozyten (WBC)-d1 (\mikrol) , Leukozyten-d2w1</t>
  </si>
  <si>
    <t>Leukozyten-12 Tage vor Krankheitsbeginn , Leukozyten-8 Tage vor Krankheitsbeginn , Leukozyten-7 Tage vor Krankheitsbeginn</t>
  </si>
  <si>
    <t>Leukozyten-2 Tage vor Krankheitsbeginn , Leukozyten-d2</t>
  </si>
  <si>
    <t>Leukozyten-1 Tag vor Krankheitsbeginn , Leukozyten (WBC)-d1 (\mikrol) , Leukozyten-d2 , Leukozyten- (\mikrol) d3 , Leukozyten-d4 , Leukozyten-d5</t>
  </si>
  <si>
    <t>Leukozyten (WBC)-d1 (\mikrol) , Leukozyten- (\mikrol) d3 , Leukozyten- (\mikrol) d7</t>
  </si>
  <si>
    <t>Leukozyten 64 Tage vor Krankheitsbeginn , Leukozyten-d5</t>
  </si>
  <si>
    <t>Leukozyten-3 Tage vor Krankheitsbeginn , Leukozyten-2 Tage vor Krankheitsbeginn , Leukozyten-1 Tag vor Krankheitsbeginn , Leukozyten (WBC)-d1 (\mikrol) , Leukozyten-d2</t>
  </si>
  <si>
    <t>Leukozyten-d2 , Leukozyten-d6 , Leukozyten-d1w1 , Leukozyten-d3w1 , Leukozyten- (\mikrol) d5w1</t>
  </si>
  <si>
    <t>Leukozyten-48 Tage vor Krankheitsbeginn , Leukozyten-27 Tage vor Krankheitsbeginn , Leukozyten-9 Tage vor Krankheitsbeginn (\mikrol) , Leukozyten-d2 , Leukozyten- (\mikrol) d3 , Leukozyten-d4 , Leukozyten-d5</t>
  </si>
  <si>
    <t>Leukozyten-d4 , Leukozyten-d4w1</t>
  </si>
  <si>
    <t>GOT</t>
  </si>
  <si>
    <t>GOT-d1w1 , GOT-d5w1</t>
  </si>
  <si>
    <t>GOT-4 Tage vor Krankheitsbeginn , GOT-3 Tage vor Krankheitsbeginn , GOT- (u\l) d7</t>
  </si>
  <si>
    <t>GOT-d5 , GOT-d6 , GOT-d1w0m1</t>
  </si>
  <si>
    <t>GOT-d4w1 , GOT-d1w2 , GOT-d3w2 , GOT-d1w0m1 , GOT-d3w0m1</t>
  </si>
  <si>
    <t>GOT-d2  , GOT-d3 , GOT- (u\l) d4 , GOT-d6 , GOT-d1w1 , GOT-d2w1 , GOT-d5w1 , GOT-d3w2</t>
  </si>
  <si>
    <t>GOT- (u\l) d4 , GOT- (u\l) d3w1 , GOT-d7w1m2</t>
  </si>
  <si>
    <t>GOT-d1w2 , GOT-d4w2</t>
  </si>
  <si>
    <t>GOT (AST, ASAT, Aspartat aminotransferase)-d1 (u\l) , GOT-d2  , GOT- (u\l) d4 , GOT- (u\l) d7</t>
  </si>
  <si>
    <t>GOT (AST, ASAT, Aspartat aminotransferase)-d1 (u\l) , GOT- (u\l) d4</t>
  </si>
  <si>
    <t>GOT- (u\l) d6w1 , GOT-d5w2</t>
  </si>
  <si>
    <t>GOT-Datum unbekannt (u\l) , GOT (AST, ASAT, Aspartat aminotransferase)-d1 (u\l)</t>
  </si>
  <si>
    <t>GOT-d1w1 , GOT- (u\l) d3w1 , GOT- (u\l) d6w1</t>
  </si>
  <si>
    <t>GOT (AST, ASAT, Aspartat aminotransferase)-d1 (u\l) , GOT-d2  , GOT- (u\l) d4</t>
  </si>
  <si>
    <t>GOT-d1w3 , GOT-d6w0m1</t>
  </si>
  <si>
    <t>GOT-7 Tage vor Krankheitsbeginn (u\l) , GOT-2 Tage vor Krankheitsbeginn , GOT-d3 , GOT- (u\l) d7</t>
  </si>
  <si>
    <t>GOT-d3w2 , GOT- (u\l) d6w2</t>
  </si>
  <si>
    <t>GOT-d3 , GOT-d6 , GOT-d2w1</t>
  </si>
  <si>
    <t>GOT (AST, ASAT, Aspartat aminotransferase)-d1 (u\l) , GOT-d3</t>
  </si>
  <si>
    <t>GOT (AST, ASAT, Aspartat aminotransferase)-d1 (u\l) , GOT-d2  , GOT-d3 , GOT- (u\l) d4 , GOT-d1w1 , GOT-d5w1</t>
  </si>
  <si>
    <t>GOT-22 Tage vor Krankheitsbeginn , GOT (AST, ASAT, Aspartat aminotransferase)-d1 (u\l) , GOT-d6 , GOT-d7w1</t>
  </si>
  <si>
    <t>GOT (AST, ASAT, Aspartat aminotransferase)-d1 (u\l) , GOT-d7w3</t>
  </si>
  <si>
    <t>GOT-d5 , GOT-d6w0m2</t>
  </si>
  <si>
    <t>GOT-36 Tage vor Krankheitsbeginn , GOT-20 Tage vor Krankheitsbeginn , GOT (AST, ASAT, Aspartat aminotransferase)-d1 (u\l) , GOT-d2w1 , GOT-d1w2</t>
  </si>
  <si>
    <t>GOT-d2  , GOT-d5w1 , GOT-d5w3</t>
  </si>
  <si>
    <t>GOT- (u\l) d4 , GOT-d6 , GOT- (u\l) d3w1 , GOT-d5w1 , GOT- (u\l) d2w2</t>
  </si>
  <si>
    <t>GOT (AST, ASAT, Aspartat aminotransferase)-d1 (u\l) , GOT-d2  , GOT-d1w1 , GOT-d2w1 , GOT- (u\l) d3w1 , GOT-d4w1</t>
  </si>
  <si>
    <t>GOT (AST, ASAT, Aspartat aminotransferase)-d1 (u\l) , GOT-d4w2 , GOT-d7w1m1</t>
  </si>
  <si>
    <t>GOT (AST, ASAT, Aspartat aminotransferase)-d1 (u\l) , GOT-d7w3m2 , GOT-d2w0m3</t>
  </si>
  <si>
    <t>GOT-9 Tage vor Krankheitsbeginn , GOT-7 Tage vor Krankheitsbeginn (u\l) , GOT (AST, ASAT, Aspartat aminotransferase)-d1 (u\l) , GOT- (u\l) d2w2</t>
  </si>
  <si>
    <t>GOT-d2  , GOT-d3 , GOT-d4w1</t>
  </si>
  <si>
    <t>GOT (AST, ASAT, Aspartat aminotransferase)-d1 (u\l) , GOT-d2  , GOT-d3 , GOT- (u\l) d4 , GOT-d5 , GOT-d1w1</t>
  </si>
  <si>
    <t>GOT-d4w1 , GOT- (u\l) d6w2 , GOT- (u\l) d2w0m1</t>
  </si>
  <si>
    <t>GOT-d2  , GOT-d1w0m1 , GOT- (u\l) d7w0m2 , GOT- (u\l) d3w3m2</t>
  </si>
  <si>
    <t>GOT-d2  , GOT-d3</t>
  </si>
  <si>
    <t>GOT-d2  , GOT-d5w1 , GOT-d1w3</t>
  </si>
  <si>
    <t>GOT (AST, ASAT, Aspartat aminotransferase)-d1 (u\l) , GOT-d2  , GOT- (u\l) d4 , GOT-d2w1 , GOT-d7w1 , GOT-d7w2 , GOT-d4w0m1</t>
  </si>
  <si>
    <t>GOT-d2  , GOT-d3 , GOT- (u\l) d4 , GOT-d5 , GOT-d6 , GOT- (u\l) d7 , GOT-d2w1 , GOT-d4w1 , GOT-d1w2 , GOT-d3w2</t>
  </si>
  <si>
    <t>GOT (AST, ASAT, Aspartat aminotransferase)-d1 (u\l) , GOT-d2  , GOT-d3 , GOT- (u\l) d4 , GOT-d6 , GOT- (u\l) d3w1</t>
  </si>
  <si>
    <t>GOT-d1w1 , GOT- (u\l) d6w1 , GOT-d3w2</t>
  </si>
  <si>
    <t>GOT-105 Tage vor Krankheitsbeginn (u\l) , GOT-7 Tage vor Krankheitsbeginn (u\l) , GOT (AST, ASAT, Aspartat aminotransferase)-d1 (u\l) , GOT-d1w1 , GOT- (u\l) d6w1 , GOT-d4w2 , GOT- (u\l) d7w0m2</t>
  </si>
  <si>
    <t>GOT (AST, ASAT, Aspartat aminotransferase)-d1 (u\l) , GOT-d3 , GOT-d6</t>
  </si>
  <si>
    <t>GOT-d1w2 , GOT-d5w2 , GOT-d7w2 , GOT-d2w3</t>
  </si>
  <si>
    <t>GOT-Datum unbekannt (u\l) , GOT (AST, ASAT, Aspartat aminotransferase)-d1 (u\l) , GOT-d3w0m1</t>
  </si>
  <si>
    <t>GOT- (u\l) d3w1 , GOT-d5w2 , GOT- (u\l) d3w3</t>
  </si>
  <si>
    <t>GOT (AST, ASAT, Aspartat aminotransferase)-d1 (u\l) , GOT-d1w2 , GOT- (u\l) d2w2</t>
  </si>
  <si>
    <t>GOT (AST, ASAT, Aspartat aminotransferase)-d1 (u\l) , GOT-d2w3m1 , GOT- (u\l) d3w2m3 , GOT- (u\l) d7w1m5</t>
  </si>
  <si>
    <t>GOT (AST, ASAT, Aspartat aminotransferase)-d1 (u\l) , GOT- (u\l) d6w1</t>
  </si>
  <si>
    <t>GOT (AST, ASAT, Aspartat aminotransferase)-d1 (u\l) , GOT-d5w0m1 , GOT-d5w2m1 , GOT-d5w2m2 , GOT- (u\l) d6w1m3</t>
  </si>
  <si>
    <t>GOT (AST, ASAT, Aspartat aminotransferase)-d1 (u\l) , GOT-d2  , GOT-d3 , GOT- (u\l) d4 , GOT-d5 , GOT- (u\l) d7 , GOT-d1w1 , GOT- (u\l) d3w1 , GOT-d1w2 , GOT-d4w3 , GOT-d4w1m2 , GOT-d4w2m2</t>
  </si>
  <si>
    <t>GOT-d4w1 , GOT- (u\l) d2w2 , GOT- (u\l) d3w3 , GOT-d1w0m1</t>
  </si>
  <si>
    <t>GOT (AST, ASAT, Aspartat aminotransferase)-d1 (u\l) , GOT-d4w1</t>
  </si>
  <si>
    <t>GOT (AST, ASAT, Aspartat aminotransferase)-d1 (u\l) , GOT-d5w1 , GOT-d1w2 , GOT-d5w2 , GOT-d1w3 , GOT-d6w3 , GOT-d7w1m1 , GOT-d3w2m1 , GOT-d5w2m1 , GOT-d7w2m1 , GOT-d3w3m1 , GOT-d7w3m1</t>
  </si>
  <si>
    <t>GOT- (u\l) d3w1 , GOT-d5w1 , GOT- (u\l) d2w2 , GOT- (u\l) d3w3</t>
  </si>
  <si>
    <t>GOT- (u\l) d4 , GOT-d5 , GOT-d6 , GOT-d2w1</t>
  </si>
  <si>
    <t>GOT- (u\l) d4 , GOT- (u\l) d3w1 , GOT- (u\l) d2w2 , GOT-d4w2</t>
  </si>
  <si>
    <t>GOT (AST, ASAT, Aspartat aminotransferase)-d1 (u\l) , GOT-d1w2m1</t>
  </si>
  <si>
    <t>GOT (AST, ASAT, Aspartat aminotransferase)-d1 (u\l) , GOT-d3 , GOT- (u\l) d4 , GOT-d7w1 , GOT-d6w0m2</t>
  </si>
  <si>
    <t>GOT-6 Tage vor Krankheitsbeginn , GOT-d5 , GOT- (u\l) d7 , GOT-d1w1 , GOT-d5w1 , GOT-d7w1 , GOT- (u\l) d6w2 , GOT-d1w3</t>
  </si>
  <si>
    <t>GOT- (u\l) d4 , GOT-d5w1m1</t>
  </si>
  <si>
    <t>GOT (AST, ASAT, Aspartat aminotransferase)-d1 (u\l) , GOT-d2  , GOT- (u\l) d3w1 , GOT-d3w1m1 , GOT-d2w0m2</t>
  </si>
  <si>
    <t>GOT-d2  , GOT-d3 , GOT- (u\l) d4 , GOT-d5 , GOT-d6 , GOT- (u\l) d7 , GOT-d1w2 , GOT-d2w3 , GOT-d7w3</t>
  </si>
  <si>
    <t>GOT-Datum unbekannt (u\l) , GOT-d3w0m1</t>
  </si>
  <si>
    <t>GOT-d3w2 , GOT-d5w2 , GOT- (u\l) d6w2 , GOT-d3w0m1 , GOT-d4w2m1</t>
  </si>
  <si>
    <t>GOT-56 Tage vor Krankheitsbeginn , GOT (AST, ASAT, Aspartat aminotransferase)-d1 (u\l) , GOT-d1w1 , GOT-d5w3</t>
  </si>
  <si>
    <t>GOT- (u\l) d6w1 , GOT-d1w2 , GOT-d3w2 , GOT-d7w2</t>
  </si>
  <si>
    <t xml:space="preserve">GOT (AST, ASAT, Aspartat aminotransferase)-d1 (u\l) , GOT-d2 </t>
  </si>
  <si>
    <t>GOT-d2  , GOT- (u\l) d4</t>
  </si>
  <si>
    <t>GOT (AST, ASAT, Aspartat aminotransferase)-d1 (u\l) , GOT-d2  , GOT- (u\l) d4 , GOT-d5w1 , GOT-d6w0m3</t>
  </si>
  <si>
    <t>GOT-26 Tage vor Krankheitsbeginn , GOT (AST, ASAT, Aspartat aminotransferase)-d1 (u\l) , GOT-d2  , GOT- (u\l) d4</t>
  </si>
  <si>
    <t>GOT-d2  , GOT-d4w0m1 , GOT-d2w1m1 , GOT-d4w2m2 , GOT- (u\l) d6w2m3</t>
  </si>
  <si>
    <t>GOT-Datum unbekannt (u\l) , GOT-d1w1</t>
  </si>
  <si>
    <t>GOT-13 Tage vor Krankheitsbeginn , GOT-12 Tage vor Krankheitsbeginn , GOT-4 Tage vor Krankheitsbeginn , GOT-Datum unbekannt (u\l) , GOT (AST, ASAT, Aspartat aminotransferase)-d1 (u\l) , GOT-d2  , GOT-d3 , GOT- (u\l) d4 , GOT-d5 , GOT-d6 , GOT- (u\l) d7 , GOT-d1w1 , GOT- (u\l) d3w1 , GOT-d5w1 , GOT- (u\l) d2w2 , GOT-d5w2 , GOT-d2w3 , GOT-d4w3</t>
  </si>
  <si>
    <t>GOT-d6 , GOT-d1w1 , GOT- (u\l) d3w1 , GOT-d5w1 , GOT- (u\l) d6w1 , GOT- (u\l) d6w2 , GOT-d4w0m1 , GOT-d5w0m1 , GOT-d5w2m2</t>
  </si>
  <si>
    <t>GOT-20 Tage vor Krankheitsbeginn , GOT-6 Tage vor Krankheitsbeginn , GOT (AST, ASAT, Aspartat aminotransferase)-d1 (u\l) , GOT-d6 , GOT- (u\l) d6w2 , GOT-d6w0m1</t>
  </si>
  <si>
    <t>GOT (AST, ASAT, Aspartat aminotransferase)-d1 (u\l) , GOT-d3 , GOT-d4w2</t>
  </si>
  <si>
    <t>GOT-11 Tage vor Krankheitsbeginn , GOT-d2  , GOT-d3 , GOT-d2w1</t>
  </si>
  <si>
    <t>GOT-d3 , GOT- (u\l) d4 , GOT-d1w1 , GOT-d1w2</t>
  </si>
  <si>
    <t>GOT-5 Tage vor Krankheitsbeginn , GOT-2 Tage vor Krankheitsbeginn , GOT (AST, ASAT, Aspartat aminotransferase)-d1 (u\l) , GOT-d2  , GOT-d3 , GOT- (u\l) d4</t>
  </si>
  <si>
    <t>GOT-d4w1 , GOT-d5w1 , GOT-d1w2 , GOT-d4w2</t>
  </si>
  <si>
    <t>GOT (AST, ASAT, Aspartat aminotransferase)-d1 (u\l) , GOT-d5</t>
  </si>
  <si>
    <t>GOT (AST, ASAT, Aspartat aminotransferase)-d1 (u\l) , GOT-d2  , GOT-d6 , GOT-d2w1</t>
  </si>
  <si>
    <t>GOT-Datum unbekannt (u\l) , GOT- (u\l) d4</t>
  </si>
  <si>
    <t>GOT-7 Tage vor Krankheitsbeginn (u\l) , GOT-6 Tage vor Krankheitsbeginn , GOT (AST, ASAT, Aspartat aminotransferase)-d1 (u\l) , GOT-d5 , GOT-d2w1</t>
  </si>
  <si>
    <t>GOT-12 Tage vor Krankheitsbeginn , GOT-8 Tage vor Krankheitsbeginn , GOT-7 Tage vor Krankheitsbeginn (u\l) , GOT-4 Tage vor Krankheitsbeginn , GOT (AST, ASAT, Aspartat aminotransferase)-d1 (u\l)</t>
  </si>
  <si>
    <t xml:space="preserve">GOT-2 Tage vor Krankheitsbeginn , GOT-d2 </t>
  </si>
  <si>
    <t>GOT-d3 , GOT- (u\l) d4</t>
  </si>
  <si>
    <t>GOT-1 Tag vor Krankheitsbeginn , GOT (AST, ASAT, Aspartat aminotransferase)-d1 (u\l) , GOT-d2  , GOT-d5</t>
  </si>
  <si>
    <t>GOT-2 Tage vor Krankheitsbeginn , GOT-1 Tag vor Krankheitsbeginn , GOT (AST, ASAT, Aspartat aminotransferase)-d1 (u\l) , GOT-d2  , GOT-d3 , GOT- (u\l) d4 , GOT-d5 , GOT-d6 , GOT-d1w1 , GOT-d2w1 , GOT-d7w1 , GOT-d1w2 , GOT- (u\l) d2w2</t>
  </si>
  <si>
    <t>GOT-2 Tage vor Krankheitsbeginn , GOT (AST, ASAT, Aspartat aminotransferase)-d1 (u\l) , GOT-d3 , GOT- (u\l) d7</t>
  </si>
  <si>
    <t>GOT (AST, ASAT, Aspartat aminotransferase)-d1 (u\l) , GOT-d5 , GOT-d5w1</t>
  </si>
  <si>
    <t>GOT (AST, ASAT, Aspartat aminotransferase)-d1 (u\l) , GOT-d3 , GOT- (u\l) d4 , GOT-d1w1 , GOT-d4w1 , GOT- (u\l) d6w1</t>
  </si>
  <si>
    <t xml:space="preserve">GOT-3 Tage vor Krankheitsbeginn , GOT-2 Tage vor Krankheitsbeginn , GOT-1 Tag vor Krankheitsbeginn , GOT (AST, ASAT, Aspartat aminotransferase)-d1 (u\l) , GOT-d2 </t>
  </si>
  <si>
    <t>GOT (AST, ASAT, Aspartat aminotransferase)-d1 (u\l) , GOT- (u\l) d4 , GOT-d1w1 , GOT-d7w1 , GOT-d5w2</t>
  </si>
  <si>
    <t>GOT-d2  , GOT- (u\l) d4 , GOT- (u\l) d7 , GOT-d4w1 , GOT-d5w1 , GOT-d7w0m1</t>
  </si>
  <si>
    <t>GOT-114 Tage vor Krankheitsbeginn (u\l) , GOT-107 Tage vor Krankheitsbeginn (u\l) , GOT-36 Tage vor Krankheitsbeginn , GOT (AST, ASAT, Aspartat aminotransferase)-d1 (u\l) , GOT-d2  , GOT-d3 , GOT- (u\l) d7</t>
  </si>
  <si>
    <t>GOT-d3 , GOT- (u\l) d4 , GOT-d5 , GOT-d6 , GOT- (u\l) d7</t>
  </si>
  <si>
    <t>GOT- (u\l) d4 , GOT- (u\l) d7 , GOT-d4w1 , GOT-d1w2 , GOT-d4w0m1 , GOT-d4w2m1</t>
  </si>
  <si>
    <t>GOT-d4w1 , GOT-d1w2 , GOT- (u\l) d2w2 , GOT-d7w3 , GOT-d5w2m1</t>
  </si>
  <si>
    <t>GOT-275 Tage vor Krankheitsbeginn (u\l) , GOT (AST, ASAT, Aspartat aminotransferase)-d1 (u\l) , GOT-d2  , GOT-d2w1</t>
  </si>
  <si>
    <t>GOT (AST, ASAT, Aspartat aminotransferase)-d1 (u\l) , GOT-d2  , GOT- (u\l) d7 , GOT-d1w1 , GOT-d4w1 , GOT-d7w1</t>
  </si>
  <si>
    <t>GOT-d2  , GOT-d6 , GOT-d7w1 , GOT-d1w0m1</t>
  </si>
  <si>
    <t>GOT-d2  , GOT-d3 , GOT- (u\l) d4</t>
  </si>
  <si>
    <t>GOT-d2  , GOT-d3 , GOT-d5 , GOT-d5w1</t>
  </si>
  <si>
    <t>GOT (AST, ASAT, Aspartat aminotransferase)-d1 (u\l) , GOT-d2  , GOT-d6 , GOT-d7w1</t>
  </si>
  <si>
    <t>GOT- (u\l) d4 , GOT-d6 , GOT-d4w1</t>
  </si>
  <si>
    <t>GPT</t>
  </si>
  <si>
    <t>GPT-d1w1 , GPT-d5w1</t>
  </si>
  <si>
    <t>GPT- d5 , GPT-d6 , GPT-d1w0m1</t>
  </si>
  <si>
    <t>GPT-d4w1 , GPT-d1w2 , GPT- (u\l) d3w2 , GPT-d1w0m1 , GPT- (u\l) d3w0m1</t>
  </si>
  <si>
    <t>GPT (ALT, ALAT, Alanin-Aminotransferase)-d1 (u\l) , GPT-d6</t>
  </si>
  <si>
    <t>GPT-d2 , GPT-d3 , GPT- (u\l) d4 , GPT-d6 , GPT-d5w1 , GPT-d7w1</t>
  </si>
  <si>
    <t>GPT- (u\l) d7 , GPT-d2w1</t>
  </si>
  <si>
    <t>GPT- (u\l) d4 , GPT- (u\l) d3w1 , GPT-d7w1m2</t>
  </si>
  <si>
    <t>GPT (ALT, ALAT, Alanin-Aminotransferase)-d1 (u\l) , GPT-d2 , GPT- (u\l) d4 , GPT- (u\l) d7</t>
  </si>
  <si>
    <t>GPT (ALT, ALAT, Alanin-Aminotransferase)-d1 (u\l) , GPT- (u\l) d4</t>
  </si>
  <si>
    <t>GPT-d1w1 , GPT- (u\l) d3w1 , GPT- (u\l) d6w1</t>
  </si>
  <si>
    <t>GPT (ALT, ALAT, Alanin-Aminotransferase)-d1 (u\l) , GPT-d2 , GPT- (u\l) d4</t>
  </si>
  <si>
    <t>GPT-d1w3 , GPT-d6w0m1</t>
  </si>
  <si>
    <t>GPT-7 Tage vor Krankheitsbeginn , GPT-2 Tage vor Krankheitsbeginn , GPT-d3 , GPT- (u\l) d7</t>
  </si>
  <si>
    <t>GPT- (u\l) d3w2 , GPT-d6w2</t>
  </si>
  <si>
    <t>GPT (ALT, ALAT, Alanin-Aminotransferase)-d1 (u\l) , GPT-d3 , GPT-d6 , GPT-d2w1</t>
  </si>
  <si>
    <t>GPT (ALT, ALAT, Alanin-Aminotransferase)-d1 (u\l) , GPT-d3</t>
  </si>
  <si>
    <t>GPT-d3 , GPT-d1w2</t>
  </si>
  <si>
    <t>GPT (ALT, ALAT, Alanin-Aminotransferase)-d1 (u\l) , GPT-d2 , GPT-d3 , GPT- (u\l) d4 , GPT-d1w1 , GPT-d5w1</t>
  </si>
  <si>
    <t>GPT-d6w1m1 , GPT- (u\l) d3w2m3</t>
  </si>
  <si>
    <t>GPT-22 Tage vor Krankheitsbeginn , GPT (ALT, ALAT, Alanin-Aminotransferase)-d1 (u\l) , GPT-d6 , GPT-d7w1 , GPT- (u\l) d3w0m1 , GPT-d2w1m1</t>
  </si>
  <si>
    <t>GPT (ALT, ALAT, Alanin-Aminotransferase)-d1 (u\l) , GPT-d7w3</t>
  </si>
  <si>
    <t>GPT- d5 , GPT-d6w0m2</t>
  </si>
  <si>
    <t>GPT-36 Tage vor Krankheitsbeginn , GPT-20 Tage vor Krankheitsbeginn , GPT (ALT, ALAT, Alanin-Aminotransferase)-d1 (u\l) , GPT-d1w2</t>
  </si>
  <si>
    <t>GPT-d2 , GPT-d2w1 , GPT-d5w1 , GPT- (u\l) d5w3</t>
  </si>
  <si>
    <t>GPT- (u\l) d4 , GPT-d6 , GPT- (u\l) d3w1 , GPT-d5w1 , GPT-d2w2</t>
  </si>
  <si>
    <t>GPT (ALT, ALAT, Alanin-Aminotransferase)-d1 (u\l) , GPT-d2 , GPT-d2w1 , GPT- (u\l) d3w1 , GPT-d4w1</t>
  </si>
  <si>
    <t>GPT-Datum unbekannt , GPT (ALT, ALAT, Alanin-Aminotransferase)-d1 (u\l)</t>
  </si>
  <si>
    <t>GPT (ALT, ALAT, Alanin-Aminotransferase)-d1 (u\l) , GPT-d4w2 , GPT- (u\l) d7w1m1</t>
  </si>
  <si>
    <t>GPT (ALT, ALAT, Alanin-Aminotransferase)-d1 (u\l) , GPT-d7w3m2 , GPT-d2w0m3</t>
  </si>
  <si>
    <t>GPT-9 Tage vor Krankheitsbeginn , GPT-7 Tage vor Krankheitsbeginn , GPT (ALT, ALAT, Alanin-Aminotransferase)-d1 (u\l) , GPT-d2w2</t>
  </si>
  <si>
    <t>GPT-d2 , GPT-d3 , GPT-d4w1</t>
  </si>
  <si>
    <t>GPT-d2 , GPT-d1w0m1 , GPT-d7w0m2 , GPT- (u\l) d3w3m2</t>
  </si>
  <si>
    <t>GPT-d2 , GPT-d3</t>
  </si>
  <si>
    <t>GPT (ALT, ALAT, Alanin-Aminotransferase)-d1 (u\l) , GPT-d5w1 , GPT-d1w3</t>
  </si>
  <si>
    <t>GPT (ALT, ALAT, Alanin-Aminotransferase)-d1 (u\l) , GPT-d2 , GPT- (u\l) d4 , GPT-d2w1 , GPT-d7w1 , GPT- (u\l) d7w2 , GPT- (u\l) d4w0m1</t>
  </si>
  <si>
    <t>GPT-d2 , GPT-d3 , GPT- (u\l) d4 , GPT- d5 , GPT-d6 , GPT- (u\l) d7 , GPT-d2w1 , GPT-d4w1 , GPT-d1w2 , GPT- (u\l) d3w2</t>
  </si>
  <si>
    <t>GPT (ALT, ALAT, Alanin-Aminotransferase)-d1 (u\l) , GPT-d2 , GPT-d3 , GPT- (u\l) d4 , GPT-d6 , GPT- (u\l) d3w1</t>
  </si>
  <si>
    <t>GPT-d1w1 , GPT- (u\l) d6w1 , GPT- (u\l) d3w2</t>
  </si>
  <si>
    <t>GPT-105 Tage vor Krankheitsbeginn (u\l) , GPT-7 Tage vor Krankheitsbeginn , GPT (ALT, ALAT, Alanin-Aminotransferase)-d1 (u\l) , GPT-d1w1 , GPT- (u\l) d6w1 , GPT-d4w2 , GPT-d7w0m2</t>
  </si>
  <si>
    <t>GPT (ALT, ALAT, Alanin-Aminotransferase)-d1 (u\l) , GPT-d3 , GPT-d6</t>
  </si>
  <si>
    <t>GPT-d1w2 , GPT-d5w2 , GPT- (u\l) d7w2 , GPT-d2w3</t>
  </si>
  <si>
    <t>GPT-Datum unbekannt , GPT (ALT, ALAT, Alanin-Aminotransferase)-d1 (u\l) , GPT- (u\l) d3w0m1</t>
  </si>
  <si>
    <t>GPT- (u\l) d3w1 , GPT-d5w2 , GPT-d3w3</t>
  </si>
  <si>
    <t>GPT (ALT, ALAT, Alanin-Aminotransferase)-d1 (u\l) , GPT-d1w2 , GPT-d2w2</t>
  </si>
  <si>
    <t>GPT (ALT, ALAT, Alanin-Aminotransferase)-d1 (u\l) , GPT- (u\l) d2w3m1 , GPT- (u\l) d3w2m3 , GPT- (u\l) d7w1m5</t>
  </si>
  <si>
    <t>GPT (ALT, ALAT, Alanin-Aminotransferase)-d1 (u\l) , GPT- (u\l) d6w1</t>
  </si>
  <si>
    <t>GPT (ALT, ALAT, Alanin-Aminotransferase)-d1 (u\l) , GPT-d5w0m1 , GPT- (u\l) d5w2m1 , GPT-d5w2m2 , GPT- (u\l) d6w1m3</t>
  </si>
  <si>
    <t>GPT (ALT, ALAT, Alanin-Aminotransferase)-d1 (u\l) , GPT-d2 , GPT-d3 , GPT- (u\l) d4 , GPT- d5 , GPT- (u\l) d7 , GPT-d1w1 , GPT- (u\l) d3w1 , GPT-d1w2 , GPT-d4w3 , GPT-d4w1m2 , GPT-d4w2m2</t>
  </si>
  <si>
    <t>GPT-2 Tage vor Krankheitsbeginn , GPT- (u\l) d4 , GPT-d4w2</t>
  </si>
  <si>
    <t>GPT-d4w1 , GPT-d2w2 , GPT-d3w3 , GPT-d1w0m1</t>
  </si>
  <si>
    <t>GPT (ALT, ALAT, Alanin-Aminotransferase)-d1 (u\l) , GPT-d4w1</t>
  </si>
  <si>
    <t>GPT (ALT, ALAT, Alanin-Aminotransferase)-d1 (u\l) , GPT-d5w1 , GPT-d1w2 , GPT-d5w2 , GPT-d1w3 , GPT-d6w3 , GPT- (u\l) d7w1m1 , GPT- (u\l) d3w2m1 , GPT- (u\l) d4w2m1 , GPT- (u\l) d5w2m1 , GPT- (u\l) d7w2m1 , GPT- (u\l) d3w3m1 , GPT- (u\l) d7w3m1</t>
  </si>
  <si>
    <t>GPT- (u\l) d3w1 , GPT-d5w1 , GPT-d2w2 , GPT-d3w3</t>
  </si>
  <si>
    <t>GPT- (u\l) d4 , GPT- d5 , GPT-d6 , GPT-d2w1</t>
  </si>
  <si>
    <t>GPT- (u\l) d4 , GPT- (u\l) d3w1 , GPT-d2w2 , GPT-d4w2</t>
  </si>
  <si>
    <t>GPT (ALT, ALAT, Alanin-Aminotransferase)-d1 (u\l) , GPT-d2 , GPT-d5w1</t>
  </si>
  <si>
    <t>GPT (ALT, ALAT, Alanin-Aminotransferase)-d1 (u\l) , GPT- (u\l) d4 , GPT-d7w1 , GPT-d6w0m2</t>
  </si>
  <si>
    <t>GPT-6 Tage vor Krankheitsbeginn , GPT- d5 , GPT- (u\l) d7 , GPT-d1w1 , GPT-d5w1 , GPT-d7w1 , GPT-d6w2 , GPT-d1w3 , GPT-d4w3</t>
  </si>
  <si>
    <t>GPT-d6 , GPT- (u\l) d7 , GPT-d4w1 , GPT-d5w1m1</t>
  </si>
  <si>
    <t>GPT (ALT, ALAT, Alanin-Aminotransferase)-d1 (u\l) , GPT-d2 , GPT- (u\l) d3w1 , GPT-d3w1m1 , GPT-d2w0m2</t>
  </si>
  <si>
    <t>GPT-d2 , GPT-d3 , GPT- (u\l) d4 , GPT- d5 , GPT-d6 , GPT- (u\l) d7 , GPT-d2w2 , GPT-d2w3 , GPT-d7w3</t>
  </si>
  <si>
    <t>GPT (ALT, ALAT, Alanin-Aminotransferase)-d1 (u\l) , GPT- (u\l) d3w0m1</t>
  </si>
  <si>
    <t>GPT- (u\l) d3w2 , GPT-d4w2 , GPT-d6w2 , GPT- (u\l) d3w0m1 , GPT- (u\l) d2w2m1</t>
  </si>
  <si>
    <t>GPT-54 Tage vor Krankheitsbeginn , GPT (ALT, ALAT, Alanin-Aminotransferase)-d1 (u\l) , GPT-d1w1 , GPT- (u\l) d5w3</t>
  </si>
  <si>
    <t>GPT- (u\l) d6w1 , GPT-d1w2 , GPT- (u\l) d3w2 , GPT- (u\l) d7w2</t>
  </si>
  <si>
    <t>GPT (ALT, ALAT, Alanin-Aminotransferase)-d1 (u\l) , GPT-d2</t>
  </si>
  <si>
    <t>GPT (ALT, ALAT, Alanin-Aminotransferase)-d1 (u\l) , GPT-d2 , GPT- (u\l) d4 , GPT-d5w1 , GPT-d6w0m3</t>
  </si>
  <si>
    <t>GPT-28 Tage vor Krankheitsbeginn , GPT (ALT, ALAT, Alanin-Aminotransferase)-d1 (u\l) , GPT-d2 , GPT- (u\l) d4</t>
  </si>
  <si>
    <t>GPT (ALT, ALAT, Alanin-Aminotransferase)-d1 (u\l) , GPT-d1w1m1 , GPT-d1w1m2 , GPT- (u\l) d6w2m3 , GPT- (u\l) d4w2m5</t>
  </si>
  <si>
    <t>GPT-Datum unbekannt , GPT-d1w1</t>
  </si>
  <si>
    <t>GPT-13 Tage vor Krankheitsbeginn , GPT-5 Tage vor Krankheitsbeginn , GPT-4 Tage vor Krankheitsbeginn , GPT-Datum unbekannt , GPT (ALT, ALAT, Alanin-Aminotransferase)-d1 (u\l) , GPT-d2 , GPT-d3 , GPT- (u\l) d4 , GPT- d5 , GPT-d6 , GPT- (u\l) d7 , GPT-d1w1 , GPT- (u\l) d3w1 , GPT-d5w1 , GPT-d2w2 , GPT-d4w2 , GPT-d5w2 , GPT-d2w3 , GPT- (u\l) d5w3</t>
  </si>
  <si>
    <t>GPT-d6 , GPT-d1w1 , GPT- (u\l) d3w1 , GPT-d5w1 , GPT- (u\l) d6w1 , GPT-d6w2 , GPT-d1w0m1 , GPT-d5w0m1 , GPT-d4w2m2</t>
  </si>
  <si>
    <t>GPT-20 Tage vor Krankheitsbeginn , GPT-6 Tage vor Krankheitsbeginn , GPT (ALT, ALAT, Alanin-Aminotransferase)-d1 (u\l) , GPT-d6 , GPT-d6w2 , GPT-d6w0m1</t>
  </si>
  <si>
    <t>GPT (ALT, ALAT, Alanin-Aminotransferase)-d1 (u\l) , GPT-d3 , GPT-d4w2</t>
  </si>
  <si>
    <t>GPT (ALT, ALAT, Alanin-Aminotransferase)-d1 (u\l) , GPT-d1w1</t>
  </si>
  <si>
    <t>GPT-11 Tage vor Krankheitsbeginn , GPT-d2 , GPT-d3 , GPT-d2w1</t>
  </si>
  <si>
    <t>GPT-d2 , GPT-d3 , GPT- (u\l) d4 , GPT-d1w1 , GPT-d1w2</t>
  </si>
  <si>
    <t>GPT-5 Tage vor Krankheitsbeginn , GPT-2 Tage vor Krankheitsbeginn , GPT (ALT, ALAT, Alanin-Aminotransferase)-d1 (u\l) , GPT-d2 , GPT-d3 , GPT- (u\l) d4</t>
  </si>
  <si>
    <t>GPT-d4w1 , GPT-d5w1 , GPT-d1w2 , GPT-d4w2</t>
  </si>
  <si>
    <t>GPT (ALT, ALAT, Alanin-Aminotransferase)-d1 (u\l) , GPT- d5</t>
  </si>
  <si>
    <t>GPT (ALT, ALAT, Alanin-Aminotransferase)-d1 (u\l) , GPT-d2 , GPT-d6 , GPT-d2w1</t>
  </si>
  <si>
    <t>GPT-7 Tage vor Krankheitsbeginn , GPT-6 Tage vor Krankheitsbeginn , GPT (ALT, ALAT, Alanin-Aminotransferase)-d1 (u\l) , GPT- d5 , GPT-d2w1</t>
  </si>
  <si>
    <t>GPT-12 Tage vor Krankheitsbeginn , GPT-8 Tage vor Krankheitsbeginn , GPT-7 Tage vor Krankheitsbeginn , GPT-4 Tage vor Krankheitsbeginn , GPT (ALT, ALAT, Alanin-Aminotransferase)-d1 (u\l)</t>
  </si>
  <si>
    <t>GPT-2 Tage vor Krankheitsbeginn , GPT-d2</t>
  </si>
  <si>
    <t>GPT-d3 , GPT- (u\l) d4 , GPT-d4w2</t>
  </si>
  <si>
    <t>GPT (ALT, ALAT, Alanin-Aminotransferase)-d1 (u\l) , GPT-d2 , GPT- d5</t>
  </si>
  <si>
    <t>GPT-2 Tage vor Krankheitsbeginn , GPT-1 Tag vor Krankheitsbeginn , GPT (ALT, ALAT, Alanin-Aminotransferase)-d1 (u\l) , GPT-d2 , GPT-d3 , GPT- (u\l) d4 , GPT- d5 , GPT-d6 , GPT-d1w1 , GPT-d2w1 , GPT-d7w1 , GPT-d1w2 , GPT-d2w2</t>
  </si>
  <si>
    <t>GPT-2 Tage vor Krankheitsbeginn , GPT (ALT, ALAT, Alanin-Aminotransferase)-d1 (u\l) , GPT-d3 , GPT- (u\l) d7</t>
  </si>
  <si>
    <t>GPT- d5 , GPT-d5w1</t>
  </si>
  <si>
    <t>GPT (ALT, ALAT, Alanin-Aminotransferase)-d1 (u\l) , GPT-d3 , GPT- (u\l) d4 , GPT-d1w1 , GPT-d4w1 , GPT- (u\l) d6w1</t>
  </si>
  <si>
    <t>GPT-3 Tage vor Krankheitsbeginn (u\l) , GPT-2 Tage vor Krankheitsbeginn , GPT-1 Tag vor Krankheitsbeginn , GPT (ALT, ALAT, Alanin-Aminotransferase)-d1 (u\l) , GPT-d2</t>
  </si>
  <si>
    <t>GPT (ALT, ALAT, Alanin-Aminotransferase)-d1 (u\l) , GPT- (u\l) d4 , GPT- (u\l) d7 , GPT-d7w1 , GPT-d5w2</t>
  </si>
  <si>
    <t>GPT-d2 , GPT- (u\l) d4 , GPT-d7w0m1</t>
  </si>
  <si>
    <t>GPT-114 Tage vor Krankheitsbeginn (u\l) , GPT-107 Tage vor Krankheitsbeginn (u\l) , GPT-36 Tage vor Krankheitsbeginn , GPT (ALT, ALAT, Alanin-Aminotransferase)-d1 (u\l) , GPT-d2 , GPT-d3 , GPT- (u\l) d7</t>
  </si>
  <si>
    <t>GPT-d3 , GPT- (u\l) d4 , GPT- d5 , GPT-d6 , GPT- (u\l) d7</t>
  </si>
  <si>
    <t>GPT- (u\l) d4 , GPT- (u\l) d7 , GPT-d4w1 , GPT-d1w2 , GPT- (u\l) d4w0m1 , GPT- (u\l) d4w2m1</t>
  </si>
  <si>
    <t>GPT-d4w1 , GPT-d2w2 , GPT-d7w3 , GPT- (u\l) d5w2m1 , GPT- (u\l) d5w3m1</t>
  </si>
  <si>
    <t>GPT-275 Tage vor Krankheitsbeginn (u\l) , GPT-37 Tage vor Krankheitsbeginn , GPT (ALT, ALAT, Alanin-Aminotransferase)-d1 (u\l) , GPT-d2 , GPT- (u\l) d4 , GPT-d2w1</t>
  </si>
  <si>
    <t>GPT (ALT, ALAT, Alanin-Aminotransferase)-d1 (u\l) , GPT-d2 , GPT- (u\l) d7 , GPT-d1w1 , GPT-d4w1 , GPT-d7w1</t>
  </si>
  <si>
    <t>GPT-30 Tage vor Krankheitsbeginn , GPT (ALT, ALAT, Alanin-Aminotransferase)-d1 (u\l) , GPT-d2 , GPT-d3 , GPT-d1w0m1</t>
  </si>
  <si>
    <t>GPT-d2 , GPT-d3 , GPT- d5 , GPT-d5w1</t>
  </si>
  <si>
    <t>GPT (ALT, ALAT, Alanin-Aminotransferase)-d1 (u\l) , GPT-d2 , GPT-d6 , GPT-d7w1</t>
  </si>
  <si>
    <t>GPT-55 Tage vor Krankheitsbeginn , GPT (ALT, ALAT, Alanin-Aminotransferase)-d1 (u\l)</t>
  </si>
  <si>
    <t>GPT- (u\l) d4 , GPT-d6 , GPT-d4w1</t>
  </si>
  <si>
    <t>GGT</t>
  </si>
  <si>
    <t>GGT- (u\l) d5 , GGT-d6 , GGT-d1w0m1</t>
  </si>
  <si>
    <t>GGT-d4w1 , GGT-d1w2 , GGT-d3w2 , GGT-d1w0m1</t>
  </si>
  <si>
    <t>GGT-1 Tag vor Krankheitsbeginn , GGT-d2 , GGT-d3 , GGT-d4 , GGT-d6 , GGT- (u\l) d5w1 , GGT-d7w1</t>
  </si>
  <si>
    <t>GGT-d7 , GGT-d2w1</t>
  </si>
  <si>
    <t>GGT-Datum unbekannt (u\l) , GGT-d1w2</t>
  </si>
  <si>
    <t>GGT-d1 (u\l) , GGT-d2 , GGT-d4 , GGT-d7</t>
  </si>
  <si>
    <t>GGT-d1 (u\l) , GGT-d6</t>
  </si>
  <si>
    <t>GGT-d1 (u\l) , GGT-d2 , GGT-d4</t>
  </si>
  <si>
    <t>GGT-7 Tage vor Krankheitsbeginn , GGT-2 Tage vor Krankheitsbeginn (u\l) , GGT-d3 , GGT-d7</t>
  </si>
  <si>
    <t>GGT-d3w2 , GGT- (u\l) d6w2</t>
  </si>
  <si>
    <t>GGT-8 Tage vor Krankheitsbeginn (u\l) , GGT-1 Tag vor Krankheitsbeginn , GGT-d1 (u\l) , GGT-d3 , GGT-d6 , GGT-d2w1</t>
  </si>
  <si>
    <t>GGT-d1 (u\l) , GGT-d3</t>
  </si>
  <si>
    <t>GGT-d3 , GGT-d1w2</t>
  </si>
  <si>
    <t>GGT-d1 (u\l) , GGT-d6w1m1 , GGT-d4w2m2 , GGT- (u\l) d2w1m3</t>
  </si>
  <si>
    <t>GGT-22 Tage vor Krankheitsbeginn (u\l) , GGT-d1 (u\l) , GGT-d6 , GGT-d7w1 , GGT-d7w2 , GGT-d6w0m1</t>
  </si>
  <si>
    <t>GGT-36 Tage vor Krankheitsbeginn , GGT-20 Tage vor Krankheitsbeginn , GGT-d1 (u\l) , GGT-d2w1 , GGT-d1w2</t>
  </si>
  <si>
    <t>GGT-d2 , GGT- (u\l) d5w3</t>
  </si>
  <si>
    <t>GGT-d4 , GGT-d6 , GGT-d3w1 , GGT- (u\l) d5w1 , GGT- (u\l) d2w2</t>
  </si>
  <si>
    <t>GGT-d1 (u\l) , GGT-d3w2 , GGT-d7w1m1</t>
  </si>
  <si>
    <t>GGT-d1 (u\l) , GGT-d7w3m2 , GGT-d2w0m3</t>
  </si>
  <si>
    <t>GGT-7 Tage vor Krankheitsbeginn , GGT-d1 (u\l) , GGT- (u\l) d2w2</t>
  </si>
  <si>
    <t>GGT-d4w1 , GGT- (u\l) d6w2 , GGT-d2w0m1</t>
  </si>
  <si>
    <t>GGT-d2 , GGT-d1w0m1 , GGT-d7w0m2 , GGT- (u\l) d3w3m2</t>
  </si>
  <si>
    <t>GGT-d1 (u\l) , GGT- (u\l) d5w1 , GGT-d1w3</t>
  </si>
  <si>
    <t>GGT-d1 (u\l) , GGT-d2 , GGT-d4 , GGT-d2w1 , GGT-d7w1 , GGT-d7w2 , GGT- (u\l) d4w0m1</t>
  </si>
  <si>
    <t>GGT-d2 , GGT-d3 , GGT-d4 , GGT- (u\l) d5 , GGT-d6 , GGT-d7 , GGT-d2w1 , GGT-d4w1 , GGT-d1w2 , GGT-d3w2</t>
  </si>
  <si>
    <t>GGT-d1 (u\l) , GGT-d2 , GGT-d3 , GGT-d4 , GGT-d6 , GGT-d3w1</t>
  </si>
  <si>
    <t>GGT- (u\l) d1w1 , GGT-d6w1 , GGT-d3w2</t>
  </si>
  <si>
    <t>GGT-105 Tage vor Krankheitsbeginn (u\l) , GGT-67 Tage vor Krankheitsbeginn , GGT-7 Tage vor Krankheitsbeginn , GGT-d1 (u\l) , GGT- (u\l) d1w1 , GGT-d6w1 , GGT- (u\l) d7w2m1 , GGT-d7w0m2</t>
  </si>
  <si>
    <t>GGT-d1 (u\l) , GGT-d3 , GGT-d6</t>
  </si>
  <si>
    <t>GGT-d1w2 , GGT-d5w2 , GGT-d7w2 , GGT-d2w3</t>
  </si>
  <si>
    <t>GGT-Datum unbekannt (u\l) , GGT-d1 (u\l) , GGT- (u\l) d3w0m1</t>
  </si>
  <si>
    <t>GGT-d1w2 , GGT- (u\l) d2w2</t>
  </si>
  <si>
    <t>GGT-d1 (u\l) , GGT-d5w0m1 , GGT- (u\l) d5w2m1 , GGT-d5w2m2 , GGT- (u\l) d6w1m3</t>
  </si>
  <si>
    <t>GGT-d1 (u\l) , GGT-d2 , GGT-d3 , GGT-d4 , GGT- (u\l) d5 , GGT-d7 , GGT-d3w1 , GGT-d1w2 , GGT-d3w2 , GGT- (u\l) d3w0m1 , GGT- (u\l) d4w2m1</t>
  </si>
  <si>
    <t>GGT-2 Tage vor Krankheitsbeginn (u\l) , GGT-d4 , GGT-d4w2</t>
  </si>
  <si>
    <t>GGT-d4w1 , GGT- (u\l) d2w2 , GGT-d3w3 , GGT-d1w0m1</t>
  </si>
  <si>
    <t>GGT-d1 (u\l) , GGT-d4w1</t>
  </si>
  <si>
    <t>GGT- (u\l) d3w2m1 , GGT- (u\l) d5w2m1 , GGT- (u\l) d7w3m1</t>
  </si>
  <si>
    <t>GGT-d4 , GGT- (u\l) d5 , GGT-d6 , GGT-d2w1</t>
  </si>
  <si>
    <t>GGT-d4 , GGT-d3w1 , GGT- (u\l) d2w2 , GGT-d4w2</t>
  </si>
  <si>
    <t>GGT-d1 (u\l) , GGT-d4 , GGT- (u\l) d5w1</t>
  </si>
  <si>
    <t>GGT-d1 (u\l) , GGT-d3w1m1 , GGT-d2w0m2</t>
  </si>
  <si>
    <t>GGT-d2 , GGT-d3 , GGT-d6 , GGT-d7 , GGT-d1w2 , GGT-d2w3 , GGT-d7w3</t>
  </si>
  <si>
    <t>GGT-Datum unbekannt (u\l) , GGT- (u\l) d3w0m1</t>
  </si>
  <si>
    <t>GGT-d3w2 , GGT- (u\l) d2w2m1</t>
  </si>
  <si>
    <t>GGT-d6w1 , GGT-d1w2 , GGT-d3w2 , GGT-d7w2</t>
  </si>
  <si>
    <t>GGT-d1 (u\l) , GGT-d2</t>
  </si>
  <si>
    <t>GGT-Datum unbekannt (u\l) , GGT- (u\l) d1w1 , GGT- (u\l) d6w2m3</t>
  </si>
  <si>
    <t>GGT-12 Tage vor Krankheitsbeginn , GGT-6 Tage vor Krankheitsbeginn , GGT-5 Tage vor Krankheitsbeginn , GGT-Datum unbekannt (u\l) , GGT-d1 (u\l) , GGT-d2 , GGT-d3 , GGT-d4 , GGT- (u\l) d5 , GGT-d6 , GGT-d7 , GGT- (u\l) d1w1 , GGT-d3w1 , GGT- (u\l) d5w1 , GGT- (u\l) d2w2 , GGT-d4w2 , GGT-d2w3 , GGT- (u\l) d5w3</t>
  </si>
  <si>
    <t>GGT-d6 , GGT- (u\l) d1w1 , GGT-d3w1 , GGT- (u\l) d5w1 , GGT-d6w1 , GGT- (u\l) d6w2 , GGT- (u\l) d4w0m1 , GGT-d5w0m1</t>
  </si>
  <si>
    <t>GGT-20 Tage vor Krankheitsbeginn , GGT-9 Tage vor Krankheitsbeginn , GGT-d1 (u\l) , GGT-d6 , GGT- (u\l) d6w2 , GGT-d6w0m1</t>
  </si>
  <si>
    <t>GGT-11 Tage vor Krankheitsbeginn , GGT-d2 , GGT-d3 , GGT-d2w1</t>
  </si>
  <si>
    <t>GGT-d2 , GGT-d3 , GGT-d4 , GGT- (u\l) d1w1 , GGT-d1w2</t>
  </si>
  <si>
    <t>GGT-5 Tage vor Krankheitsbeginn , GGT-2 Tage vor Krankheitsbeginn (u\l) , GGT-d1 (u\l) , GGT-d2 , GGT-d3 , GGT-d4</t>
  </si>
  <si>
    <t>GGT-d1 (u\l) , GGT-d2 , GGT-d6 , GGT-d2w1</t>
  </si>
  <si>
    <t>GGT-7 Tage vor Krankheitsbeginn , GGT-6 Tage vor Krankheitsbeginn , GGT-3 Tage vor Krankheitsbeginn , GGT-d1 (u\l) , GGT-d7 , GGT-d2w1</t>
  </si>
  <si>
    <t>GGT-12 Tage vor Krankheitsbeginn , GGT-8 Tage vor Krankheitsbeginn (u\l) , GGT-7 Tage vor Krankheitsbeginn , GGT-4 Tage vor Krankheitsbeginn , GGT-d1 (u\l)</t>
  </si>
  <si>
    <t>GGT-d3 , GGT-d4 , GGT-d4w2</t>
  </si>
  <si>
    <t>GGT-d1 (u\l) , GGT-d2 , GGT- (u\l) d5</t>
  </si>
  <si>
    <t>GGT-d1 (u\l) , GGT-d3 , GGT-d7</t>
  </si>
  <si>
    <t>GGT-d1 (u\l) , GGT-d3 , GGT-d4 , GGT- (u\l) d1w1 , GGT-d4w1 , GGT-d6w1</t>
  </si>
  <si>
    <t>GGT-3 Tage vor Krankheitsbeginn , GGT-2 Tage vor Krankheitsbeginn (u\l) , GGT-1 Tag vor Krankheitsbeginn , GGT-d1 (u\l) , GGT-d2</t>
  </si>
  <si>
    <t>GGT-d1 (u\l) , GGT-d4 , GGT- (u\l) d1w1 , GGT-d7w1</t>
  </si>
  <si>
    <t>GGT-d2 , GGT-d7 , GGT-d4w1 , GGT- (u\l) d5w1 , GGT-d7w0m1</t>
  </si>
  <si>
    <t>GGT-114 Tage vor Krankheitsbeginn (u\l) , GGT-d1 (u\l) , GGT-d2</t>
  </si>
  <si>
    <t>GGT-275 Tage vor Krankheitsbeginn (u\l) , GGT-37 Tage vor Krankheitsbeginn , GGT-d1 (u\l) , GGT-d2 , GGT-d4 , GGT-d2w1</t>
  </si>
  <si>
    <t>GGT-d1 (u\l) , GGT-d2 , GGT-d7 , GGT- (u\l) d1w1 , GGT-d4w1 , GGT-d7w1 , GGT- (u\l) d6w2</t>
  </si>
  <si>
    <t>GGT-d1 (u\l) , GGT-d2 , GGT-d3 , GGT-d4</t>
  </si>
  <si>
    <t>GGT-d2 , GGT- (u\l) d5 , GGT- (u\l) d5w1</t>
  </si>
  <si>
    <t>GGT-55 Tage vor Krankheitsbeginn , GGT-d1 (u\l)</t>
  </si>
  <si>
    <t>GGT-d4 , GGT-d6 , GGT-d4w1</t>
  </si>
  <si>
    <t>LDH</t>
  </si>
  <si>
    <t>LDH-4 Tage vor Krankheitsbeginn , LDH-3 Tage vor Krankheitsbeginn (u\l) , LDH-2 Tage vor Krankheitsbeginn , LDH-d1 (u\l) , LDH- (u\l) d1w1  , LDH-d4w2</t>
  </si>
  <si>
    <t>LDH- (u\l) d5 , LDH-d6</t>
  </si>
  <si>
    <t>LDH-d1w2 , LDH-d3w2 , LDH- (u\l) d1w0m1</t>
  </si>
  <si>
    <t>LDH-d2 , LDH-d3</t>
  </si>
  <si>
    <t>LDH-Datum unbekannt (u\l) , LDH-d6</t>
  </si>
  <si>
    <t>LDH-d1 (u\l) , LDH-d4</t>
  </si>
  <si>
    <t>LDH-Datum unbekannt (u\l) , LDH-d1 (u\l)</t>
  </si>
  <si>
    <t>LDH-d1 (u\l) , LDH- (u\l) d5</t>
  </si>
  <si>
    <t>LDH-d4 , LDH-d6 , LDH-d3w1</t>
  </si>
  <si>
    <t>LDH-d1 (u\l) , LDH-d2 , LDH- (u\l) d1w1  , LDH-d2w1  , LDH-d3w1 , LDH- (u\l) d4w1</t>
  </si>
  <si>
    <t>LDH-d1 (u\l) , LDH-d2 , LDH-d4 , LDH-d6</t>
  </si>
  <si>
    <t>LDH-Datum unbekannt (u\l) , LDH-d1 (u\l) , LDH-d3w0m1</t>
  </si>
  <si>
    <t>LDH-d2w1  , LDH-d3w3</t>
  </si>
  <si>
    <t>LDH-d1w2 , LDH- (u\l) d2w2</t>
  </si>
  <si>
    <t>LDH-d1 (u\l) , LDH-d2 , LDH-d3 , LDH- (u\l) d5 , LDH-d3w1</t>
  </si>
  <si>
    <t>LDH-d4 , LDH-d4w2</t>
  </si>
  <si>
    <t>LDH-13 Tage vor Krankheitsbeginn (u\l) , LDH-d1 (u\l) , LDH-d2 , LDH-d3 , LDH-d4 , LDH- (u\l) d5 , LDH-d6 , LDH-d7 , LDH- (u\l) d1w1  , LDH-d3w1 , LDH-d5w1 , LDH- (u\l) d2w2</t>
  </si>
  <si>
    <t xml:space="preserve">LDH-11 Tage vor Krankheitsbeginn (u\l) , LDH-d2 , LDH-d3 , LDH-d2w1 </t>
  </si>
  <si>
    <t xml:space="preserve">LDH-d2 , LDH-d3 , LDH-d4 , LDH- (u\l) d1w1 </t>
  </si>
  <si>
    <t>LDH-5 Tage vor Krankheitsbeginn , LDH-d2 , LDH-d3 , LDH-d4</t>
  </si>
  <si>
    <t>LDH-d5w1 , LDH-d1w2 , LDH-d4w2</t>
  </si>
  <si>
    <t>LDH-7 Tage vor Krankheitsbeginn , LDH-6 Tage vor Krankheitsbeginn</t>
  </si>
  <si>
    <t>LDH-12 Tage vor Krankheitsbeginn (u\l) , LDH-7 Tage vor Krankheitsbeginn , LDH-d1 (u\l)</t>
  </si>
  <si>
    <t>LDH- (u\l) d5 , LDH-d7</t>
  </si>
  <si>
    <t>LDH-64 Tage vor Krankheitsbeginn (u\l) , LDH-d1 (u\l)</t>
  </si>
  <si>
    <t>LDH-3 Tage vor Krankheitsbeginn (u\l) , LDH-2 Tage vor Krankheitsbeginn , LDH-1 Tag vor Krankheitsbeginn , LDH-d1 (u\l) , LDH-d2</t>
  </si>
  <si>
    <t>LDH-d2 , LDH- (u\l) d4w1</t>
  </si>
  <si>
    <t>LDH-d1 (u\l) , LDH-d2 , LDH-d3 , LDH-d7</t>
  </si>
  <si>
    <t>Lymphozyten</t>
  </si>
  <si>
    <t>Lymphozyten- (%) d4w1 , Lymphozyten-d1w2</t>
  </si>
  <si>
    <t>Lymphozyten-4 Tage vor Krankheitsbeginn (%) , Lymphozyten-d3</t>
  </si>
  <si>
    <t>Lymphozyten-22 Tage vor Krankheitsbeginn , Lymphozyten-d1 (%) , Lymphozyten-d6 , Lymphozyten-d7w1 , Lymphozyten- (%) d2w4 , Lymphozyten-d2w2m1</t>
  </si>
  <si>
    <t>Lymphozyten-36 Tage vor Krankheitsbeginn (%) , Lymphozyten-20 Tage vor Krankheitsbeginn , Lymphozyten-d1 (%) , Lymphozyten-d2w1 , Lymphozyten-d1w2</t>
  </si>
  <si>
    <t>Lymphozyten-d1 (%) , Lymphozyten-d4w3m2</t>
  </si>
  <si>
    <t>Lymphozyten-d2 , Lymphozyten-d1w0m1 , Lymphozyten-d7w0m2 , Lymphozyten- (%) d3w3m2</t>
  </si>
  <si>
    <t>Lymphozyten-11 Tage vor Krankheitsbeginn , Lymphozyten-d3</t>
  </si>
  <si>
    <t>Lymphozyten-7 Tage vor Krankheitsbeginn (%) , Lymphozyten-6 Tage vor Krankheitsbeginn (%) , Lymphozyten-d2w1</t>
  </si>
  <si>
    <t>Lymphozyten-12 Tage vor Krankheitsbeginn , Lymphozyten-7 Tage vor Krankheitsbeginn (%)</t>
  </si>
  <si>
    <t>Hb</t>
  </si>
  <si>
    <t>Hb- [g/dl] d5 , Hb-d6 , Hb-d1w0m1</t>
  </si>
  <si>
    <t>Hb-d2  , Hb-d3 , Hb-d4 , Hb-d6 , Hb- [g/dl] d2w1 , Hb-d5w1 , Hb-d7w1 , Hb- [g/dl] d3w2</t>
  </si>
  <si>
    <t>Hb-d4 , Hb-d3w1 , Hb-d7w1m2 , Hb-d1w3m5</t>
  </si>
  <si>
    <t>Hb-1 Tag vor Krankheitsbeginn [g/dl] , Hb (Hämoglobin)-d1 [g/dl] , Hb-d2  , Hb-d3 , Hb-d7w1</t>
  </si>
  <si>
    <t>Hb-43 Tage vor Krankheitsbeginn , Hb (Hämoglobin)-d1 [g/dl] , Hb-d2  , Hb-d7w2</t>
  </si>
  <si>
    <t>Hb-38 Tage vor Krankheitsbeginn , Hb-21 Tage vor Krankheitsbeginn [g/dl] , Hb (Hämoglobin)-d1 [g/dl] , Hb- [g/dl] d2w1 , Hb-d2w2</t>
  </si>
  <si>
    <t>Hb-72Tage vor Krankheitsbeginn , Hb-7 Tage vor Krankheitsbeginn [g/dl] , Hb-d3</t>
  </si>
  <si>
    <t>Hb (Hämoglobin)-d1 [g/dl] , Hb-d2  , Hb-d5w1</t>
  </si>
  <si>
    <t>Hb (Hämoglobin)-d1 [g/dl] , Hb-d3</t>
  </si>
  <si>
    <t>Hb-d4 , Hb- [g/dl] d5 , Hb-d5w1 , Hb- [g/dl] d6w3</t>
  </si>
  <si>
    <t>Hb-8 Tage vor Krankheitsbeginn , Hb-1 Tag vor Krankheitsbeginn [g/dl] , Hb (Hämoglobin)-d1 [g/dl] , Hb-d3 , Hb- [g/dl] d2w1</t>
  </si>
  <si>
    <t>Hb (Hämoglobin)-d1 [g/dl] , Hb-d2  , Hb-d3 , Hb- [g/dl] d2w1 , Hb- [g/dl] d6w1 , Hb-d1w2</t>
  </si>
  <si>
    <t>Hb-22 Tage vor Krankheitsbeginn , Hb (Hämoglobin)-d1 [g/dl] , Hb-d6 , Hb-d7w1</t>
  </si>
  <si>
    <t>Hb- [g/dl] d5 , Hb-d6w0m2</t>
  </si>
  <si>
    <t>Hb-36 Tage vor Krankheitsbeginn [g/dl] , Hb-20 Tage vor Krankheitsbeginn , Hb (Hämoglobin)-d1 [g/dl] , Hb- [g/dl] d2w1 , Hb-d1w2</t>
  </si>
  <si>
    <t>Hb-d4 , Hb-d3w1 , Hb-d5w1 , Hb-d2w2</t>
  </si>
  <si>
    <t>Hb (Hämoglobin)-d1 [g/dl] , Hb-d6</t>
  </si>
  <si>
    <t>Hb (Hämoglobin)-d1 [g/dl] , Hb-d7</t>
  </si>
  <si>
    <t>Hb-d2  , Hb-d1w0m1 , Hb-d7w0m2</t>
  </si>
  <si>
    <t>Hb-d2  , Hb-d3 , Hb-d4 , Hb-d1w1 , Hb-d1w2</t>
  </si>
  <si>
    <t>Hb-d2  , Hb-d4 , Hb- [g/dl] d5 , Hb-d6 , Hb-d7 , Hb- [g/dl] d2w1 , Hb-d4w1 , Hb-d1w2</t>
  </si>
  <si>
    <t>Hb (Hämoglobin)-d1 [g/dl] , Hb-d4 , Hb-d3w1</t>
  </si>
  <si>
    <t>Hb (Hämoglobin)-d1 [g/dl] , Hb-d3 , Hb-d6</t>
  </si>
  <si>
    <t>Hb-d1w2 , Hb-d7w2 , Hb-d2w3</t>
  </si>
  <si>
    <t>Hb (Hämoglobin)-d1 [g/dl] , Hb-d3 , Hb-d4 , Hb-d7 , Hb-d3w1 , Hb-d1w2 , Hb-d4w2</t>
  </si>
  <si>
    <t>Hb-d4 , Hb-d3w1</t>
  </si>
  <si>
    <t>Hb-14 Tage vor Krankheitsbeginn , Hb-6 Tage vor Krankheitsbeginn , Hb (Hämoglobin)-d1 [g/dl] , Hb-d3 , Hb- [g/dl] d5 , Hb-d6 , Hb-d7</t>
  </si>
  <si>
    <t>Hb-11 Tage vor Krankheitsbeginn , Hb-d4</t>
  </si>
  <si>
    <t>Hb-11 Tage vor Krankheitsbeginn , Hb-8 Tage vor Krankheitsbeginn , Hb-7 Tage vor Krankheitsbeginn [g/dl] , Hb-5 Tage vor Krankheitsbeginn , Hb-d2  , Hb-d3 , Hb-d7 , Hb- [g/dl] d2w1</t>
  </si>
  <si>
    <t>Hb-d4w1 , Hb-d4w2</t>
  </si>
  <si>
    <t>Hb (Hämoglobin)-d1 [g/dl] , Hb-d2  , Hb-d6 , Hb- [g/dl] d2w1</t>
  </si>
  <si>
    <t>Hb-7 Tage vor Krankheitsbeginn [g/dl] , Hb-6 Tage vor Krankheitsbeginn , Hb (Hämoglobin)-d1 [g/dl] , Hb- [g/dl] d2w1</t>
  </si>
  <si>
    <t>Hb-12 Tage vor Krankheitsbeginn , Hb-8 Tage vor Krankheitsbeginn , Hb-7 Tage vor Krankheitsbeginn [g/dl]</t>
  </si>
  <si>
    <t>Hb (Hämoglobin)-d1 [g/dl] , Hb-d3 , Hb-d7</t>
  </si>
  <si>
    <t xml:space="preserve">Hb-3 Tage vor Krankheitsbeginn , Hb-2 Tage vor Krankheitsbeginn , Hb-1 Tag vor Krankheitsbeginn [g/dl] , Hb (Hämoglobin)-d1 [g/dl] , Hb-d2 </t>
  </si>
  <si>
    <t>Hb (Hämoglobin)-d1 [g/dl] , Hb-d4 , Hb-d1w1 , Hb-d7w1</t>
  </si>
  <si>
    <t>Hb-d3 , Hb-d4 , Hb-d6 , Hb-d7</t>
  </si>
  <si>
    <t>Bilirubin-7 Tage vor Krankheitsbeginn 2</t>
  </si>
  <si>
    <t>Bilirubin-2 Tage vor Krankheitsbeginn 3</t>
  </si>
  <si>
    <t>Bilirubin-Datum unbekannt (mg/dl)4</t>
  </si>
  <si>
    <t>Bilirubin-d35</t>
  </si>
  <si>
    <t>Bilirubin-d66</t>
  </si>
  <si>
    <t>Bilirubin-d77</t>
  </si>
  <si>
    <t>Bilirubin-d3w18</t>
  </si>
  <si>
    <t>Bilirubin-d6w19</t>
  </si>
  <si>
    <t>Bilirubin-d3w210</t>
  </si>
  <si>
    <t>Bilirubin-d4w211</t>
  </si>
  <si>
    <t>Bilirubin-d1w312</t>
  </si>
  <si>
    <t>Bilirubin</t>
  </si>
  <si>
    <t>Bilirubin-d2  , Bilirubin-d3 , Bilirubin-d4 , Bilirubin-d6 , Bilirubin- (mg/dl) d2w1 , Bilirubin-d5w1 , Bilirubin- (mg/dl) d7w1 , Bilirubin-d3w2</t>
  </si>
  <si>
    <t>Blut-Bilirubin (Gessamtbilirubin)-d1 (mg/dl) , Bilirubin-d2  , Bilirubin-d4</t>
  </si>
  <si>
    <t>Blut-Bilirubin (Gessamtbilirubin)-d1 (mg/dl)</t>
  </si>
  <si>
    <t>Bilirubin-d1w1 , Bilirubin-d3w1 , Bilirubin-d6w1</t>
  </si>
  <si>
    <t>Bilirubin-d1w3 , Bilirubin- (mg/dl) d6w0m1</t>
  </si>
  <si>
    <t>Bilirubin-7 Tage vor Krankheitsbeginn  , Bilirubin-2 Tage vor Krankheitsbeginn  , Bilirubin-d3 , Bilirubin-d7 , Bilirubin-7 Tage vor Krankheitsbeginn 2 , Bilirubin-2 Tage vor Krankheitsbeginn 3 , Bilirubin-d35 , Bilirubin-d77</t>
  </si>
  <si>
    <t>Totales-Bilirubin-d1 (mg/dl)</t>
  </si>
  <si>
    <t>Blut-Bilirubin (Gessamtbilirubin)-d1 (mg/dl) , Bilirubin-d2  , Bilirubin-d3 , Bilirubin-d5w1</t>
  </si>
  <si>
    <t>Bilirubin-d35 , Bilirubin-d5</t>
  </si>
  <si>
    <t>Bilirubin-22 Tage vor Krankheitsbeginn (mg/dl) , Totales-Bilirubin-d1 (mg/dl) , Bilirubin-d35 , Bilirubin-d66 , Bilirubin-d7w1 , Bilirubin- (mg/dl) d7w2 , Bilirubin-d6w0m1</t>
  </si>
  <si>
    <t>Bilirubin-d2w1 , Bilirubin-d1w2</t>
  </si>
  <si>
    <t>Blut-Bilirubin-d2  , Bilirubin-d5 , Bilirubin- (mg/dl) d5w1 , Bilirubin-d5w3</t>
  </si>
  <si>
    <t xml:space="preserve">Bilirubin-Datum unbekannt (mg/dl)4 , Direktes Bilirubin-Datum unbekannt (mg/dl) </t>
  </si>
  <si>
    <t>Totales-Bilirubin-d1 (mg/dl) , Blut-Bilirubin-d2  , Bilirubin-d3w18 , Bilirubin-d4w1</t>
  </si>
  <si>
    <t xml:space="preserve">Bilirubin-Datum unbekannt (mg/dl) , Bilirubin-d4w2 , Bilirubin-Datum unbekannt (mg/dl)4 , Direktes Bilirubin-Datum unbekannt (mg/dl) </t>
  </si>
  <si>
    <t>Blut-Bilirubin-d2  , Bilirubin-d1w0m1 , Bilirubin-d7w0m2 , Bilirubin- (mg/dl) d3w3m2</t>
  </si>
  <si>
    <t>Blut-Bilirubin-d2  , Bilirubin- (mg/dl) d4 , Bilirubin-d5 , Bilirubin-d66 , Bilirubin-d77 , Bilirubin-d4w1 , Bilirubin-d1w2 , Bilirubin-d3w210</t>
  </si>
  <si>
    <t>Totales-Bilirubin-d1 (mg/dl) , Blut-Bilirubin-d2  , Bilirubin- (mg/dl) d4 , Bilirubin-d66 , Bilirubin-d3w18</t>
  </si>
  <si>
    <t>Bilirubin- (mg/dl) d1w1 , Bilirubin-d6w19</t>
  </si>
  <si>
    <t>Bilirubin- (mg/dl) d7w2 , Bilirubin-d2w3</t>
  </si>
  <si>
    <t>Bilirubin-Datum unbekannt (mg/dl)4 , Totales-Bilirubin-d1 (mg/dl) , Bilirubin- (mg/dl) d3w0m1</t>
  </si>
  <si>
    <t>Bilirubin-d3w18 , Bilirubin-d5w2 , Bilirubin-d3w3</t>
  </si>
  <si>
    <t>Bilirubin-d1w2 , Bilirubin- (mg/dl) d2w2</t>
  </si>
  <si>
    <t>Totales-Bilirubin-d1 (mg/dl) , Bilirubin-d2w3m1 , Bilirubin-d7w1m5</t>
  </si>
  <si>
    <t>Totales-Bilirubin-d1 (mg/dl) , Bilirubin-d6w19</t>
  </si>
  <si>
    <t>Bilirubin-d5w0m1 , Bilirubin-d5w2m1 , Bilirubin-d5w2m2 , Bilirubin-d6w1m3</t>
  </si>
  <si>
    <t>Blut-Bilirubin (Gessamtbilirubin)-d1 (mg/dl) , Bilirubin-d2  , Bilirubin-d3 , Bilirubin-Datum unbekannt (mg/dl)4 , Totales-Bilirubin-d1 (mg/dl) , Blut-Bilirubin-d2  , Bilirubin-d35 , Bilirubin-d5 , Bilirubin-d77 , Bilirubin- (mg/dl) d1w1 , Bilirubin-d3w18 , Bilirubin-d1w2</t>
  </si>
  <si>
    <t>Bilirubin-d4w1 , Bilirubin- (mg/dl) d2w2 , Bilirubin-d3w3 , Bilirubin-d1w0m1</t>
  </si>
  <si>
    <t>Totales-Bilirubin-d1 (mg/dl) , Bilirubin-d7w1m1 , Bilirubin-d3w2m1 , Bilirubin-d7w2m1 , Bilirubin-d3w3m1 , Bilirubin-d7w3m1</t>
  </si>
  <si>
    <t>Bilirubin-d3w18 , Bilirubin- (mg/dl) d5w1 , Bilirubin- (mg/dl) d2w2 , Bilirubin-d3w3</t>
  </si>
  <si>
    <t>Totales-Bilirubin-d1 (mg/dl) , Bilirubin- (mg/dl) d4</t>
  </si>
  <si>
    <t>Totales-Bilirubin-d1 (mg/dl) , Bilirubin- (mg/dl) d1w1 , Bilirubin-d7w1 , Bilirubin-d6w0m2</t>
  </si>
  <si>
    <t>Bilirubin- (mg/dl) d1w1 , Bilirubin- (mg/dl) d5w1 , Bilirubin-d1w312</t>
  </si>
  <si>
    <t>Bilirubin-d77 , Bilirubin-d2w1</t>
  </si>
  <si>
    <t xml:space="preserve">Totales-Bilirubin-d1 (mg/dl) , Blut-Bilirubin-d2 </t>
  </si>
  <si>
    <t>Blut-Bilirubin-d2  , Bilirubin-d35 , Bilirubin- (mg/dl) d4 , Bilirubin-d5 , Bilirubin-d66 , Bilirubin-d77 , Bilirubin-d1w2 , Bilirubin- (mg/dl) d7w2 , Bilirubin-d2w3 , Bilirubin- (mg/dl) d7w3</t>
  </si>
  <si>
    <t>Bilirubin-Datum unbekannt (mg/dl)4 , Bilirubin- (mg/dl) d3w0m1</t>
  </si>
  <si>
    <t>Bilirubin-d4w211 , Bilirubin-d5w2 , Bilirubin-d2w0m1</t>
  </si>
  <si>
    <t>Bilirubin-d6w19 , Bilirubin-d1w2 , Bilirubin-d3w210</t>
  </si>
  <si>
    <t>Blut-Bilirubin-d2  , Bilirubin-d66 , Bilirubin- (mg/dl) d5w1 , Bilirubin-d6w0m3</t>
  </si>
  <si>
    <t>Bilirubin-12 Tage vor Krankheitsbeginn  , Blut-Bilirubin-d2  , Bilirubin-d35 , Bilirubin-d5 , Bilirubin-d66 , Bilirubin-d77 , Bilirubin- (mg/dl) d1w1 , Bilirubin-d3w18 , Bilirubin- (mg/dl) d5w1 , Bilirubin-d5w3</t>
  </si>
  <si>
    <t>Bilirubin-d3w18 , Bilirubin- (mg/dl) d5w1 , Bilirubin-d6w19 , Bilirubin-d4w0m1 , Bilirubin-d5w0m1 , Bilirubin-d4w2m2</t>
  </si>
  <si>
    <t>Totales-Bilirubin-d1 (mg/dl) , Bilirubin-d35 , Bilirubin-d4w211</t>
  </si>
  <si>
    <t>Bilirubin-11 Tage vor Krankheitsbeginn  , Bilirubin-8 Tage vor Krankheitsbeginn  , Blut-Bilirubin-d2  , Bilirubin-d35 , Bilirubin-d2w1</t>
  </si>
  <si>
    <t>Bilirubin-d35 , Bilirubin- (mg/dl) d4 , Bilirubin-d1w2</t>
  </si>
  <si>
    <t>Bilirubin-5 Tage vor Krankheitsbeginn  , Bilirubin-2 Tage vor Krankheitsbeginn 3 , Totales-Bilirubin-d1 (mg/dl) , Blut-Bilirubin-d2  , Bilirubin-d35 , Bilirubin- (mg/dl) d4</t>
  </si>
  <si>
    <t>Bilirubin-d4w1 , Bilirubin- (mg/dl) d5w1 , Bilirubin-d1w2 , Bilirubin-d4w211</t>
  </si>
  <si>
    <t>Bilirubin-d5 , Bilirubin- (mg/dl) d2w2</t>
  </si>
  <si>
    <t>Totales-Bilirubin-d1 (mg/dl) , Bilirubin-d66 , Bilirubin-d2w1</t>
  </si>
  <si>
    <t>Bilirubin-6 Tage vor Krankheitsbeginn  , Bilirubin-d5</t>
  </si>
  <si>
    <t xml:space="preserve">Bilirubin-8 Tage vor Krankheitsbeginn  , Bilirubin-7 Tage vor Krankheitsbeginn 2 , Bilirubin-4 Tage vor Krankheitsbeginn </t>
  </si>
  <si>
    <t xml:space="preserve">Bilirubin-2 Tage vor Krankheitsbeginn 3 , Blut-Bilirubin-d2 </t>
  </si>
  <si>
    <t>Bilirubin-d35 , Bilirubin- (mg/dl) d4</t>
  </si>
  <si>
    <t>Bilirubin-1 Tage vor Krankheitsbeginn  , Totales-Bilirubin-d1 (mg/dl) , Blut-Bilirubin-d2  , Bilirubin-d5</t>
  </si>
  <si>
    <t>Totales-Bilirubin-d1 (mg/dl) , Bilirubin-d35 , Bilirubin-d77</t>
  </si>
  <si>
    <t>Bilirubin-64 Tage vor Krankheitsbeginn (mg/dl) , Bilirubin-d5 , Bilirubin-64 Tage vor Krankheitsbeginn</t>
  </si>
  <si>
    <t>Totales-Bilirubin-d1 (mg/dl) , Bilirubin-d35 , Bilirubin- (mg/dl) d4 , Bilirubin- (mg/dl) d1w1 , Bilirubin-d4w1 , Bilirubin-d6w19</t>
  </si>
  <si>
    <t xml:space="preserve">Bilirubin-3 Tage vor Krankheitsbeginn (mg/dl) , Bilirubin-2 Tage vor Krankheitsbeginn 3 , Bilirubin-1 Tage vor Krankheitsbeginn  , Totales-Bilirubin-d1 (mg/dl) , Blut-Bilirubin-d2 </t>
  </si>
  <si>
    <t>Bilirubin-d2w1 , Bilirubin-d7w1 , Bilirubin-d5w2</t>
  </si>
  <si>
    <t>Bilirubin-107 Tage vor Krankheitsbeginn (mg/dl) , Bilirubin-d35 , Bilirubin-d77</t>
  </si>
  <si>
    <t>Bilirubin-d35 , Bilirubin- (mg/dl) d4 , Bilirubin-d5 , Bilirubin-d66 , Bilirubin-d77</t>
  </si>
  <si>
    <t>Bilirubin- (mg/dl) d4 , Bilirubin-d77 , Bilirubin-d4w1 , Bilirubin-d1w2 , Bilirubin-d4w0m1 , Bilirubin-d4w2m1</t>
  </si>
  <si>
    <t>Bilirubin-d4w1 , Bilirubin- (mg/dl) d2w2 , Bilirubin-d3w3 , Bilirubin- (mg/dl) d7w3 , Bilirubin-d5w2m1 , Bilirubin-d5w3m1 , Bilirubin-d5w2m2</t>
  </si>
  <si>
    <t>Blut-Bilirubin-d2  , Bilirubin-d7w1</t>
  </si>
  <si>
    <t>Blut-Bilirubin-d2  , Bilirubin-d35</t>
  </si>
  <si>
    <t>Totales-Bilirubin-d1 (mg/dl) , Bilirubin-d7w1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</si>
</sst>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4" fillId="0" borderId="0" xfId="0" applyFont="1"/>
    <xf numFmtId="0" fontId="0" fillId="11" borderId="0" xfId="0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0" fontId="0" fillId="4" borderId="0" xfId="0" applyFill="1"/>
    <xf numFmtId="0" fontId="0" fillId="15" borderId="1" xfId="0" applyFill="1" applyBorder="1" applyAlignment="1">
      <alignment wrapText="1"/>
    </xf>
    <xf numFmtId="0" fontId="0" fillId="15" borderId="0" xfId="0" applyFill="1"/>
    <xf numFmtId="0" fontId="0" fillId="10" borderId="1" xfId="0" applyFill="1" applyBorder="1"/>
    <xf numFmtId="0" fontId="0" fillId="16" borderId="0" xfId="0" applyFill="1"/>
    <xf numFmtId="0" fontId="0" fillId="16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7" borderId="0" xfId="0" applyFill="1"/>
    <xf numFmtId="0" fontId="0" fillId="18" borderId="0" xfId="0" applyFill="1"/>
    <xf numFmtId="0" fontId="0" fillId="19" borderId="1" xfId="0" applyFill="1" applyBorder="1"/>
    <xf numFmtId="0" fontId="0" fillId="19" borderId="0" xfId="0" applyFill="1"/>
    <xf numFmtId="10" fontId="0" fillId="0" borderId="0" xfId="0" applyNumberFormat="1"/>
    <xf numFmtId="164" fontId="1" fillId="3" borderId="0" xfId="0" applyNumberFormat="1" applyFont="1" applyFill="1"/>
    <xf numFmtId="0" fontId="4" fillId="20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20" borderId="0" xfId="0" applyFill="1"/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21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/>
    <xf numFmtId="0" fontId="4" fillId="0" borderId="0" xfId="0" applyFont="1" applyFill="1"/>
    <xf numFmtId="164" fontId="0" fillId="0" borderId="0" xfId="0" applyNumberFormat="1" applyFill="1"/>
    <xf numFmtId="17" fontId="0" fillId="0" borderId="0" xfId="0" applyNumberFormat="1" applyFill="1"/>
    <xf numFmtId="3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  <xf numFmtId="0" fontId="2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0" fontId="7" fillId="0" borderId="0" xfId="0" applyNumberFormat="1" applyFont="1" applyAlignment="1">
      <alignment horizontal="center"/>
    </xf>
    <xf numFmtId="0" fontId="0" fillId="0" borderId="0" xfId="0" applyNumberFormat="1" applyAlignment="1">
      <alignment wrapText="1"/>
    </xf>
    <xf numFmtId="0" fontId="2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</cellXfs>
  <cellStyles count="1">
    <cellStyle name="Standard" xfId="0" builtinId="0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4E654193-9498-4663-9236-9AEB0B57535B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CK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E457F2F2-441D-4092-90B0-5B185B469DAA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CK-MB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1" xr16:uid="{4CF8813B-DEA6-42E9-BC3C-05C61EA07B2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Quick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2" xr16:uid="{28570E53-7EAC-49A9-B7E3-AF0E7F9A4291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INR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3" xr16:uid="{AEA8E9A7-AE6C-43C8-A35D-AA90F8B11B5C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Day of Observations" tableColumnId="2"/>
      <queryTableField id="3" name="Total Number of Observation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F73B6441-D238-466A-B5B3-090AABDDE556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Leuk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E6B71305-2765-471E-85D3-389B46BDCE3E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GOT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29F7BAF5-62C5-4C4A-B4B3-54E937246ADD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GPT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516DACAB-20A3-4C40-9A4E-CE6059382963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GGT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2DDE221F-4E5F-4761-9C64-536A51FEF5EE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LDH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A601142D-CB46-4ECD-B51F-85EDDB7DB962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Lymph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63512E5B-7EC9-4078-9ABA-40A160DEEF6B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Hb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B082599-6ABC-41F3-856A-97B8B6410BFD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Bilirubin" tableColumnId="2"/>
      <queryTableField id="3" name="Day of Observations" tableColumnId="3"/>
      <queryTableField id="4" name="Total Number of Observation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34868-114D-4A35-801E-928A94DBD871}" name="Tabelle1" displayName="Tabelle1" ref="A2:AA240" totalsRowShown="0" headerRowDxfId="127" headerRowBorderDxfId="126" tableBorderDxfId="125">
  <autoFilter ref="A2:AA240" xr:uid="{E7434868-114D-4A35-801E-928A94DBD871}"/>
  <tableColumns count="27">
    <tableColumn id="1" xr3:uid="{4DACC4C3-537E-4888-B027-E879F31D110D}" name="BfArM Nummer"/>
    <tableColumn id="2" xr3:uid="{7A49473A-B675-4174-BBEE-13F01D5BED14}" name="ck-12 tage vor krankheitsbeginn"/>
    <tableColumn id="3" xr3:uid="{B186E05D-DC57-48B7-B092-F12D44ECD38A}" name="ck-11 tage vor krankheitsbeginn"/>
    <tableColumn id="4" xr3:uid="{D6E53D38-E8EC-4EC8-8456-617B73B1B2FB}" name="ck-7 tage vor krankheitsbeginn"/>
    <tableColumn id="5" xr3:uid="{00BD7107-C75C-4CF6-A3AE-1FB491000E8E}" name="ck-6 tage vor krankheitsbeginn"/>
    <tableColumn id="6" xr3:uid="{07F7FBFE-FF73-4C18-AAB9-B60A7FE63A31}" name="ck-4 tage vor krankheitsbeginn "/>
    <tableColumn id="7" xr3:uid="{3FB4601D-EBE2-4C1F-B7A9-E202075DCA0D}" name="ck-3 tage vor krankheitsbeginn"/>
    <tableColumn id="8" xr3:uid="{A6FBC5C8-7194-42D6-87A4-CDB78710AF95}" name="ck-2 tage vor krankheitsbeginn  "/>
    <tableColumn id="9" xr3:uid="{52D2195B-E308-4BB5-936E-CCDFD2D45462}" name="ck-1 tag vor krankheitsbeginn  "/>
    <tableColumn id="10" xr3:uid="{383311C9-1577-4922-9428-19D25810956E}" name="ck-datum unbekannt"/>
    <tableColumn id="11" xr3:uid="{903DD4DB-A6D6-4E61-9481-29E1F0D47531}" name="ck-d1 "/>
    <tableColumn id="12" xr3:uid="{3C838263-E8E4-4BFB-99FA-6440C0E383CB}" name="ck-d2"/>
    <tableColumn id="13" xr3:uid="{81C4B750-0DE1-45C8-9098-D58C5789A0C8}" name="ck-d3"/>
    <tableColumn id="14" xr3:uid="{459E1183-0B44-4858-9300-967F6BAB7D15}" name="ck-d4"/>
    <tableColumn id="15" xr3:uid="{8425903E-CF58-48FA-980A-72E79CD62F66}" name="ck-  d5"/>
    <tableColumn id="16" xr3:uid="{3F1DAF0A-8832-4D2F-A5D1-4B8F39B1AFC2}" name="ck-d6"/>
    <tableColumn id="17" xr3:uid="{00C60D42-A27E-4757-91D0-7B46541A0885}" name="ck-d7"/>
    <tableColumn id="18" xr3:uid="{3E194EC7-EFE0-4B15-AC43-E8193CCD6E57}" name="ck-d1w1"/>
    <tableColumn id="19" xr3:uid="{8613580A-4733-4AD8-B095-8FEE973FAA0C}" name="ck-d2w1"/>
    <tableColumn id="20" xr3:uid="{EEBB7575-DE03-443A-A420-D8ADBBECC804}" name="ck-d3w1 "/>
    <tableColumn id="21" xr3:uid="{F3F971DC-3D7C-4252-B6AE-CE8E35CEDE0D}" name="ck-d4w1"/>
    <tableColumn id="22" xr3:uid="{16CFE556-820D-4777-AD9C-D5F2D3546533}" name="ck-  d6w1"/>
    <tableColumn id="23" xr3:uid="{B91A1446-56E2-4B82-894C-970C983EDC34}" name="ck-d1w2"/>
    <tableColumn id="24" xr3:uid="{7C2A8140-C729-45A3-8583-4FED203A7CFD}" name="ck-d2w2"/>
    <tableColumn id="25" xr3:uid="{69075ED4-8B5B-4952-A829-99182CB2A8C7}" name="ck-d4w2 "/>
    <tableColumn id="26" xr3:uid="{49EA2B1A-0FB7-4B87-A0CD-26577FC94B3A}" name="ck-  d3w3"/>
    <tableColumn id="27" xr3:uid="{4ADCAA38-D2F9-482C-B6C5-819302E50F42}" name="ck-  d5w3m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677194-7C57-402E-B488-547FDD23EDCA}" name="CK" displayName="CK" ref="A1:D27" tableType="queryTable" totalsRowShown="0" headerRowDxfId="124">
  <autoFilter ref="A1:D27" xr:uid="{F9677194-7C57-402E-B488-547FDD23EDCA}"/>
  <tableColumns count="4">
    <tableColumn id="5" xr3:uid="{9AD6BF5E-2BA9-441E-AC9D-E9A5EEE877B8}" uniqueName="5" name="BfArM Nummer" queryTableFieldId="1" dataDxfId="123"/>
    <tableColumn id="2" xr3:uid="{CDB62956-A195-4862-AB23-CDEAF82B12F7}" uniqueName="2" name="CK" queryTableFieldId="2" dataDxfId="122"/>
    <tableColumn id="3" xr3:uid="{4C5AACD0-6054-47BC-B320-05C44AA18EA9}" uniqueName="3" name="Day of Observation" queryTableFieldId="3" dataDxfId="121"/>
    <tableColumn id="4" xr3:uid="{BB8FE1EC-7F66-482B-83F4-EFE8DC62B58B}" uniqueName="4" name="Total Number of Observations" queryTableFieldId="4" dataDxfId="1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C9276A-0C6D-41F7-A393-2E71F8627714}" name="Tabelle3" displayName="Tabelle3" ref="A1:R239" totalsRowShown="0" headerRowDxfId="119" headerRowBorderDxfId="118" tableBorderDxfId="117">
  <autoFilter ref="A1:R239" xr:uid="{5CC9276A-0C6D-41F7-A393-2E71F8627714}"/>
  <tableColumns count="18">
    <tableColumn id="1" xr3:uid="{0C7A4634-737B-43D5-8213-FDD01D1667DC}" name="BfArM Nummer" dataDxfId="116"/>
    <tableColumn id="2" xr3:uid="{9846F48F-A1DF-4E53-B349-63500E9D4129}" name="CK-MB-4 Tage vor Krankheitsbeginn (U\l)"/>
    <tableColumn id="3" xr3:uid="{E721F388-3231-445D-A1FD-793F0F1E6B52}" name="CK-MB-3 Tage vor Krankheitsbeginn"/>
    <tableColumn id="4" xr3:uid="{DD0C9E52-7414-4236-93B5-36013548A78B}" name="CK-MB-2 Tage vor Krankheitsbeginn (U\l)"/>
    <tableColumn id="5" xr3:uid="{3F844534-693B-42C6-96A3-5C86F5E6CEBB}" name="CK-MB-d1 (U/L)"/>
    <tableColumn id="6" xr3:uid="{5BDF882B-5429-469B-8EC3-D5B40BAA87C1}" name="CK-MB-d2"/>
    <tableColumn id="7" xr3:uid="{AEF242D2-AE4A-44B0-A09E-15FC19C9F7BA}" name="CK-MB-d3"/>
    <tableColumn id="8" xr3:uid="{0B7C669B-2864-4FDF-A256-19B3C37F5696}" name="CK-MB- (U\l) d4"/>
    <tableColumn id="9" xr3:uid="{632433E9-34A8-4AE6-8C99-AC165955E1B4}" name="CK-MB-d5"/>
    <tableColumn id="10" xr3:uid="{FE753E5E-80AB-4CE5-82FD-2302D378A0F2}" name="CK-MB-d7"/>
    <tableColumn id="11" xr3:uid="{CA6959BF-1D2A-410C-872E-D09DB84C13D7}" name="CK-MB- (U\l) d1w1"/>
    <tableColumn id="12" xr3:uid="{2B08FCE6-314F-4181-A21E-4C7132AF73A4}" name="CK-MB-d2w1 "/>
    <tableColumn id="13" xr3:uid="{762B7BDE-2236-4AE5-BFB4-CEF37180D950}" name="CK-MB-d3w1 "/>
    <tableColumn id="14" xr3:uid="{6AC057BC-C87B-4996-B027-169055DC761F}" name="CK-MB-d4w1 "/>
    <tableColumn id="15" xr3:uid="{46835CD4-097D-43BE-AF3E-91051E9951DC}" name="CK-MB- (U\l) d6w1 "/>
    <tableColumn id="16" xr3:uid="{C10BE681-323C-47A7-B47A-B240F49C769C}" name="CK-MB-d4w2 "/>
    <tableColumn id="17" xr3:uid="{CD08695E-C67F-42AA-A528-4BEC9AF94E3A}" name="CK-MB- (U\l) d3w3 "/>
    <tableColumn id="18" xr3:uid="{FEA0BD4A-C696-450B-AE8B-57097BF6E05E}" name="CK-MB- (U\l) d5w3m1 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D12C47-CF59-4297-A03C-6BAE04D4067B}" name="CK_MB" displayName="CK_MB" ref="A1:D6" tableType="queryTable" totalsRowShown="0">
  <autoFilter ref="A1:D6" xr:uid="{56D12C47-CF59-4297-A03C-6BAE04D4067B}"/>
  <tableColumns count="4">
    <tableColumn id="5" xr3:uid="{BD77D3C0-D1F9-4CFF-B036-385ABB186C8E}" uniqueName="5" name="BfArM Nummer" queryTableFieldId="1" dataDxfId="115"/>
    <tableColumn id="2" xr3:uid="{AA01D2EC-2636-40C9-9DCC-9EB5AA24423F}" uniqueName="2" name="CK-MB" queryTableFieldId="2" dataDxfId="114"/>
    <tableColumn id="3" xr3:uid="{27F22F40-35F8-4469-8864-AEB416073AD9}" uniqueName="3" name="Day of Observations" queryTableFieldId="3" dataDxfId="113"/>
    <tableColumn id="4" xr3:uid="{E4F87E0A-FB13-4F01-886D-CFBAB1628D43}" uniqueName="4" name="Total Number of Observations" queryTableFieldId="4" dataDxfId="1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5F9807-6315-4E53-B16E-869AAA577E22}" name="Tabelle5" displayName="Tabelle5" ref="A1:AL239" totalsRowShown="0" headerRowDxfId="111" headerRowBorderDxfId="110" tableBorderDxfId="109">
  <autoFilter ref="A1:AL239" xr:uid="{125F9807-6315-4E53-B16E-869AAA577E22}"/>
  <tableColumns count="38">
    <tableColumn id="1" xr3:uid="{26D48DB1-EAA7-4738-AC1B-F1F63544700B}" name="BfArM Nummer" dataDxfId="108"/>
    <tableColumn id="2" xr3:uid="{D4184FDE-CC36-4658-89B5-4F4CA2FF6B3A}" name="Quick-37 Tage vor Krankheitsbeginn"/>
    <tableColumn id="3" xr3:uid="{1081C765-E3B3-43CB-AB5C-E21464CB301F}" name="Quick-12 Tage vor Krankheitsbeginn"/>
    <tableColumn id="4" xr3:uid="{4DBAFA34-A6E9-436A-972E-CD39AB24607C}" name="Quick-11 Tage vor Krankheitsbeginn (%)"/>
    <tableColumn id="5" xr3:uid="{E753EA17-5319-4ADE-999D-13C13BAFBEE4}" name="Quick-8 Tage vor Krankheitsbeginn"/>
    <tableColumn id="6" xr3:uid="{22895CD9-9969-49D0-9841-38F1F43AF72A}" name="Quick-7 Tage vor Krankheitsbeginn"/>
    <tableColumn id="7" xr3:uid="{772DA2C9-4E0C-4323-BB66-0221291126A5}" name="Quick-3 Tage vor Krankheitsbeginn"/>
    <tableColumn id="8" xr3:uid="{A809698F-DBE3-482A-AB6F-B5D879BA1C8B}" name="Quick-2 Tage vor Krankheitsbeginn"/>
    <tableColumn id="9" xr3:uid="{115B768F-D4C5-4CE9-9881-0D819825D10D}" name="Quick-1 Tag vor Krankheitsbeginn"/>
    <tableColumn id="10" xr3:uid="{E5BF118A-C035-460E-A0F2-8CDD69D9BBBC}" name="Quick-Datum unbekannt (%)"/>
    <tableColumn id="11" xr3:uid="{9B2722B4-9690-4A4F-A371-1983C2C45544}" name="Quick (TPZ, PTZ, PZ)-d1 (%)"/>
    <tableColumn id="12" xr3:uid="{83077A2A-3668-47C8-B313-59D46B77D400}" name="Quick-d2 "/>
    <tableColumn id="13" xr3:uid="{A5B6F07D-AC0D-418A-B7A5-A328A0DB5FB2}" name="Quick-d3"/>
    <tableColumn id="14" xr3:uid="{B9A899A6-55FA-466F-A8C0-54651DC91194}" name="Quick-d4"/>
    <tableColumn id="15" xr3:uid="{689D7AEF-9B4E-4E02-8FE9-AC3AFDF94FBF}" name="Quick- (%) d5"/>
    <tableColumn id="16" xr3:uid="{51AE7794-C6B3-4ABF-B23C-ECDFE2EEA9A3}" name="Quick-d6"/>
    <tableColumn id="17" xr3:uid="{235E8183-3A0D-4754-B757-AF9F45DDCED8}" name="Quick-d7"/>
    <tableColumn id="18" xr3:uid="{30A7AADB-3137-49B9-9B58-57EE82F9DB08}" name="Quick-d1w1"/>
    <tableColumn id="19" xr3:uid="{B783D3C2-149D-42FE-9AC5-5BD837FFCFA7}" name="Quick-d2w1"/>
    <tableColumn id="20" xr3:uid="{B828E8B4-5826-47AE-B067-B6850F66B300}" name="Quick- (%) d3w1"/>
    <tableColumn id="21" xr3:uid="{E4040777-F36A-44BD-ABCC-9E65547C97C0}" name="Quick-d4w1"/>
    <tableColumn id="22" xr3:uid="{401EF30A-72BA-4BD8-83FA-30F1384A615B}" name="Quick-d5w1"/>
    <tableColumn id="23" xr3:uid="{32F0ABE6-B4BE-4465-BE3D-4A23B0F4164B}" name="Quick-d6w1"/>
    <tableColumn id="24" xr3:uid="{0717F556-2EBE-4DAE-A3C5-1DE9DB6FA295}" name="Quick-d1w2"/>
    <tableColumn id="25" xr3:uid="{458C4DF2-7E29-41A6-BCEC-9E4837501BFD}" name="Quick-d2w2"/>
    <tableColumn id="26" xr3:uid="{E780143E-EE73-4C34-8F0D-6F3088233C14}" name="Quick- (%) d3w2"/>
    <tableColumn id="27" xr3:uid="{316CCAB9-C3E0-4437-8CDF-97C74EDAD8B4}" name="Quick-d6w2"/>
    <tableColumn id="28" xr3:uid="{4B527C83-DD86-4712-8551-AF6325CCB819}" name="Quick-d1w3"/>
    <tableColumn id="29" xr3:uid="{75AFD882-D882-4760-BCC9-54377DC25CFA}" name="Quick-d2w3"/>
    <tableColumn id="30" xr3:uid="{3455950E-A3CD-4622-B234-E577DC4D1938}" name="Quick- (%) d3w3"/>
    <tableColumn id="31" xr3:uid="{90415AB1-6E9E-487E-BDC2-B98C39C0C3BC}" name="Quick-d4w0m1"/>
    <tableColumn id="32" xr3:uid="{3873CFF6-92D5-4EC4-9075-A9361D1BC905}" name="Quick-d5w0m1"/>
    <tableColumn id="33" xr3:uid="{CF27615F-4E41-4786-8C16-756B7D37E2B6}" name="Quick-d5w2m1"/>
    <tableColumn id="34" xr3:uid="{66F7FA4C-E2E7-4007-B27A-2B0D474AAB69}" name="Quick-d4w3m1"/>
    <tableColumn id="35" xr3:uid="{55C3EC6F-5BA7-48D9-A867-214B892B40F6}" name="Quick-d3w1m2"/>
    <tableColumn id="36" xr3:uid="{5F937556-A3E4-4603-BFB9-BBEFCD028AF2}" name="Quick-d5w2m2"/>
    <tableColumn id="37" xr3:uid="{62124C48-0856-4041-AEE7-B4CC4B49C3B9}" name="Quick-d2w0m3"/>
    <tableColumn id="38" xr3:uid="{3AD59F9E-1737-449E-9165-8CFFBCCB0092}" name="Quick-d6w1m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146B32-5229-40AE-B75A-E084DD9CD82A}" name="Tabelle5_2" displayName="Tabelle5_2" ref="A1:D67" tableType="queryTable" totalsRowShown="0">
  <autoFilter ref="A1:D67" xr:uid="{28146B32-5229-40AE-B75A-E084DD9CD82A}"/>
  <tableColumns count="4">
    <tableColumn id="5" xr3:uid="{2939A221-D808-4FAD-A7DA-74EF9679D0B8}" uniqueName="5" name="BfArM Nummer" queryTableFieldId="1"/>
    <tableColumn id="2" xr3:uid="{A2D0C725-5178-4E2B-86A8-3B6D3CD338C2}" uniqueName="2" name="Quick" queryTableFieldId="2" dataDxfId="107"/>
    <tableColumn id="3" xr3:uid="{2B3F3F97-9039-4B90-9851-65623081A00C}" uniqueName="3" name="Day of Observations" queryTableFieldId="3"/>
    <tableColumn id="4" xr3:uid="{DBCC7326-1C11-43EE-B674-F1F2E54F4356}" uniqueName="4" name="Total number of Observations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A035B3-9BF5-49DD-9799-DEA25D510B79}" name="Tabelle7" displayName="Tabelle7" ref="A1:AE239" totalsRowShown="0" headerRowDxfId="106" headerRowBorderDxfId="105" tableBorderDxfId="104">
  <autoFilter ref="A1:AE239" xr:uid="{15A035B3-9BF5-49DD-9799-DEA25D510B79}"/>
  <tableColumns count="31">
    <tableColumn id="1" xr3:uid="{EDB307A1-B658-4FA8-8E92-A9013EFB9F96}" name="BfArM Nummer" dataDxfId="103"/>
    <tableColumn id="2" xr3:uid="{A956B6F6-9515-4D7C-9761-F3FF40D07728}" name="INR-12 Tage vor Krankheitsbeginn"/>
    <tableColumn id="3" xr3:uid="{BBC11498-D770-40C5-880A-3344D1AE1F01}" name="INR-11 Tage vor Krankheitsbeginn"/>
    <tableColumn id="4" xr3:uid="{FDBA0837-96A5-499F-9F59-8FE883D8E63D}" name="INR-8 Tage vor Krankheitsbeginn"/>
    <tableColumn id="5" xr3:uid="{9D71538A-8AC0-449A-9E47-84B0E5FEAFE9}" name="INR-7 Tage vor Krankheitsbeginn"/>
    <tableColumn id="6" xr3:uid="{9541AA4C-A96E-49D8-B818-0226BAA7E5EA}" name="INR-3 Tage vor Krankheitsbeginn"/>
    <tableColumn id="7" xr3:uid="{0284E1C4-1A26-49D8-85EE-054F5DC91632}" name="INR-2 Tage vor Krankheitsbeginn"/>
    <tableColumn id="8" xr3:uid="{D82FDB29-2A3D-46A5-A08A-8E5345FA8180}" name="INR-1 Tag vor Krankheitsbeginn"/>
    <tableColumn id="9" xr3:uid="{1585933B-D049-4ED2-A987-1260B44F2730}" name="INR-Datum unbekannt"/>
    <tableColumn id="10" xr3:uid="{3FD75757-B083-4C8C-A01D-465ECA163887}" name="INR-d1"/>
    <tableColumn id="11" xr3:uid="{49EF2EF8-1B51-4910-899C-9A1E7FECB001}" name="INR-d2"/>
    <tableColumn id="12" xr3:uid="{DD0528A8-C0AF-490B-8E45-19CE422F55A6}" name="INR-d3"/>
    <tableColumn id="13" xr3:uid="{F605AEB6-D06F-4F98-8F0A-910D008A388C}" name="INR-d4"/>
    <tableColumn id="14" xr3:uid="{7500820C-40B8-41D9-8F1E-12C49932D049}" name="INR-d5"/>
    <tableColumn id="15" xr3:uid="{7B683F69-2DB1-4EFD-B0A5-133EEE919FB2}" name="INR-d6"/>
    <tableColumn id="16" xr3:uid="{031E03E5-DEF2-47E5-BCE2-E0F193B72B39}" name="INR-d7"/>
    <tableColumn id="17" xr3:uid="{2919138A-7BD1-4F42-AE91-0291F6082301}" name="INR-d1w1"/>
    <tableColumn id="18" xr3:uid="{3549C5C0-9EA4-4CBC-871F-F5494D641D1F}" name="INR-d2w1"/>
    <tableColumn id="19" xr3:uid="{6741FF04-E4BA-4C0B-B26F-30D49D1F005C}" name="INR-d3w1"/>
    <tableColumn id="20" xr3:uid="{96042BBD-ECBE-40EB-8E5B-BC9DAB168C1B}" name="INR-d4w1"/>
    <tableColumn id="21" xr3:uid="{A7CCE5AA-BD5D-4A6D-88C3-9E297A0411A0}" name="INR-d6w1"/>
    <tableColumn id="22" xr3:uid="{D94B6D49-5EF1-45A7-9148-7E23CB6A50C2}" name="INR-d2w2"/>
    <tableColumn id="23" xr3:uid="{FC78E486-00B2-46D8-A2B1-81DD0CB27482}" name="INR-d1w3"/>
    <tableColumn id="24" xr3:uid="{773D6047-4CAA-4549-A3E5-21A6EB7651BD}" name="INR-d2w3"/>
    <tableColumn id="25" xr3:uid="{6ACA966C-05E2-4715-B494-02C4239E2A50}" name="INR-d5w0m1"/>
    <tableColumn id="26" xr3:uid="{31DBDB8D-F931-4C3A-BDF8-928B14BB8185}" name="INR-d6w0m1"/>
    <tableColumn id="27" xr3:uid="{009E23E5-F87F-43EF-AE8E-997C22085EF0}" name="INR-d5w2m1"/>
    <tableColumn id="28" xr3:uid="{176AF5BB-2D82-4637-9860-064D27FF3BFB}" name="INR-d4w3m1"/>
    <tableColumn id="29" xr3:uid="{A8587F3D-2CB3-44B8-9BE4-C80CC8062CA7}" name="INR-d5w2m2"/>
    <tableColumn id="30" xr3:uid="{1B23A0B6-54A1-4081-884B-B5ACDD5EC902}" name="INR-d2w0m3"/>
    <tableColumn id="31" xr3:uid="{8681CC99-44C3-4E39-9E0F-689B58ADF98C}" name="INR-d6w1m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2B27B7-00B5-4614-81D6-A1B080A775A4}" name="Tabelle7_2" displayName="Tabelle7_2" ref="A1:D44" tableType="queryTable" totalsRowShown="0">
  <autoFilter ref="A1:D44" xr:uid="{4C2B27B7-00B5-4614-81D6-A1B080A775A4}"/>
  <tableColumns count="4">
    <tableColumn id="5" xr3:uid="{10A96590-713B-4A5D-8B55-0CCC9ACE024C}" uniqueName="5" name="BfArM Nummer" queryTableFieldId="1" dataDxfId="102"/>
    <tableColumn id="2" xr3:uid="{FB23DB07-E6E7-4A95-90A4-4C7115C1E812}" uniqueName="2" name="INR" queryTableFieldId="2" dataDxfId="101"/>
    <tableColumn id="3" xr3:uid="{B0BBD671-4FEE-4C39-94C9-D647113C353C}" uniqueName="3" name="Day of Observations" queryTableFieldId="3" dataDxfId="100"/>
    <tableColumn id="4" xr3:uid="{5C0401FE-C97C-4F04-8975-79BE201CC13B}" uniqueName="4" name="Total Number of Observations" queryTableFieldId="4" dataDxfId="9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5505A6-3663-4D12-85F6-5FA271254E23}" name="Tabelle9" displayName="Tabelle9" ref="A1:AH239" totalsRowShown="0" headerRowDxfId="98" headerRowBorderDxfId="97" tableBorderDxfId="96">
  <autoFilter ref="A1:AH239" xr:uid="{7F5505A6-3663-4D12-85F6-5FA271254E23}"/>
  <tableColumns count="34">
    <tableColumn id="1" xr3:uid="{9FA5DDC3-4626-4D88-970F-0A62709BCA6E}" name="BfArM Nummer" dataDxfId="95"/>
    <tableColumn id="2" xr3:uid="{649876F3-08DF-4C74-ACE8-4BF90CFD01F2}" name="PTT-3 Jahre vor Krankheitsbeginn (sec.)"/>
    <tableColumn id="3" xr3:uid="{61D9A52E-05D1-448B-ADEF-130C7A08493F}" name="PTT-12 Tage vor Krankheitsbeginn"/>
    <tableColumn id="4" xr3:uid="{7BEC8070-F0AB-4F0A-B972-15EC3114C44C}" name="PTT-11 Tage vor Krankheitsbeginn"/>
    <tableColumn id="5" xr3:uid="{7EE81B22-2FED-41E2-8A0A-BD896B7AC32C}" name="PTT-8 Tage vor Krankheitsbeginn"/>
    <tableColumn id="6" xr3:uid="{535A7F39-AA81-4549-A5DC-5EAC25E9FB9C}" name="PTT-7 Tage vor Krankheitsbeginn"/>
    <tableColumn id="7" xr3:uid="{AB841661-7C25-4751-8F84-F80FF7E6B4CC}" name="PTT-6 Tage vor Krankheitsbeginn"/>
    <tableColumn id="8" xr3:uid="{37CC318F-5B0A-42E4-A55F-701E68521BB7}" name="PTT-5 Tage vor Krankheitsbeginn"/>
    <tableColumn id="9" xr3:uid="{C9D35CF0-418D-471E-9DAB-A889A66C7BC2}" name="PTT-4 Tage vor Krankheitsbeginn"/>
    <tableColumn id="10" xr3:uid="{F48EF984-7410-4431-8FBD-E80238CF870A}" name="PTT-2 Tage vor Krankheitsbeginn"/>
    <tableColumn id="11" xr3:uid="{DB88D4B3-B8E4-4B3E-8820-A602C13500CB}" name="PTT-Datum unbekannt (sec.)"/>
    <tableColumn id="12" xr3:uid="{5B6BD669-44EA-49E5-8C18-B7388A8AAAFB}" name="PTT-d1 (sec.)"/>
    <tableColumn id="13" xr3:uid="{567BD696-525E-4D7D-B1BE-7AB09E9DD4F2}" name="PTT-d2"/>
    <tableColumn id="14" xr3:uid="{62904090-91BE-4769-9249-39FB0724332F}" name="PTT-d3"/>
    <tableColumn id="15" xr3:uid="{E799DDFA-D411-419E-B607-566F55D44406}" name="PTT- (sec.) d4"/>
    <tableColumn id="16" xr3:uid="{7E974A83-6574-49E9-9702-03681B8636CF}" name="PTT-d5"/>
    <tableColumn id="17" xr3:uid="{5C2FA746-6B4B-4B2B-8624-201AB174A570}" name="PTT-d6"/>
    <tableColumn id="18" xr3:uid="{3EC1ABB5-D7F9-4D91-AF1F-FC90F6CEFFEE}" name="PTT-d7"/>
    <tableColumn id="19" xr3:uid="{60C67F55-7406-4858-8488-1BC8F4F949E9}" name="PTT-d1w1"/>
    <tableColumn id="20" xr3:uid="{D8BFD4B2-108A-4B97-806D-81AC3AC56E47}" name="PTT- (sec.) d2w1"/>
    <tableColumn id="21" xr3:uid="{F9B9D998-3998-4453-B766-6E0E3A16B5C0}" name="PTT-d3w1"/>
    <tableColumn id="22" xr3:uid="{C1919E66-8FC3-42E2-9946-AFEB315EB2B4}" name="PTT-d4w1"/>
    <tableColumn id="23" xr3:uid="{CC3E1EAE-511E-48DA-A95C-D0C0E5783D64}" name="PTT-d5w1"/>
    <tableColumn id="24" xr3:uid="{2E2B6A92-B4DC-49FF-8493-B5D0CB66C8D9}" name="PTT-d1w2"/>
    <tableColumn id="25" xr3:uid="{FC2B3FBB-30D7-443D-9365-6C8CD1EF72B6}" name="PTT- (sec.) d2w2"/>
    <tableColumn id="26" xr3:uid="{8C175662-7388-4F45-A103-377CCB6C0162}" name="PTT-d3w2"/>
    <tableColumn id="27" xr3:uid="{C4BDA570-A13B-4927-8F5D-03E62BF2DE0D}" name="PTT-d1w3"/>
    <tableColumn id="28" xr3:uid="{3476DCF7-579F-4C6A-ACB4-85F013CE244A}" name="PTT-d2w3"/>
    <tableColumn id="29" xr3:uid="{6B62FE32-2CF4-4991-8FF3-0A3E7EAC37D8}" name="PTT-d4w0m1"/>
    <tableColumn id="30" xr3:uid="{538BA7EE-D6BE-4DF7-B9DB-373AF9BD0E2F}" name="PTT-d5w0m1"/>
    <tableColumn id="31" xr3:uid="{5391A6F1-D1FD-4F9A-87CB-05905D9E8269}" name="PTT-d5w2m1"/>
    <tableColumn id="32" xr3:uid="{0647F939-7771-4B48-A263-5EA17F783336}" name="PTT-d4w3m1"/>
    <tableColumn id="33" xr3:uid="{B03B5A05-02C0-4DCC-8A97-3D6111D3D1BD}" name="PTT-d5w2m2"/>
    <tableColumn id="34" xr3:uid="{61B6E72C-67B2-4680-8BEB-16D0847185A8}" name="PTT-d6w1m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077848-0612-44CE-B83C-1377E85677DD}" name="Tabelle9_2" displayName="Tabelle9_2" ref="A1:C49" tableType="queryTable" totalsRowShown="0">
  <autoFilter ref="A1:C49" xr:uid="{BF077848-0612-44CE-B83C-1377E85677DD}"/>
  <tableColumns count="3">
    <tableColumn id="4" xr3:uid="{4C0C638A-4464-425C-AFB4-4FDAE0A16BEA}" uniqueName="4" name="BfArM Nummer" queryTableFieldId="1" dataDxfId="94"/>
    <tableColumn id="2" xr3:uid="{E2D44309-6DD5-4578-B464-A97C0D0BDC3C}" uniqueName="2" name="Day of Observations" queryTableFieldId="2" dataDxfId="93"/>
    <tableColumn id="3" xr3:uid="{1EBA92E9-F150-420A-AAFF-2F3CA775EAFC}" uniqueName="3" name="Total Number of Observations" queryTableFieldId="3" dataDxfId="9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A44520-A878-455E-A1F4-70B9C475FC17}" name="Tabelle11" displayName="Tabelle11" ref="A1:AV239" totalsRowShown="0" headerRowDxfId="91" headerRowBorderDxfId="90" tableBorderDxfId="89">
  <autoFilter ref="A1:AV239" xr:uid="{A5A44520-A878-455E-A1F4-70B9C475FC17}"/>
  <tableColumns count="48">
    <tableColumn id="1" xr3:uid="{ED6B8BC2-7772-4EAC-89F5-6BDFA91854A0}" name="BfArM Nummer" dataDxfId="88"/>
    <tableColumn id="2" xr3:uid="{D5F60028-C174-410E-9C1A-AFC7B36D1916}" name="Leukozyten 64 Tage vor Krankheitsbeginn"/>
    <tableColumn id="3" xr3:uid="{0748B827-8EE8-47BF-9D4A-562A71491348}" name="Leukozyten-48 Tage vor Krankheitsbeginn"/>
    <tableColumn id="4" xr3:uid="{32CC2ABF-A5D4-4A9D-8D71-7B404C56FCD5}" name="Leukozyten-39 Tage vor Krankheitsbeginn"/>
    <tableColumn id="5" xr3:uid="{FD54D164-A48C-42F4-9A4B-E4BFFE16B0D1}" name="Leukozyten-36 Tage vor Krankheitsbeginn (\mikrol)"/>
    <tableColumn id="6" xr3:uid="{C9E36606-7075-4C87-8163-6716FF3DCB87}" name="Leukozyten-27 Tage vor Krankheitsbeginn"/>
    <tableColumn id="7" xr3:uid="{6A63CFE6-809E-4322-BC4C-563CFEEA783E}" name="Leukozyten-20 Tage vor Krankheitsbeginn"/>
    <tableColumn id="8" xr3:uid="{AF1EBD8D-21BA-48B8-B432-01F024172C67}" name="Leukozyten-12 Tage vor Krankheitsbeginn"/>
    <tableColumn id="9" xr3:uid="{5023E565-645C-4CF1-8F48-0867830EA081}" name="Leukozyten-11 Tage vor Krankheitsbeginn"/>
    <tableColumn id="10" xr3:uid="{D03B3CE6-979C-4C18-B154-45EEE0BF64DF}" name="Leukozyten-9 Tage vor Krankheitsbeginn (\mikrol)"/>
    <tableColumn id="11" xr3:uid="{53880347-E2C3-4213-98B6-29546C848F2E}" name="Leukozyten-8 Tage vor Krankheitsbeginn"/>
    <tableColumn id="12" xr3:uid="{4EED14B7-BC49-4A98-B1B0-7000ECA222CD}" name="Leukozyten-7 Tage vor Krankheitsbeginn"/>
    <tableColumn id="13" xr3:uid="{70DC47A5-A4DC-4B61-8D03-6FA0689D97F0}" name="Leukozyten-6 Tage vor Krankheitsbeginn"/>
    <tableColumn id="14" xr3:uid="{6AEA7662-F130-46AD-97CE-385EC3430857}" name="Leukozyten-5 Tage vor Krankheitsbeginn"/>
    <tableColumn id="15" xr3:uid="{355A16E3-7781-4BA4-8B6F-6D7A051D6A90}" name="Leukozyten-4 Tage vor Krankheitsbeginn (\mikrol)"/>
    <tableColumn id="16" xr3:uid="{B91A8880-5C9D-49AD-A190-535A35492607}" name="Leukozyten-3 Tage vor Krankheitsbeginn"/>
    <tableColumn id="17" xr3:uid="{70D19A5A-2775-45C4-9110-875991EC19C7}" name="Leukozyten-2 Tage vor Krankheitsbeginn"/>
    <tableColumn id="18" xr3:uid="{25AC0DF2-DD24-43C8-B20A-80E5C5A45D0F}" name="Leukozyten-1 Tag vor Krankheitsbeginn"/>
    <tableColumn id="19" xr3:uid="{1E6CC3E5-2463-47E7-B34F-536A8D90FF1F}" name="Leukozyten-Datum unbekannt (\mikrol)"/>
    <tableColumn id="20" xr3:uid="{7875D2D5-DC9E-4F98-8FD0-CB29A37EFE53}" name="Leukozyten (WBC)-d1 (\mikrol)"/>
    <tableColumn id="21" xr3:uid="{A4145B3C-EC23-4ABC-B7E1-D87A1C141103}" name="Leukozyten-d2"/>
    <tableColumn id="22" xr3:uid="{31FA615D-5E37-4307-A9D8-81451B40D178}" name="Leukozyten- (\mikrol) d3"/>
    <tableColumn id="23" xr3:uid="{FD4E45B1-45DE-4BE1-B35C-7C4DBC3CA033}" name="Leukozyten-d4"/>
    <tableColumn id="24" xr3:uid="{23B6ECCC-FD38-455B-A369-56B7E7ABE4EF}" name="Leukozyten-d5"/>
    <tableColumn id="25" xr3:uid="{E02B1939-A90F-41D3-B4F0-D3CA4679196D}" name="Leukozyten-d6"/>
    <tableColumn id="26" xr3:uid="{01B5B9D9-A0CA-42BE-810F-0D791997479E}" name="Leukozyten- (\mikrol) d7"/>
    <tableColumn id="27" xr3:uid="{5C34F276-1C92-4033-8AF9-FA0DCB2E7EF9}" name="Leukozyten-d1w1"/>
    <tableColumn id="28" xr3:uid="{2C192291-CEF9-4EF8-AF5B-A6B10F1D5156}" name="Leukozyten-d2w1"/>
    <tableColumn id="29" xr3:uid="{97A5162C-6665-44DC-927A-D5F5D7B92AD4}" name="Leukozyten-d3w1"/>
    <tableColumn id="30" xr3:uid="{0C5D20B6-A05E-44E3-AD2A-EF74B6D46EA5}" name="Leukozyten-d4w1"/>
    <tableColumn id="31" xr3:uid="{BC597503-E5DF-4FA0-968D-8E87E2674BE0}" name="Leukozyten- (\mikrol) d5w1"/>
    <tableColumn id="32" xr3:uid="{7CF8F7B4-9D62-42D4-823F-5E8AB91BD305}" name="Leukozyten-d6w1"/>
    <tableColumn id="33" xr3:uid="{4099A091-4D89-4DC7-A09D-B4B0E5E9BBBA}" name="Leukozyten-w2"/>
    <tableColumn id="34" xr3:uid="{3C55C095-8A47-46D8-A429-1AE48970B30D}" name="Leukozyten-d1w2"/>
    <tableColumn id="35" xr3:uid="{A7C2171B-CCEF-4D8A-9767-7EB9D6B1A24C}" name="Leukozyten-d2w2"/>
    <tableColumn id="36" xr3:uid="{920ABE48-E69F-4400-93CE-B7195E8F4A95}" name="Leukozyten- (\mikrol) d3w2"/>
    <tableColumn id="37" xr3:uid="{04BDBBD1-E346-4B80-835D-37821CC4114A}" name="Leukozyten-d6w2"/>
    <tableColumn id="38" xr3:uid="{6B294351-B35B-47B5-9B55-B8780FE32AA6}" name="Leukozyten-d7w2"/>
    <tableColumn id="39" xr3:uid="{B398714E-2B8D-4F45-940E-B79DD84C3DAE}" name="Leukozyten-d1w3"/>
    <tableColumn id="40" xr3:uid="{01238A28-ABB1-4C8C-91DC-8BFA7CA15476}" name="Leukozyten-d2w3"/>
    <tableColumn id="41" xr3:uid="{A503AE91-9CB0-4CA4-B28F-106F49762B9F}" name="Leukozyten-d4w3"/>
    <tableColumn id="42" xr3:uid="{E5266128-A561-44D2-9C86-6FD838223B79}" name="Leukozyten- (\mikrol) d6w3"/>
    <tableColumn id="43" xr3:uid="{EF48011C-E36F-46D8-B4A1-CF45F758BA5E}" name="Leukozyten- (\mikrol) d1w0m1"/>
    <tableColumn id="44" xr3:uid="{95B41655-77FC-4932-BD57-258F7BFC79EC}" name="Leukozyten-d3w0m1"/>
    <tableColumn id="45" xr3:uid="{8FB32A38-CCBE-4306-BE70-11027E2EB483}" name="Leukozyten-d4w3m1"/>
    <tableColumn id="46" xr3:uid="{FB89D153-F81A-4A5A-BE01-D8A4658496EC}" name="Leukozyten-d7w0m2"/>
    <tableColumn id="47" xr3:uid="{01635ACB-2615-4B0E-B590-010D30B830C6}" name="Leukozyten-d7w1m2"/>
    <tableColumn id="48" xr3:uid="{EEF917B8-BAA1-474F-9484-673443282330}" name="Leukozyten-d1w3m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3C5538-B087-4437-8889-4882D97B3DFC}" name="Tabelle11_2" displayName="Tabelle11_2" ref="A1:D106" tableType="queryTable" totalsRowShown="0">
  <autoFilter ref="A1:D106" xr:uid="{FD3C5538-B087-4437-8889-4882D97B3DFC}"/>
  <tableColumns count="4">
    <tableColumn id="5" xr3:uid="{8A9FDD32-6D92-4865-8682-2B6FA5871460}" uniqueName="5" name="BfArM Nummer" queryTableFieldId="1"/>
    <tableColumn id="2" xr3:uid="{734C7409-AAC1-4676-82CF-7640682BEB4D}" uniqueName="2" name="Leukozyten" queryTableFieldId="2" dataDxfId="87"/>
    <tableColumn id="3" xr3:uid="{DF43A71A-99D1-46AD-BB4C-BF7A01DE4753}" uniqueName="3" name="Day of Observations" queryTableFieldId="3"/>
    <tableColumn id="4" xr3:uid="{78524703-B5C0-4B66-9728-7DB4DEC064DB}" uniqueName="4" name="Total Number of Observations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06C8F2-7D8A-431B-95E7-E0C20A8E0145}" name="Tabelle13" displayName="Tabelle13" ref="A1:CM239" totalsRowShown="0" headerRowDxfId="86" headerRowBorderDxfId="85" tableBorderDxfId="84">
  <autoFilter ref="A1:CM239" xr:uid="{F906C8F2-7D8A-431B-95E7-E0C20A8E0145}"/>
  <tableColumns count="91">
    <tableColumn id="1" xr3:uid="{30705DFE-6F48-4DC9-93AE-D97A5124BD1D}" name="BfArM Nummer" dataDxfId="83"/>
    <tableColumn id="2" xr3:uid="{05CF126C-0433-4680-A6F0-72A709DABE8A}" name="GOT-275 Tage vor Krankheitsbeginn (u\l)"/>
    <tableColumn id="3" xr3:uid="{7ED167BC-6B02-418F-AF3C-82E7ED872EF0}" name="GOT-114 Tage vor Krankheitsbeginn (u\l)"/>
    <tableColumn id="4" xr3:uid="{3452E340-B666-4798-8886-0CD76DB581FE}" name="GOT-107 Tage vor Krankheitsbeginn (u\l)"/>
    <tableColumn id="5" xr3:uid="{926B9020-1114-496A-86DA-CF617ACFD1C4}" name="GOT-105 Tage vor Krankheitsbeginn (u\l)"/>
    <tableColumn id="6" xr3:uid="{643D7F93-1743-4B08-934B-1802BF537B47}" name="GOT-56 Tage vor Krankheitsbeginn"/>
    <tableColumn id="7" xr3:uid="{BD6E991D-BD78-4783-94EE-7E5822D30F24}" name="GOT-36 Tage vor Krankheitsbeginn"/>
    <tableColumn id="8" xr3:uid="{BC083C09-FDAC-4661-AEC4-96111099AC00}" name="GOT-26 Tage vor Krankheitsbeginn"/>
    <tableColumn id="9" xr3:uid="{70CE5024-65C3-4509-90BF-DB0566E07896}" name="GOT-22 Tage vor Krankheitsbeginn"/>
    <tableColumn id="10" xr3:uid="{44B73D22-744E-4F69-9A66-8FC895C1A239}" name="GOT-20 Tage vor Krankheitsbeginn"/>
    <tableColumn id="11" xr3:uid="{90C56448-07E7-4A16-82F3-41B15D38804A}" name="GOT-18 Tage vor Krankheitsbeginn (u\l)"/>
    <tableColumn id="12" xr3:uid="{8656C639-2BBD-40E8-A2AF-DDAAE3500073}" name="GOT-13 Tage vor Krankheitsbeginn"/>
    <tableColumn id="13" xr3:uid="{431F56BB-BE12-497B-ACF5-AC7B795C23B2}" name="GOT-12 Tage vor Krankheitsbeginn"/>
    <tableColumn id="14" xr3:uid="{8D526FAA-C9B9-48EC-ADB2-FF9C7B814F84}" name="GOT-11 Tage vor Krankheitsbeginn"/>
    <tableColumn id="15" xr3:uid="{4751A9FD-0E8F-497B-B10E-A7879FEB535F}" name="GOT-9 Tage vor Krankheitsbeginn"/>
    <tableColumn id="16" xr3:uid="{8013AEA3-984D-4797-96B7-1EACED65E7B2}" name="GOT-8 Tage vor Krankheitsbeginn"/>
    <tableColumn id="17" xr3:uid="{8858983C-95AA-4450-B397-6EB874E45335}" name="GOT-7 Tage vor Krankheitsbeginn (u\l)"/>
    <tableColumn id="18" xr3:uid="{F34E174B-A2B2-4D23-A44A-99045A1CA15D}" name="GOT-6 Tage vor Krankheitsbeginn"/>
    <tableColumn id="19" xr3:uid="{B61AB5FF-4602-4D47-A817-4C48F868776B}" name="GOT-5 Tage vor Krankheitsbeginn"/>
    <tableColumn id="20" xr3:uid="{4DC20B2E-35D2-4AF2-BCC5-5ADBC3C0C97E}" name="GOT-4 Tage vor Krankheitsbeginn"/>
    <tableColumn id="21" xr3:uid="{05CB5CBC-1090-47A3-A27E-450644953AA4}" name="GOT-3 Tage vor Krankheitsbeginn"/>
    <tableColumn id="22" xr3:uid="{A6BE660D-85C6-49E9-960D-7A1BC60FB726}" name="GOT-2 Tage vor Krankheitsbeginn"/>
    <tableColumn id="23" xr3:uid="{B2EE9541-FE30-4B0A-935D-ACF59D2D94B7}" name="GOT-1 Tag vor Krankheitsbeginn"/>
    <tableColumn id="24" xr3:uid="{5057C9AE-CC1E-4CDE-8688-DDA96740E524}" name="GOT-Datum unbekannt (u\l)" dataDxfId="82"/>
    <tableColumn id="25" xr3:uid="{33543A88-A405-4727-95C2-E22A8BF441A3}" name="GOT (AST, ASAT, Aspartat aminotransferase)-d1 (u\l)" dataDxfId="81"/>
    <tableColumn id="26" xr3:uid="{37BA4B95-9D71-44F2-83EA-61024A028541}" name="GOT-d2 " dataDxfId="80"/>
    <tableColumn id="27" xr3:uid="{53F60B1F-637F-4E50-B401-D28BAB62ED7A}" name="GOT-d3" dataDxfId="79"/>
    <tableColumn id="28" xr3:uid="{295C2D8F-441A-4CF2-BD5B-3182743C5944}" name="GOT- (u\l) d4"/>
    <tableColumn id="29" xr3:uid="{C80CD767-C9C5-4F18-BEDB-0123F45AA81D}" name="GOT-d5"/>
    <tableColumn id="30" xr3:uid="{FA9F7D68-E467-42D3-A290-A24D36292364}" name="GOT-d6"/>
    <tableColumn id="31" xr3:uid="{AF2F3645-85D4-4F24-831A-F0C68CD9E779}" name="GOT- (u\l) d7"/>
    <tableColumn id="32" xr3:uid="{A2150558-C301-48CF-AA67-1C64FF85E87E}" name="GOT-d1w1"/>
    <tableColumn id="33" xr3:uid="{2BDC80DD-AA81-4467-BD19-0A374A303C99}" name="GOT-d2w1"/>
    <tableColumn id="34" xr3:uid="{2A04B788-1A26-4D0A-90EB-4FEE637E4076}" name="GOT- (u\l) d3w1"/>
    <tableColumn id="35" xr3:uid="{BC0333DE-61B9-43F5-A768-846410ACA4B1}" name="GOT-d4w1"/>
    <tableColumn id="36" xr3:uid="{9007E595-5281-4230-8DA8-EE027051E946}" name="GOT-d5w1"/>
    <tableColumn id="37" xr3:uid="{E834563D-01E9-402E-9179-60F59AA8C648}" name="GOT- (u\l) d6w1"/>
    <tableColumn id="38" xr3:uid="{84AFDC6E-A215-42BA-ABFD-FFC557D78936}" name="GOT-d7w1"/>
    <tableColumn id="39" xr3:uid="{1B328EC0-CB0A-4B2C-A11B-3F94A40A2E95}" name="GOT-d1w2"/>
    <tableColumn id="40" xr3:uid="{5A01C9ED-D22C-47A0-BDE9-B10C0607FF52}" name="GOT- (u\l) d2w2"/>
    <tableColumn id="41" xr3:uid="{024D6DF2-620D-4AF4-B72E-55442EEFADA8}" name="GOT-d3w2"/>
    <tableColumn id="42" xr3:uid="{CA035814-A80E-43DC-9F1E-D15CD83D13FE}" name="GOT-d4w2"/>
    <tableColumn id="43" xr3:uid="{3D2C0E89-03F5-47C9-A7D4-6117C0095F54}" name="GOT-d5w2"/>
    <tableColumn id="44" xr3:uid="{4343E162-5AD5-45DF-B13A-1B9B0348DA76}" name="GOT- (u\l) d6w2"/>
    <tableColumn id="45" xr3:uid="{49E87F95-EFC5-4C47-BAF1-C7423E9289AC}" name="GOT-d7w2"/>
    <tableColumn id="46" xr3:uid="{3C02CC16-AE77-4B49-A4C0-EC915D8CB0A3}" name="GOT-d1w3"/>
    <tableColumn id="47" xr3:uid="{F35D6C97-CFCB-43D6-8208-B3B215DD647A}" name="GOT-d2w3"/>
    <tableColumn id="48" xr3:uid="{F07068B6-1D24-4654-90C9-665E9740E20D}" name="GOT- (u\l) d3w3"/>
    <tableColumn id="49" xr3:uid="{2533CBF2-8066-4056-9E00-255AFE989DB2}" name="GOT-d4w3"/>
    <tableColumn id="50" xr3:uid="{083E8971-95DB-4041-982C-98BAC9FF8D4F}" name="GOT-d5w3"/>
    <tableColumn id="51" xr3:uid="{41CF00BD-FE8B-48C7-A38E-5A9213DAB655}" name="GOT-d6w3"/>
    <tableColumn id="52" xr3:uid="{CF8CC594-6A9A-473E-AD13-5BE950A59970}" name="GOT-d7w3"/>
    <tableColumn id="53" xr3:uid="{FD3F52F1-6BCE-48E3-A2D2-DB0B65FE39F0}" name="GOT-d1w0m1"/>
    <tableColumn id="54" xr3:uid="{894F45C4-ECA0-46EB-9792-AE027D84432A}" name="GOT- (u\l) d2w0m1"/>
    <tableColumn id="55" xr3:uid="{58B751F2-46D0-4806-B2B3-3B9DD0C6891B}" name="GOT-d3w0m1"/>
    <tableColumn id="56" xr3:uid="{FB7F190D-8259-4D8A-9D95-D2249FCA364E}" name="GOT-d4w0m1"/>
    <tableColumn id="57" xr3:uid="{EB69EB1A-E59D-4E27-8A5F-D82E905C73D5}" name="GOT-d5w0m1"/>
    <tableColumn id="58" xr3:uid="{2C8DDBE9-33E4-4301-8968-BB7BE9E2888C}" name="GOT-d6w0m1"/>
    <tableColumn id="59" xr3:uid="{5DEE2B47-B632-41A5-84D9-2B82D4AD3A0B}" name="GOT-d7w0m1"/>
    <tableColumn id="60" xr3:uid="{7DEB2C6A-B7F9-4531-A0F5-0D0DFFCCA11B}" name="GOT-d2w1m1"/>
    <tableColumn id="61" xr3:uid="{E72BB619-EEF2-4C74-9370-4B334867D14E}" name="GOT-d3w1m1"/>
    <tableColumn id="62" xr3:uid="{1DE29387-4A87-4C22-83F8-4B982587DDEE}" name="GOT-d5w1m1"/>
    <tableColumn id="63" xr3:uid="{B9C0E6F2-9858-473A-8566-6A11B8904C6A}" name="GOT-d7w1m1"/>
    <tableColumn id="64" xr3:uid="{564A4706-A3A2-41AB-8703-EC37A9F8C4DC}" name="GOT-d1w2m1"/>
    <tableColumn id="65" xr3:uid="{1AAB1202-4C8C-4103-B24D-04B5B65F6421}" name="GOT-d3w2m1"/>
    <tableColumn id="66" xr3:uid="{C201D805-C728-427F-9779-B16A91B10DCF}" name="GOT-d4w2m1"/>
    <tableColumn id="67" xr3:uid="{E1623822-A6D0-491F-ABFD-56F2732394C9}" name="GOT-d5w2m1"/>
    <tableColumn id="68" xr3:uid="{A1293E0E-B0C3-4119-9773-B73933451556}" name="GOT-d7w2m1"/>
    <tableColumn id="69" xr3:uid="{678290D3-839D-4757-9560-4FCF9E4D8F05}" name="GOT-d2w3m1"/>
    <tableColumn id="70" xr3:uid="{CEB94AD0-EB52-416E-BA15-46E7E2FAFCBE}" name="GOT-d3w3m1"/>
    <tableColumn id="71" xr3:uid="{AA67DFB7-EFBD-455D-A6C4-72F5F84941F9}" name="GOT-d4w3m1"/>
    <tableColumn id="72" xr3:uid="{E882837D-2116-4F1F-95C9-633BE8F47697}" name="GOT-d5w3m1"/>
    <tableColumn id="73" xr3:uid="{67DAD791-53A2-4F27-AA2B-808E567CD7CB}" name="GOT-d7w3m1"/>
    <tableColumn id="74" xr3:uid="{141E504A-D4BB-4142-8A24-6B7095BB84C4}" name="GOT-d1w0m2"/>
    <tableColumn id="75" xr3:uid="{09659C6A-F805-41E9-AA17-5172CD7D3615}" name="GOT-d2w0m2"/>
    <tableColumn id="76" xr3:uid="{4DEBFFD7-5201-4B63-BAA4-718067D7B277}" name="GOT-d6w0m2"/>
    <tableColumn id="77" xr3:uid="{E25EC84C-CEF0-4A01-B7FC-318430D8CE80}" name="GOT- (u\l) d7w0m2"/>
    <tableColumn id="78" xr3:uid="{30E67140-7D51-49A9-856D-F1BB70AB9917}" name="GOT-d3w1m2"/>
    <tableColumn id="79" xr3:uid="{23F5FBD4-C717-43EA-A69E-3BED6EBB6176}" name="GOT-d4w1m2"/>
    <tableColumn id="80" xr3:uid="{FCDE5606-9E9A-47F7-B534-6580309F64A7}" name="GOT-d7w1m2"/>
    <tableColumn id="81" xr3:uid="{55672156-5A99-4866-B923-E892BB96E96F}" name="GOT-d4w2m2"/>
    <tableColumn id="82" xr3:uid="{B554A470-A90E-49B7-8A82-EB8C7F493487}" name="GOT-d5w2m2"/>
    <tableColumn id="83" xr3:uid="{3C9893FC-A81B-47B3-8B03-563F1C9712E5}" name="GOT- (u\l) d3w3m2"/>
    <tableColumn id="84" xr3:uid="{874F2C04-B129-4385-89E3-1E010AB2B4B9}" name="GOT-d7w3m2"/>
    <tableColumn id="85" xr3:uid="{A9430726-8459-469F-A2AB-B0F6763F144C}" name="GOT-d2w0m3"/>
    <tableColumn id="86" xr3:uid="{C8A728F0-6F94-4F8A-BE3D-62D8C92C0A90}" name="GOT-d6w0m3"/>
    <tableColumn id="87" xr3:uid="{4660C3CD-0DC3-45AE-B614-1F50A9125D75}" name="GOT- (u\l) d2w1m3"/>
    <tableColumn id="88" xr3:uid="{1A70519A-D3E8-4735-A39C-1D7651E63991}" name="GOT- (u\l) d6w1m3"/>
    <tableColumn id="89" xr3:uid="{1986566D-671E-41AD-846E-5074BFF500C4}" name="GOT- (u\l) d3w2m3"/>
    <tableColumn id="90" xr3:uid="{466140E2-96A3-48CC-BF4A-5801F58A014C}" name="GOT- (u\l) d6w2m3"/>
    <tableColumn id="91" xr3:uid="{5E3EF466-8044-4E57-B4F2-F6BFAD1ADF13}" name="GOT- (u\l) d7w1m5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273159C-17F3-44C7-8336-7388BFD9307D}" name="Tabelle13_2" displayName="Tabelle13_2" ref="A1:D162" tableType="queryTable" totalsRowShown="0">
  <autoFilter ref="A1:D162" xr:uid="{3273159C-17F3-44C7-8336-7388BFD9307D}"/>
  <tableColumns count="4">
    <tableColumn id="5" xr3:uid="{488EBCAF-70F2-4C04-9BD2-EED08EE0057A}" uniqueName="5" name="BfArM Nummer" queryTableFieldId="1"/>
    <tableColumn id="2" xr3:uid="{E38CCD33-CA8D-4D41-82F7-ACC5C38C1BD2}" uniqueName="2" name="GOT" queryTableFieldId="2" dataDxfId="78"/>
    <tableColumn id="3" xr3:uid="{29EB9310-E75D-4186-934E-D3E1D08F21E9}" uniqueName="3" name="Day of Observations" queryTableFieldId="3"/>
    <tableColumn id="4" xr3:uid="{2FF7358A-7422-4A0E-B8CD-D1B1C208EBF2}" uniqueName="4" name="Total Number of Observations" queryTableFieldId="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23B2CF-CD30-447F-A53A-E3CA71FB7631}" name="Tabelle15" displayName="Tabelle15" ref="A1:CS239" totalsRowShown="0" headerRowDxfId="77" headerRowBorderDxfId="76" tableBorderDxfId="75">
  <autoFilter ref="A1:CS239" xr:uid="{1D23B2CF-CD30-447F-A53A-E3CA71FB7631}"/>
  <tableColumns count="97">
    <tableColumn id="1" xr3:uid="{384C4FCC-B0B6-4F9C-836B-170FD079F2C3}" name="BfArM Nummer" dataDxfId="74"/>
    <tableColumn id="2" xr3:uid="{A46F7878-BC89-4365-99FC-98DAD507A5D8}" name="GPT-275 Tage vor Krankheitsbeginn (u\l)"/>
    <tableColumn id="3" xr3:uid="{D6BB9ABD-5584-44B0-A761-A0E47092ACE9}" name="GPT-114 Tage vor Krankheitsbeginn (u\l)"/>
    <tableColumn id="4" xr3:uid="{BCEFEE1F-638C-4150-9765-778447A6B357}" name="GPT-107 Tage vor Krankheitsbeginn (u\l)"/>
    <tableColumn id="5" xr3:uid="{24403CEE-948A-4186-9B44-B2D78B019712}" name="GPT-105 Tage vor Krankheitsbeginn (u\l)"/>
    <tableColumn id="6" xr3:uid="{E4612B42-58F6-42FA-868D-388B80349AE7}" name="GPT-55 Tage vor Krankheitsbeginn"/>
    <tableColumn id="7" xr3:uid="{CEEF60C4-1256-40D6-82FD-A0A27E7747A0}" name="GPT-54 Tage vor Krankheitsbeginn"/>
    <tableColumn id="8" xr3:uid="{692C7DC1-90C1-42CF-9E46-E70D1F488F9F}" name="GPT-37 Tage vor Krankheitsbeginn"/>
    <tableColumn id="9" xr3:uid="{4F79EBC2-A075-4E1B-8195-8FBA6C0F3D03}" name="GPT-36 Tage vor Krankheitsbeginn"/>
    <tableColumn id="10" xr3:uid="{6FCF88EE-448D-4498-BE34-A15319EE2800}" name="GPT-30 Tage vor Krankheitsbeginn"/>
    <tableColumn id="11" xr3:uid="{5170AAC1-1BA7-44A8-816A-81B118ECF1C1}" name="GPT-28 Tage vor Krankheitsbeginn"/>
    <tableColumn id="12" xr3:uid="{EDBD1255-1F7C-402A-9707-6EF095B401DD}" name="GPT-22 Tage vor Krankheitsbeginn"/>
    <tableColumn id="13" xr3:uid="{C260FB3D-89CE-4689-A73C-8CE5D48C971A}" name="GPT-20 Tage vor Krankheitsbeginn"/>
    <tableColumn id="14" xr3:uid="{0FEE6514-2DEC-4BFC-8D30-91581615F1CB}" name="GPT-18 Tage vor Krankheitsbeginn (u\l)"/>
    <tableColumn id="15" xr3:uid="{F70E87F8-4FCF-4E71-AD6C-7E47561E5A62}" name="GPT-13 Tage vor Krankheitsbeginn"/>
    <tableColumn id="16" xr3:uid="{4D92C31E-26DB-4CBC-8799-0F5BE2B944B3}" name="GPT-12 Tage vor Krankheitsbeginn"/>
    <tableColumn id="17" xr3:uid="{00FBCC61-1C00-4927-99BD-5D5C4C179DA6}" name="GPT-11 Tage vor Krankheitsbeginn"/>
    <tableColumn id="18" xr3:uid="{B219C77F-7221-40A9-86C0-220C858F8588}" name="GPT-9 Tage vor Krankheitsbeginn"/>
    <tableColumn id="19" xr3:uid="{9BB94F3F-60FC-45DB-9FC9-F8DB786900F0}" name="GPT-8 Tage vor Krankheitsbeginn"/>
    <tableColumn id="20" xr3:uid="{5EBC18D4-47A9-4DCA-87AD-005F200BB592}" name="GPT-7 Tage vor Krankheitsbeginn"/>
    <tableColumn id="21" xr3:uid="{6125EF6D-DFAE-48E0-9E07-C82CF6348F28}" name="GPT-6 Tage vor Krankheitsbeginn"/>
    <tableColumn id="22" xr3:uid="{A7D980D5-F4DA-4C90-A73E-7C88A17191DC}" name="GPT-5 Tage vor Krankheitsbeginn"/>
    <tableColumn id="23" xr3:uid="{F1488728-1F1F-4290-A9E5-6957BE3CA0E3}" name="GPT-4 Tage vor Krankheitsbeginn"/>
    <tableColumn id="24" xr3:uid="{DD739160-6FF6-4257-A207-D464EFD46368}" name="GPT-3 Tage vor Krankheitsbeginn (u\l)"/>
    <tableColumn id="25" xr3:uid="{FC26AED4-963A-44AB-A957-9AD82106ED63}" name="GPT-2 Tage vor Krankheitsbeginn"/>
    <tableColumn id="26" xr3:uid="{64E3C82C-BAA9-4D5D-ACA9-C9E6DD88456B}" name="GPT-1 Tag vor Krankheitsbeginn"/>
    <tableColumn id="27" xr3:uid="{3CEC2986-463A-4148-A433-7AC155F35D4B}" name="GPT-Datum unbekannt"/>
    <tableColumn id="28" xr3:uid="{9C14C250-D41F-4437-817E-BA238A4ECA54}" name="GPT (ALT, ALAT, Alanin-Aminotransferase)-d1 (u\l)"/>
    <tableColumn id="29" xr3:uid="{6A533054-AFD4-4412-9A82-16F972CA02B4}" name="GPT-d2"/>
    <tableColumn id="30" xr3:uid="{5B878AAD-7E9F-4A87-A31E-A574260A9762}" name="GPT-d3"/>
    <tableColumn id="31" xr3:uid="{9A183FD5-263E-4D5A-8CC3-CDEB57D7C732}" name="GPT- (u\l) d4"/>
    <tableColumn id="32" xr3:uid="{902AA44A-5715-43A8-9160-6A89C1ABFA0C}" name="GPT- d5"/>
    <tableColumn id="33" xr3:uid="{87BBF862-6974-49C6-82F0-60B0C91C6505}" name="GPT-d6"/>
    <tableColumn id="34" xr3:uid="{8AD336A6-7A52-4BDB-83BA-E0D0972350E8}" name="GPT- (u\l) d7"/>
    <tableColumn id="35" xr3:uid="{F11C8539-A10A-4B1B-9401-63E630855EB6}" name="GPT-d1w1"/>
    <tableColumn id="36" xr3:uid="{D471A1E9-C807-4A6F-AAE5-BFBEC5A13E9B}" name="GPT-d2w1"/>
    <tableColumn id="37" xr3:uid="{3867616C-D882-44D3-B317-D6CFB67A35EF}" name="GPT- (u\l) d3w1"/>
    <tableColumn id="38" xr3:uid="{4BBE664B-F35F-4678-8FC2-D9397474D383}" name="GPT-d4w1"/>
    <tableColumn id="39" xr3:uid="{1C824D7D-1A48-4D74-B163-8997A0755CC8}" name="GPT-d5w1"/>
    <tableColumn id="40" xr3:uid="{128B2FF8-EA0C-482E-A265-96788037AE22}" name="GPT- (u\l) d6w1"/>
    <tableColumn id="41" xr3:uid="{466A8B28-B697-4914-B215-BDDE29A9B707}" name="GPT-d7w1"/>
    <tableColumn id="42" xr3:uid="{5463EC12-3AD2-4D23-87DB-FB26AD7554E6}" name="GPT-d1w2"/>
    <tableColumn id="43" xr3:uid="{BAD348C5-D19C-44B7-AD0F-108B593965CA}" name="GPT-d2w2"/>
    <tableColumn id="44" xr3:uid="{0819B384-A77F-4BC3-8446-B84ACB538DBA}" name="GPT- (u\l) d3w2"/>
    <tableColumn id="45" xr3:uid="{7530D9DC-0A46-4987-80DD-BE19A5860095}" name="GPT-d4w2"/>
    <tableColumn id="46" xr3:uid="{8F0FC81C-1392-4B63-94A9-5C27C5D9467A}" name="GPT-d5w2"/>
    <tableColumn id="47" xr3:uid="{EBCE2FFA-6A1A-4FB7-9D93-C9BA1E81A490}" name="GPT-d6w2"/>
    <tableColumn id="48" xr3:uid="{B6EC91C9-CCBC-49B4-9677-7DDA0B1284ED}" name="GPT- (u\l) d7w2"/>
    <tableColumn id="49" xr3:uid="{94DE01DC-44B3-4150-9DA7-9FD9511EB522}" name="GPT-d1w3"/>
    <tableColumn id="50" xr3:uid="{4918580C-B377-4D9A-863A-0C21B4A49BBF}" name="GPT-d2w3"/>
    <tableColumn id="51" xr3:uid="{1D0733AF-E88D-4F2E-92BE-422A9B964EBC}" name="GPT-d3w3"/>
    <tableColumn id="52" xr3:uid="{DBD98719-C8AD-4CAB-BE23-55E321BF16CF}" name="GPT-d4w3"/>
    <tableColumn id="53" xr3:uid="{81074281-A820-4C97-BC77-127B22B6EE9A}" name="GPT- (u\l) d5w3"/>
    <tableColumn id="54" xr3:uid="{17AD69A8-8F94-4D7C-9160-A02E9C60A6A4}" name="GPT-d6w3"/>
    <tableColumn id="55" xr3:uid="{576F03C9-6D9E-4117-A613-3E898F533040}" name="GPT-d7w3"/>
    <tableColumn id="56" xr3:uid="{DF0AE0E4-8411-4611-9AD7-1CD1B17F816A}" name="GPT-d1w0m1"/>
    <tableColumn id="57" xr3:uid="{2DE92B4D-EECC-4171-A79D-3F3B6EF9B8AF}" name="GPT- (u\l) d3w0m1"/>
    <tableColumn id="58" xr3:uid="{DC2530C7-4CBE-44D1-92B5-0642220D889A}" name="GPT- (u\l) d4w0m1"/>
    <tableColumn id="59" xr3:uid="{9B8E778F-D327-42CC-BA00-E806C4B8C076}" name="GPT-d5w0m1"/>
    <tableColumn id="60" xr3:uid="{47B11BB2-2D24-48AF-9BDD-23256BCE5D84}" name="GPT-d6w0m1"/>
    <tableColumn id="61" xr3:uid="{D751BD03-6E41-45E8-B90C-CB70A2C1E604}" name="GPT-d7w0m1"/>
    <tableColumn id="62" xr3:uid="{9F5757CC-DD21-474E-9B95-F65D779160AE}" name="GPT-d1w1m1"/>
    <tableColumn id="63" xr3:uid="{358E4507-C5F8-47C8-A7D5-42F617F4DDAE}" name="GPT-d2w1m1"/>
    <tableColumn id="64" xr3:uid="{7EBB89DB-1944-4D0B-AE1D-DD8A1E1A694F}" name="GPT-d3w1m1"/>
    <tableColumn id="65" xr3:uid="{4F28CFD4-1C4E-43FF-BCC9-D643896B3D8E}" name="GPT-d5w1m1"/>
    <tableColumn id="66" xr3:uid="{8F3E7B14-648C-4083-9419-BB598D162283}" name="GPT-d6w1m1"/>
    <tableColumn id="67" xr3:uid="{5CDD37F1-B000-4826-A91E-7626C167EB79}" name="GPT- (u\l) d7w1m1"/>
    <tableColumn id="68" xr3:uid="{86EE1749-141C-43A4-9D1F-CFAE84981BE6}" name="GPT- (u\l) d2w2m1"/>
    <tableColumn id="69" xr3:uid="{ACA9276A-3375-4CCC-8040-AC970B60B3F1}" name="GPT- (u\l) d3w2m1"/>
    <tableColumn id="70" xr3:uid="{550853BF-100A-4D1A-B803-20825E36CF5A}" name="GPT- (u\l) d4w2m1"/>
    <tableColumn id="71" xr3:uid="{A06B2E80-ABB0-4CEA-8E30-A59424B6DCCD}" name="GPT- (u\l) d5w2m1"/>
    <tableColumn id="72" xr3:uid="{8B8D9AEE-3F18-4039-B38F-FB64043B4A30}" name="GPT- (u\l) d7w2m1"/>
    <tableColumn id="73" xr3:uid="{BCF11E31-7207-45DB-9E61-1314E985C562}" name="GPT- (u\l) d2w3m1"/>
    <tableColumn id="74" xr3:uid="{41971290-A634-4879-A026-44730810EF5F}" name="GPT- (u\l) d3w3m1"/>
    <tableColumn id="75" xr3:uid="{D8531D7C-8402-4055-A50C-98B226723A15}" name="GPT- (u\l) d4w3m1"/>
    <tableColumn id="76" xr3:uid="{15CD84AE-C0F5-4152-98A0-4CD1F3161358}" name="GPT- (u\l) d5w3m1"/>
    <tableColumn id="77" xr3:uid="{ECEDD449-AAD7-49F5-82E8-5D8F980EDDC5}" name="GPT- (u\l) d7w3m1"/>
    <tableColumn id="78" xr3:uid="{1930B0E1-1857-46D8-8832-8BA1B1F76AC6}" name="GPT-d1w0m2"/>
    <tableColumn id="79" xr3:uid="{0179E916-B1C3-417C-9774-EF2B5F34DDCC}" name="GPT-d2w0m2"/>
    <tableColumn id="80" xr3:uid="{790C55AB-7229-4592-B21E-7DFB8C64F703}" name="GPT-d6w0m2"/>
    <tableColumn id="81" xr3:uid="{8627DC7E-D925-4459-9062-D5DC067BE1D4}" name="GPT-d7w0m2"/>
    <tableColumn id="82" xr3:uid="{27D98E4E-A108-46A3-9004-436ABA49B93D}" name="GPT-d1w1m2"/>
    <tableColumn id="83" xr3:uid="{6F5539EE-5CDD-4FBF-8264-63808F825C53}" name="GPT-d3w1m2"/>
    <tableColumn id="84" xr3:uid="{8A5B4E97-7DE2-4370-A6EC-56F20A31980F}" name="GPT-d4w1m2"/>
    <tableColumn id="85" xr3:uid="{CB9648E7-28C7-4AE0-B6B4-A8F06526B4C2}" name="GPT-d7w1m2"/>
    <tableColumn id="86" xr3:uid="{A15093B9-D26C-412D-A3DB-1C8019B86AEA}" name="GPT-d4w2m2"/>
    <tableColumn id="87" xr3:uid="{8F55DB9B-753E-4F4F-86D3-891B0202C66B}" name="GPT-d5w2m2"/>
    <tableColumn id="88" xr3:uid="{B98D0942-C11F-4B6B-ABB3-9D5AC28A7C8A}" name="GPT- (u\l) d3w3m2"/>
    <tableColumn id="89" xr3:uid="{E7E8C25D-8636-44D2-AAD8-4E76FBAAE15A}" name="GPT-d7w3m2"/>
    <tableColumn id="90" xr3:uid="{D106D8A4-C9EC-463B-A73A-0B3161A61341}" name="GPT-d2w0m3"/>
    <tableColumn id="91" xr3:uid="{EF8B11EE-FF97-4E3E-BFA2-72874CA96FBE}" name="GPT-d6w0m3"/>
    <tableColumn id="92" xr3:uid="{78618384-DE31-48B2-BD3F-F839D9CC1A85}" name="GPT- (u\l) d2w1m3"/>
    <tableColumn id="93" xr3:uid="{854B985A-B252-4A93-B684-A5C068495578}" name="GPT- (u\l) d6w1m3"/>
    <tableColumn id="94" xr3:uid="{29E53FF7-90A9-4067-8E1D-F311576D0FD6}" name="GPT- (u\l) d3w2m3"/>
    <tableColumn id="95" xr3:uid="{F1F99CA2-020A-4FE4-BC30-10A25381F847}" name="GPT- (u\l) d6w2m3"/>
    <tableColumn id="96" xr3:uid="{87A53AD3-7A93-439D-8FD6-111A302E8F2A}" name="GPT- (u\l) d7w1m5"/>
    <tableColumn id="97" xr3:uid="{C5255E9F-FF57-4CBB-A51B-662B284B06D8}" name="GPT- (u\l) d4w2m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17DFD52-0E9C-4777-994E-CB9F081FDDB2}" name="Tabelle15_2" displayName="Tabelle15_2" ref="A1:D167" tableType="queryTable" totalsRowShown="0">
  <autoFilter ref="A1:D167" xr:uid="{117DFD52-0E9C-4777-994E-CB9F081FDDB2}"/>
  <tableColumns count="4">
    <tableColumn id="5" xr3:uid="{A76DA43F-8F09-476E-AE4F-21973705CE31}" uniqueName="5" name="BfArM Nummer" queryTableFieldId="1"/>
    <tableColumn id="2" xr3:uid="{73465316-CE83-4320-A191-C51ACEE64574}" uniqueName="2" name="GPT" queryTableFieldId="2" dataDxfId="73"/>
    <tableColumn id="3" xr3:uid="{EC2C8B13-0D3F-49FD-90A1-792879680F86}" uniqueName="3" name="Day of Observations" queryTableFieldId="3"/>
    <tableColumn id="4" xr3:uid="{8ECC2E3F-DBD7-427E-9E62-A95B54FD4D99}" uniqueName="4" name="Total Number of Observations" queryTableFieldId="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B182978-3947-4AF9-9D0B-BFE74CBDA993}" name="Tabelle18" displayName="Tabelle18" ref="A1:CC239" totalsRowShown="0" headerRowDxfId="72" headerRowBorderDxfId="71" tableBorderDxfId="70">
  <autoFilter ref="A1:CC239" xr:uid="{3B182978-3947-4AF9-9D0B-BFE74CBDA993}"/>
  <tableColumns count="81">
    <tableColumn id="1" xr3:uid="{1F063AB5-E0F5-45A9-ADC2-A2B8A39654FD}" name="BfArM Nummer" dataDxfId="69"/>
    <tableColumn id="2" xr3:uid="{EC41F444-DE2D-42C3-A92F-60EA938D2C23}" name="GGT-275 Tage vor Krankheitsbeginn (u\l)"/>
    <tableColumn id="3" xr3:uid="{63E904B4-65CC-4D8A-8C14-EBF243FC6BBD}" name="GGT-114 Tage vor Krankheitsbeginn (u\l)"/>
    <tableColumn id="4" xr3:uid="{F2515000-A1AF-474F-A45D-08F355DD9C2F}" name="GGT-105 Tage vor Krankheitsbeginn (u\l)"/>
    <tableColumn id="5" xr3:uid="{0C2342F3-7220-41EB-A592-257D059E9BC2}" name="GGT-67 Tage vor Krankheitsbeginn"/>
    <tableColumn id="6" xr3:uid="{E9EFCEC4-A025-40AD-BB3E-B691B492C656}" name="GGT-55 Tage vor Krankheitsbeginn"/>
    <tableColumn id="7" xr3:uid="{DA98F7C6-A787-4B13-B731-3DB7BDA0840B}" name="GGT-37 Tage vor Krankheitsbeginn"/>
    <tableColumn id="8" xr3:uid="{857B51C0-6B2A-4E46-BC36-FD4063E029A3}" name="GGT-36 Tage vor Krankheitsbeginn"/>
    <tableColumn id="9" xr3:uid="{D4577859-3F66-4A05-A619-2D9AC244BCA4}" name="GGT-22 Tage vor Krankheitsbeginn (u\l)"/>
    <tableColumn id="10" xr3:uid="{D7A49220-237C-4C55-9C08-FA8F8D980C98}" name="GGT-20 Tage vor Krankheitsbeginn"/>
    <tableColumn id="11" xr3:uid="{C7288BB8-AAA4-4344-BA0D-FBB80D6EB60D}" name="GGT-18 Tage vor Krankheitsbeginn"/>
    <tableColumn id="12" xr3:uid="{76A4BB5C-8E28-4008-A715-BD8438D49774}" name="GGT-12 Tage vor Krankheitsbeginn"/>
    <tableColumn id="13" xr3:uid="{DD3CFFC8-DF0B-4C49-BD73-72E61D696B43}" name="GGT-11 Tage vor Krankheitsbeginn"/>
    <tableColumn id="14" xr3:uid="{3DFA1554-211A-46C8-89FF-35A6D3B49B56}" name="GGT-9 Tage vor Krankheitsbeginn"/>
    <tableColumn id="15" xr3:uid="{5B4AC9B2-375D-4E7A-9B1E-ED3217DF6406}" name="GGT-8 Tage vor Krankheitsbeginn (u\l)"/>
    <tableColumn id="16" xr3:uid="{4BF28279-D55A-4516-B435-00601EDE232B}" name="GGT-7 Tage vor Krankheitsbeginn"/>
    <tableColumn id="17" xr3:uid="{5693757C-23AC-4955-9CA8-BA1CDA69DFA5}" name="GGT-6 Tage vor Krankheitsbeginn"/>
    <tableColumn id="18" xr3:uid="{9DE72F46-6FEB-4460-B4EC-A857274CC3C4}" name="GGT-5 Tage vor Krankheitsbeginn"/>
    <tableColumn id="19" xr3:uid="{61A9BC19-AB3F-44C2-A749-3F5B19D5DD28}" name="GGT-4 Tage vor Krankheitsbeginn"/>
    <tableColumn id="20" xr3:uid="{09004CFB-6C1D-4012-A13A-09D278DC9A54}" name="GGT-3 Tage vor Krankheitsbeginn"/>
    <tableColumn id="21" xr3:uid="{4F20EE2B-3790-4A9F-BA27-91428F9DE694}" name="GGT-2 Tage vor Krankheitsbeginn (u\l)"/>
    <tableColumn id="22" xr3:uid="{5DFA2E6A-E94B-4139-8841-E1F02D4F9998}" name="GGT-1 Tag vor Krankheitsbeginn"/>
    <tableColumn id="23" xr3:uid="{04CD3B96-AADA-4AF4-94AC-081A340BF7C5}" name="GGT-Datum unbekannt (u\l)"/>
    <tableColumn id="24" xr3:uid="{81FB6AAF-CD75-414C-8A2E-0C6814C10E19}" name="GGT-d1 (u\l)"/>
    <tableColumn id="25" xr3:uid="{36C22026-85AA-4B87-AF38-9FFBD72DE63A}" name="GGT-d2"/>
    <tableColumn id="26" xr3:uid="{3805EAF1-2BF2-43E6-91E9-EEFD8C6E0C5A}" name="GGT-d3"/>
    <tableColumn id="27" xr3:uid="{F9D6AB34-F6E6-43A4-AF03-D9B8C16373BA}" name="GGT-d4"/>
    <tableColumn id="28" xr3:uid="{386A4065-9670-4D2B-8342-50B3100AE6DD}" name="GGT- (u\l) d5"/>
    <tableColumn id="29" xr3:uid="{A3C18F02-F738-440F-8D9E-38FD90AD31EE}" name="GGT-d6"/>
    <tableColumn id="30" xr3:uid="{F4BAE9BD-D741-4F34-B8D9-A5448876CB53}" name="GGT-d7"/>
    <tableColumn id="31" xr3:uid="{EAA503BB-D29A-4752-9E8B-054C9CD8887E}" name="GGT- (u\l) d1w1"/>
    <tableColumn id="32" xr3:uid="{9C68B86B-55D5-4BE9-B690-F2FDF56F30EE}" name="GGT-d2w1"/>
    <tableColumn id="33" xr3:uid="{86DA3EBA-8C6A-48BF-8399-7E5A0868C05D}" name="GGT-d3w1"/>
    <tableColumn id="34" xr3:uid="{B535711E-51D4-4A5D-8B21-E7DBEF87E33E}" name="GGT-d4w1"/>
    <tableColumn id="35" xr3:uid="{3C00B002-CE89-4F00-8B25-384D30A464C2}" name="GGT- (u\l) d5w1"/>
    <tableColumn id="36" xr3:uid="{A05CA486-D248-4563-BFEB-4112D62770A3}" name="GGT-d6w1"/>
    <tableColumn id="37" xr3:uid="{7A5946BC-B838-4E31-B2BE-114CDE45CE3F}" name="GGT-d7w1"/>
    <tableColumn id="38" xr3:uid="{82E75D80-C81E-4891-9C4D-B8CD97447BDD}" name="GGT-d1w2"/>
    <tableColumn id="39" xr3:uid="{8670191F-CF33-4D79-B8B1-9600AAD2E7EA}" name="GGT- (u\l) d2w2"/>
    <tableColumn id="40" xr3:uid="{8CAFD9CB-DCCD-42B3-9AC7-FADE8BFDBD6B}" name="GGT-d3w2"/>
    <tableColumn id="41" xr3:uid="{E6A7856F-7759-49E7-8446-FF7A856F9F03}" name="GGT-d4w2"/>
    <tableColumn id="42" xr3:uid="{BFFFAFC8-1BC8-4673-9A12-F7CE618D536C}" name="GGT-d5w2"/>
    <tableColumn id="43" xr3:uid="{918434D7-3DD4-410D-9A74-421249621161}" name="GGT- (u\l) d6w2"/>
    <tableColumn id="44" xr3:uid="{691F969C-7316-48DA-93BC-FCA3B24D1633}" name="GGT-d7w2"/>
    <tableColumn id="45" xr3:uid="{60C7C8DF-C271-475D-A2BB-1E591485B071}" name="GGT-d1w3"/>
    <tableColumn id="46" xr3:uid="{67F31258-D95E-4777-B77C-FEB3B370ACEC}" name="GGT-d2w3"/>
    <tableColumn id="47" xr3:uid="{9A7EC5F3-301A-41A1-8162-66F9251352D7}" name="GGT-d3w3"/>
    <tableColumn id="48" xr3:uid="{E0716892-F545-4F36-A2A6-ECD64FCEBBE6}" name="GGT- (u\l) d5w3"/>
    <tableColumn id="49" xr3:uid="{6628B5E1-2FD3-4CA0-B489-FD2624FB5C80}" name="GGT-d7w3"/>
    <tableColumn id="50" xr3:uid="{DB228456-6D61-4AEB-83A0-50F73D712155}" name="GGT-d1w0m1"/>
    <tableColumn id="51" xr3:uid="{D0EBAB8F-B8C8-4E80-8968-4A53D5311DD7}" name="GGT-d2w0m1"/>
    <tableColumn id="52" xr3:uid="{E6C1536E-5C90-48DD-BA4A-00C20AE37CE3}" name="GGT- (u\l) d3w0m1"/>
    <tableColumn id="53" xr3:uid="{03B7C2F2-D595-43A9-ABEC-DCE09A58875E}" name="GGT- (u\l) d4w0m1"/>
    <tableColumn id="54" xr3:uid="{B3745856-56A5-428D-A4B2-D8F255E1C5BC}" name="GGT-d5w0m1"/>
    <tableColumn id="55" xr3:uid="{343DA450-C017-4F83-83C6-30BA7E2A2FA1}" name="GGT-d6w0m1"/>
    <tableColumn id="56" xr3:uid="{DADE1983-A8A0-49E8-8692-82598BAA6B73}" name="GGT-d7w0m1"/>
    <tableColumn id="57" xr3:uid="{5515069C-4118-49A7-9698-B95B38B8A2FC}" name="GGT-d3w1m1"/>
    <tableColumn id="58" xr3:uid="{76138A73-005F-4707-A88E-29867D270E7A}" name="GGT-d6w1m1"/>
    <tableColumn id="59" xr3:uid="{3C03D4AC-8141-4C10-A834-89246CD65A82}" name="GGT-d7w1m1"/>
    <tableColumn id="60" xr3:uid="{F0A4C047-0ADA-4D87-ADD6-6064C6269036}" name="GGT- (u\l) d2w2m1"/>
    <tableColumn id="61" xr3:uid="{8E0BA4C8-B4CA-429E-B1CC-9B81761C1593}" name="GGT- (u\l) d3w2m1"/>
    <tableColumn id="62" xr3:uid="{4D7F9D51-4208-4CE6-AB7B-57678B31D0F9}" name="GGT- (u\l) d4w2m1"/>
    <tableColumn id="63" xr3:uid="{7C58F0BD-9C20-41A5-B88E-12AE09021D86}" name="GGT- (u\l) d5w2m1"/>
    <tableColumn id="64" xr3:uid="{CCF55590-6F3A-42CF-9426-7AE6C6889E7F}" name="GGT- (u\l) d7w2m1"/>
    <tableColumn id="65" xr3:uid="{010D5BB9-F1FD-45B4-9149-B9B63CC0798F}" name="GGT- (u\l) d4w3m1"/>
    <tableColumn id="66" xr3:uid="{EEC35C48-1E1E-4C56-86BF-D3A8ED28BB54}" name="GGT- (u\l) d5w3m1"/>
    <tableColumn id="67" xr3:uid="{957F93EB-7CE2-44DD-9AC4-9083129F42FD}" name="GGT- (u\l) d7w3m1"/>
    <tableColumn id="68" xr3:uid="{08EE5FC6-4238-470D-A2F6-5C9107992E54}" name="GGT-d1w0m2"/>
    <tableColumn id="69" xr3:uid="{B20AE055-2D72-4692-8E03-CFE621A7D642}" name="GGT-d2w0m2"/>
    <tableColumn id="70" xr3:uid="{348616D5-DBAD-431A-A3C2-2D991126D7C0}" name="GGT-d6w0m2"/>
    <tableColumn id="71" xr3:uid="{23F56D11-523E-4D0A-8365-9591A3E4AC40}" name="GGT-d7w0m2"/>
    <tableColumn id="72" xr3:uid="{757FB78D-C52A-45B4-A650-CD4F48F2E3F6}" name="GGT-d3w1m2"/>
    <tableColumn id="73" xr3:uid="{2D8B22E7-BEDF-479A-98CC-9A34096C6B7C}" name="GGT-d4w1m2"/>
    <tableColumn id="74" xr3:uid="{D4B5BD43-D9C8-4518-BF9C-BD2EF0AA9EBC}" name="GGT-d4w2m2"/>
    <tableColumn id="75" xr3:uid="{915376B8-1CEE-452B-8AEB-9C1323647928}" name="GGT-d5w2m2"/>
    <tableColumn id="76" xr3:uid="{5458554A-6069-4504-B722-7FF6EDD6A405}" name="GGT- (u\l) d3w3m2"/>
    <tableColumn id="77" xr3:uid="{C75EC59D-3A5C-44F6-A4FE-27E693B2E5C4}" name="GGT-d7w3m2"/>
    <tableColumn id="78" xr3:uid="{B83BD590-359B-4481-8AEC-1A9E66B177ED}" name="GGT-d2w0m3"/>
    <tableColumn id="79" xr3:uid="{C35736F5-9A86-41F8-AF8E-F95F6B07CA7E}" name="GGT- (u\l) d2w1m3"/>
    <tableColumn id="80" xr3:uid="{6CBAFFD5-B337-4D04-B7C5-BBDCA2893910}" name="GGT- (u\l) d6w1m3"/>
    <tableColumn id="81" xr3:uid="{9CFA9735-052D-4A28-92E3-8D7ACB92818D}" name="GGT- (u\l) d6w2m3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D5759E-A112-40C5-B408-AF92EA02ABA8}" name="GGT" displayName="GGT" ref="A1:D134" tableType="queryTable" totalsRowShown="0">
  <autoFilter ref="A1:D134" xr:uid="{85D5759E-A112-40C5-B408-AF92EA02ABA8}"/>
  <tableColumns count="4">
    <tableColumn id="5" xr3:uid="{73F17CF8-9E5E-4FBA-9DF7-525FCBFEC85C}" uniqueName="5" name="BfArM Nummer" queryTableFieldId="1"/>
    <tableColumn id="2" xr3:uid="{A4832EF5-97B0-4890-8F09-37B4A93A09F4}" uniqueName="2" name="GGT" queryTableFieldId="2" dataDxfId="68"/>
    <tableColumn id="3" xr3:uid="{0CE6D36E-7D48-4369-B67B-16B16EE06562}" uniqueName="3" name="Day of Observations" queryTableFieldId="3"/>
    <tableColumn id="4" xr3:uid="{EF116898-E39E-4F20-A219-601F1FC15AA8}" uniqueName="4" name="Total Number of Observations" queryTableFieldId="4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E12994F-F2FA-4DB3-A60E-4DEB71674106}" name="Tabelle20" displayName="Tabelle20" ref="A1:AM239" totalsRowShown="0" headerRowDxfId="67" headerRowBorderDxfId="66" tableBorderDxfId="65">
  <autoFilter ref="A1:AM239" xr:uid="{6E12994F-F2FA-4DB3-A60E-4DEB71674106}"/>
  <tableColumns count="39">
    <tableColumn id="1" xr3:uid="{C0AF285C-6A57-4C8E-84D4-9B40C1757650}" name="BfArM Nummer" dataDxfId="64"/>
    <tableColumn id="2" xr3:uid="{724AC2CF-1CD7-4700-82E7-CE819C44F88A}" name="LDH-64 Tage vor Krankheitsbeginn (u\l)"/>
    <tableColumn id="3" xr3:uid="{F935A5F6-378A-4502-98ED-0F82CC42D239}" name="LDH-13 Tage vor Krankheitsbeginn (u\l)"/>
    <tableColumn id="4" xr3:uid="{216B5841-CF9F-4E8F-BB7C-C1C65A0B83DD}" name="LDH-12 Tage vor Krankheitsbeginn (u\l)"/>
    <tableColumn id="5" xr3:uid="{45ABC536-D8F2-4D18-BDFC-C3331130C091}" name="LDH-11 Tage vor Krankheitsbeginn (u\l)"/>
    <tableColumn id="6" xr3:uid="{5B90B65B-3C5E-47E1-A10F-438AA1A103B4}" name="LDH-7 Tage vor Krankheitsbeginn"/>
    <tableColumn id="7" xr3:uid="{E88684C2-3C42-4524-ADB6-D79F123F2C24}" name="LDH-6 Tage vor Krankheitsbeginn"/>
    <tableColumn id="8" xr3:uid="{BFFF83C7-8C62-4B6F-850E-4DA2FF8241D2}" name="LDH-5 Tage vor Krankheitsbeginn"/>
    <tableColumn id="9" xr3:uid="{72D4499F-99E1-434B-86FC-743059812E21}" name="LDH-4 Tage vor Krankheitsbeginn"/>
    <tableColumn id="10" xr3:uid="{CF72EF60-182F-4694-9A20-DE303357C24F}" name="LDH-3 Tage vor Krankheitsbeginn (u\l)"/>
    <tableColumn id="11" xr3:uid="{FD8A9340-A87B-46EC-AE8E-AA024904FC11}" name="LDH-2 Tage vor Krankheitsbeginn"/>
    <tableColumn id="12" xr3:uid="{05152189-FB72-4F3A-BE35-6107A11A0F72}" name="LDH-1 Tag vor Krankheitsbeginn"/>
    <tableColumn id="13" xr3:uid="{AB124A69-C498-4146-9F06-5DE5378060BA}" name="LDH-Datum unbekannt (u\l)"/>
    <tableColumn id="14" xr3:uid="{472E6AEF-8936-4BFF-B395-6AC4AC9F1B97}" name="LDH-d1 (u\l)"/>
    <tableColumn id="15" xr3:uid="{7CBF83CD-EFF5-4AF1-9CD3-22CA24B69A65}" name="LDH-d2"/>
    <tableColumn id="16" xr3:uid="{D90CACF1-C5FD-4297-8C0F-277A9D184983}" name="LDH-d3"/>
    <tableColumn id="17" xr3:uid="{14E669A1-4690-4C56-BA0B-85878319F222}" name="LDH-d4"/>
    <tableColumn id="18" xr3:uid="{BF958C37-65CB-4AE0-B0F9-619A7727D646}" name="LDH- (u\l) d5"/>
    <tableColumn id="19" xr3:uid="{82E25EB9-91DF-40A3-8E4B-A58C5A32F54E}" name="LDH-d6"/>
    <tableColumn id="20" xr3:uid="{0D0ACB5A-4099-4C1A-BEC3-3C03E9681787}" name="LDH-d7"/>
    <tableColumn id="21" xr3:uid="{5876F70F-AA7A-435D-9A4B-EE0F5DA1C406}" name="LDH- (u\l) d1w1 "/>
    <tableColumn id="22" xr3:uid="{17DDAB2F-D137-4CA1-B273-EB4A9945B1EF}" name="LDH-d2w1 "/>
    <tableColumn id="23" xr3:uid="{6E5AB9FA-A17A-4670-BEA8-080465F566AA}" name="LDH-d3w1"/>
    <tableColumn id="24" xr3:uid="{76840EE0-893B-414A-8B43-FF5DC74E686D}" name="LDH- (u\l) d4w1"/>
    <tableColumn id="25" xr3:uid="{DCCE9F2D-A91F-42B5-AC61-E51C5FB08BA0}" name="LDH-d5w1"/>
    <tableColumn id="26" xr3:uid="{84B2C0A0-75E2-42C5-9B9B-F3AC598B7435}" name="LDH-d6w1"/>
    <tableColumn id="27" xr3:uid="{F56B3475-44D6-4C03-8479-22CFF72257C4}" name="LDH-d1w2"/>
    <tableColumn id="28" xr3:uid="{A4A49FB4-B1F0-41CD-A409-ACCB0E5F0789}" name="LDH- (u\l) d2w2"/>
    <tableColumn id="29" xr3:uid="{6243DE38-6ABF-44E3-9BB8-5F0DC42D0580}" name="LDH-d3w2"/>
    <tableColumn id="30" xr3:uid="{F596415C-6D84-48DA-8B39-06251035A2B9}" name="LDH-d4w2"/>
    <tableColumn id="31" xr3:uid="{39D23CF1-3ACD-46AD-B75F-E065D204313D}" name="LDH- (u\l) d1w3"/>
    <tableColumn id="32" xr3:uid="{18CF672C-B7B2-4308-9ABC-619B1B4B8F79}" name="LDH-d3w3"/>
    <tableColumn id="33" xr3:uid="{A948197A-9949-40EF-9CEC-55C4C427F1CB}" name="LDH-d7w3"/>
    <tableColumn id="34" xr3:uid="{8ADBBA4A-5D5A-4C01-83E4-D154FDF46351}" name="LDH- (u\l) d1w0m1"/>
    <tableColumn id="35" xr3:uid="{729FF7AE-DFCA-4947-B196-B9FC9B75FE84}" name="LDH-d3w0m1"/>
    <tableColumn id="36" xr3:uid="{49C08B85-309F-490E-A83A-C950841079CA}" name="LDH- (u\l) d6w0m1"/>
    <tableColumn id="37" xr3:uid="{4E048EE0-E95F-4800-900B-5F0DBB7ED679}" name="LDH- (u\l) d4w3m1"/>
    <tableColumn id="38" xr3:uid="{631B7F26-A7FF-4661-BB31-EBF186947F15}" name="LDH- (u\l) d5w3m1"/>
    <tableColumn id="39" xr3:uid="{317FCABF-F5F3-4F34-B33A-8F3DA7F67F57}" name="LDH- (u\l) d3w1m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ED149FB-BD3D-4B87-B3CD-08F9DC7E6E9C}" name="LDH" displayName="LDH" ref="A1:D70" tableType="queryTable" totalsRowShown="0">
  <autoFilter ref="A1:D70" xr:uid="{DED149FB-BD3D-4B87-B3CD-08F9DC7E6E9C}"/>
  <tableColumns count="4">
    <tableColumn id="5" xr3:uid="{1D5FBA2B-C1D5-4347-B86C-D2277125A1FF}" uniqueName="5" name="BfArM Nummer" queryTableFieldId="1"/>
    <tableColumn id="2" xr3:uid="{CA98D0F0-EC0E-41DA-AE3E-C33602360B57}" uniqueName="2" name="LDH" queryTableFieldId="2" dataDxfId="63"/>
    <tableColumn id="3" xr3:uid="{43D65583-5339-4DA0-99D1-76D34BD5069E}" uniqueName="3" name="Day of Observations" queryTableFieldId="3"/>
    <tableColumn id="4" xr3:uid="{D91D1AB7-9A65-4A47-BE95-39EC590EEE12}" uniqueName="4" name="Total Number of Observations" queryTableFieldId="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F6BBC19-7FE3-4FDA-A098-C7E47EC79BE6}" name="Tabelle22" displayName="Tabelle22" ref="A1:AD239" totalsRowShown="0" headerRowDxfId="62" headerRowBorderDxfId="61" tableBorderDxfId="60">
  <autoFilter ref="A1:AD239" xr:uid="{9F6BBC19-7FE3-4FDA-A098-C7E47EC79BE6}"/>
  <tableColumns count="30">
    <tableColumn id="1" xr3:uid="{91011EB0-C5DE-41A5-A8FF-D77D24FB446A}" name="BfArM Nummer" dataDxfId="59"/>
    <tableColumn id="2" xr3:uid="{EE4389C7-ACBA-4BB7-8CA9-12E201829B88}" name="Lymphozyten-36 Tage vor Krankheitsbeginn (%)"/>
    <tableColumn id="3" xr3:uid="{BB85C4BE-A51F-4407-B807-B96B09AAC244}" name="Lymphozyten-22 Tage vor Krankheitsbeginn"/>
    <tableColumn id="4" xr3:uid="{79812FA7-DCA2-49A6-AAA9-213F22DDBEB9}" name="Lymphozyten-20 Tage vor Krankheitsbeginn"/>
    <tableColumn id="5" xr3:uid="{2F507158-1A26-4380-A24B-131996874137}" name="Lymphozyten-12 Tage vor Krankheitsbeginn"/>
    <tableColumn id="6" xr3:uid="{4628F67C-D5A9-44DD-AB82-86CFB0F9EFF7}" name="Lymphozyten-11 Tage vor Krankheitsbeginn"/>
    <tableColumn id="7" xr3:uid="{CAE681FA-475D-469D-88DB-8ECDB5EB0D17}" name="Lymphozyten-7 Tage vor Krankheitsbeginn (%)"/>
    <tableColumn id="8" xr3:uid="{1D9044DA-8512-4828-AB60-F5B0B1CEC38D}" name="Lymphozyten-6 Tage vor Krankheitsbeginn (%)"/>
    <tableColumn id="9" xr3:uid="{8B49BC2C-4480-4A9B-979A-786CEF6569A3}" name="Lymphozyten-4 Tage vor Krankheitsbeginn (%)"/>
    <tableColumn id="10" xr3:uid="{427042B5-A41E-4D9B-BECB-89A559007198}" name="Lymphozyten-Datum unbekannt (%)"/>
    <tableColumn id="11" xr3:uid="{35CFCCB8-91D1-4B53-B743-FE4C73C3F5B6}" name="Lymphozyten-d1 (%)"/>
    <tableColumn id="12" xr3:uid="{E1712B20-5669-4F01-B03B-D2322F71F44C}" name="Lymphozyten-d2"/>
    <tableColumn id="13" xr3:uid="{28755BC5-D7A8-4A5F-A938-55698891D7FD}" name="Lymphozyten-d3"/>
    <tableColumn id="14" xr3:uid="{E01BA81B-DD17-444F-83EB-663C450AFC13}" name="Lymphozyten-d4"/>
    <tableColumn id="15" xr3:uid="{E4E5C8A6-782B-4EF5-88BB-42E16579CF05}" name="Lymphozyten- (%) d5"/>
    <tableColumn id="16" xr3:uid="{502DA19F-1595-4C37-A20E-8849A1B2D845}" name="Lymphozyten-d6"/>
    <tableColumn id="17" xr3:uid="{DACAE4AB-105E-4CFB-8160-928CF6B36063}" name="Lymphozyten-d1w1"/>
    <tableColumn id="18" xr3:uid="{2BE53533-944C-4EEA-823D-E24AB536EE9A}" name="Lymphozyten-d2w1"/>
    <tableColumn id="19" xr3:uid="{5009B656-AF82-453F-A9A5-55589E1A6D6B}" name="Lymphozyten- (%) d4w1"/>
    <tableColumn id="20" xr3:uid="{256CA1DF-88D2-4F65-8C56-541F59AFF2E1}" name="Lymphozyten-d6w1"/>
    <tableColumn id="21" xr3:uid="{1C5F698B-BC06-4744-BAB1-9917ECC272B4}" name="Lymphozyten-d7w1"/>
    <tableColumn id="22" xr3:uid="{A1A5E200-6C3B-4808-81A3-C4A394D6F1D6}" name="Lymphozyten-d1w2"/>
    <tableColumn id="23" xr3:uid="{7EF8EB9F-9E39-4BEF-A8AD-CD1767F14272}" name="Lymphozyten- (%) d2w4"/>
    <tableColumn id="24" xr3:uid="{37742C08-C43C-49F6-9F3A-DFA64909A2D5}" name="Lymphozyten-d1w0m1"/>
    <tableColumn id="25" xr3:uid="{1E696379-5A55-4A28-9394-FFB4BFADC771}" name="Lymphozyten-d3w0m1"/>
    <tableColumn id="26" xr3:uid="{277B8E20-9874-4813-B1D6-574580C3A98E}" name="Lymphozyten-d2w2m1"/>
    <tableColumn id="27" xr3:uid="{415D7B63-B0A4-4EB5-BC46-191873058B8D}" name="Lymphozyten- (%) d6w0m2"/>
    <tableColumn id="28" xr3:uid="{4B7AEBA8-9B22-4462-85A3-620CCE82C4F0}" name="Lymphozyten-d7w0m2"/>
    <tableColumn id="29" xr3:uid="{A469EF4B-4567-4D8D-BBBC-5CAE5FDA4273}" name="Lymphozyten- (%) d3w3m2"/>
    <tableColumn id="30" xr3:uid="{3ABBFC29-92EB-428B-A431-1AB78C4C44C9}" name="Lymphozyten-d4w3m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29E9A3C-831A-4D2A-A17C-79CDA998CF69}" name="Lymphozyten" displayName="Lymphozyten" ref="A1:D40" tableType="queryTable" totalsRowShown="0">
  <autoFilter ref="A1:D40" xr:uid="{C29E9A3C-831A-4D2A-A17C-79CDA998CF69}"/>
  <tableColumns count="4">
    <tableColumn id="5" xr3:uid="{0B6DC2EB-CC91-441A-B8AD-78407FC6348D}" uniqueName="5" name="BfArM Nummer" queryTableFieldId="1" dataDxfId="58"/>
    <tableColumn id="2" xr3:uid="{FD4026D1-9501-4B27-AD43-37A092A966E5}" uniqueName="2" name="Lymphozyten" queryTableFieldId="2" dataDxfId="57"/>
    <tableColumn id="3" xr3:uid="{569E635C-9674-4453-8C0F-5BB05ACBB338}" uniqueName="3" name="Day of Observations" queryTableFieldId="3" dataDxfId="56"/>
    <tableColumn id="4" xr3:uid="{FEF80C8A-A98E-49BB-A2A3-A60F16083EF7}" uniqueName="4" name="Total Number of Observations" queryTableFieldId="4" dataDxfId="55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499A491-B62C-4671-B229-B4796B3FEB54}" name="Tabelle24" displayName="Tabelle24" ref="A1:BA239" totalsRowShown="0" headerRowDxfId="54" headerRowBorderDxfId="53" tableBorderDxfId="52">
  <autoFilter ref="A1:BA239" xr:uid="{3499A491-B62C-4671-B229-B4796B3FEB54}"/>
  <tableColumns count="53">
    <tableColumn id="1" xr3:uid="{434D339C-2AA2-4287-ADDE-2EFD738A198D}" name="BfArM Nummer" dataDxfId="51"/>
    <tableColumn id="2" xr3:uid="{F9ADB80B-8899-433D-A8AF-CC09352D0CDF}" name="Hb-72Tage vor Krankheitsbeginn"/>
    <tableColumn id="3" xr3:uid="{01C156A7-96D5-4EAA-A4E5-3A897E0A7523}" name="Hb-64 Tage vor Krankheitsbeginn [g/dl]"/>
    <tableColumn id="4" xr3:uid="{EFD0CDF1-F612-441C-8F82-8969A6FA2885}" name="Hb-56 Tage vor Krankheitsbeginn [g/dl]"/>
    <tableColumn id="5" xr3:uid="{527C3FA9-5F55-4B55-9D9E-980721CA87C6}" name="Hb-43 Tage vor Krankheitsbeginn"/>
    <tableColumn id="6" xr3:uid="{F2A1BC40-7341-47A7-A486-EDA89DD14C65}" name="Hb-38 Tage vor Krankheitsbeginn"/>
    <tableColumn id="7" xr3:uid="{83FF3EC1-9A5F-4EA6-9F91-D929B6DA7B73}" name="Hb-36 Tage vor Krankheitsbeginn [g/dl]"/>
    <tableColumn id="8" xr3:uid="{FE6BC0D9-E272-450E-A2EC-9F16DE3C7430}" name="Hb-26 Tage vor Krankheitsbeginn"/>
    <tableColumn id="9" xr3:uid="{1539DB19-DA98-42C8-9824-524368E57BBB}" name="Hb-22 Tage vor Krankheitsbeginn"/>
    <tableColumn id="10" xr3:uid="{B543B800-4153-4967-A0FF-30DC73E96341}" name="Hb-21 Tage vor Krankheitsbeginn [g/dl]"/>
    <tableColumn id="11" xr3:uid="{879A612C-A670-4C9A-942E-A7A12A9BA5A6}" name="Hb-20 Tage vor Krankheitsbeginn"/>
    <tableColumn id="12" xr3:uid="{CE9FFEBB-268D-402A-AC3B-FCB6EA393368}" name="Hb-14 Tage vor Krankheitsbeginn"/>
    <tableColumn id="13" xr3:uid="{4DDEDDB1-0B0F-4673-959A-506307EBCDEE}" name="Hb-12 Tage vor Krankheitsbeginn"/>
    <tableColumn id="14" xr3:uid="{45F224CD-B294-42D5-8548-D56C2A5AB895}" name="Hb-11 Tage vor Krankheitsbeginn"/>
    <tableColumn id="15" xr3:uid="{067D4B4B-6C7A-463F-9461-2C660631438E}" name="Hb-8 Tage vor Krankheitsbeginn"/>
    <tableColumn id="16" xr3:uid="{4B87601A-ABCB-436B-A615-6F9A639E08F1}" name="Hb-7 Tage vor Krankheitsbeginn [g/dl]"/>
    <tableColumn id="17" xr3:uid="{36990EB0-50B3-47B2-A978-E3468EB6226A}" name="Hb-6 Tage vor Krankheitsbeginn"/>
    <tableColumn id="18" xr3:uid="{7A225EE3-84A5-4BDC-B1EB-732BBB3642C8}" name="Hb-5 Tage vor Krankheitsbeginn"/>
    <tableColumn id="19" xr3:uid="{1B3F4465-5070-4225-B76A-A94EFCF3E3E4}" name="Hb-3 Tage vor Krankheitsbeginn"/>
    <tableColumn id="20" xr3:uid="{65B492DB-0657-45B2-ADF4-35CF0EA30002}" name="Hb-2 Tage vor Krankheitsbeginn"/>
    <tableColumn id="21" xr3:uid="{1D45BA87-6BF6-4CDF-B530-CEDCD67C0EBE}" name="Hb-1 Tag vor Krankheitsbeginn [g/dl]"/>
    <tableColumn id="22" xr3:uid="{3C27E523-3905-42C1-B9E4-1F27FF0335FF}" name="Hb-Datum unbekannt [g/dl]"/>
    <tableColumn id="23" xr3:uid="{0D8B9A22-33AB-4742-AE77-1FB3B2469158}" name="Hb (Hämoglobin)-d1 [g/dl]"/>
    <tableColumn id="24" xr3:uid="{31DB5BC6-F936-495D-8CC2-3BCB882E08C6}" name="Hb-d2 "/>
    <tableColumn id="25" xr3:uid="{B53994D6-BA58-4518-9431-84E57381BC38}" name="Hb-d3"/>
    <tableColumn id="26" xr3:uid="{F1F28898-B712-4692-AD16-847451F1ED42}" name="Hb-d4"/>
    <tableColumn id="27" xr3:uid="{B3D08930-B4BE-42D3-9F8A-0B2433DC7F0E}" name="Hb- [g/dl] d5"/>
    <tableColumn id="28" xr3:uid="{0B404356-D985-4380-B136-5CDC46FC13A7}" name="Hb-d6"/>
    <tableColumn id="29" xr3:uid="{36A1A398-1C2B-4F30-8054-689687D6A7E7}" name="Hb-d7"/>
    <tableColumn id="30" xr3:uid="{9EEA301F-3D86-41AF-A9F9-D039073AE524}" name="Hb-d1w1"/>
    <tableColumn id="31" xr3:uid="{D43C1C25-A4F4-4C92-8402-01D1619AB662}" name="Hb- [g/dl] d2w1"/>
    <tableColumn id="32" xr3:uid="{E731C685-E28A-40E6-942A-558DE1E3BD81}" name="Hb-d3w1"/>
    <tableColumn id="33" xr3:uid="{0D075071-E910-4078-82D9-BC73DB6E6495}" name="Hb-d4w1"/>
    <tableColumn id="34" xr3:uid="{F92C263C-A27D-49EA-852F-F122432F28CA}" name="Hb-d5w1"/>
    <tableColumn id="35" xr3:uid="{3B8833FA-A12B-4798-BF0B-1201199401B0}" name="Hb- [g/dl] d6w1"/>
    <tableColumn id="36" xr3:uid="{451F9AF0-2109-4AAB-B3AE-CF4F3942C33D}" name="Hb-d7w1"/>
    <tableColumn id="37" xr3:uid="{376F3C4D-7F3E-4DD9-B59B-9F4B0223221D}" name="Hb-d1w2"/>
    <tableColumn id="38" xr3:uid="{F24129E3-9897-4589-A8CD-7859AA70E131}" name="Hb-d2w2"/>
    <tableColumn id="39" xr3:uid="{BED19886-0BC0-4303-9658-FD402E442CFB}" name="Hb- [g/dl] d3w2"/>
    <tableColumn id="40" xr3:uid="{D0F3A5CD-9D73-4D9F-814B-031896DA2C9C}" name="Hb-d4w2"/>
    <tableColumn id="41" xr3:uid="{CD7B055D-E249-4CFE-8A66-E337A14B3BD5}" name="Hb-d7w2"/>
    <tableColumn id="42" xr3:uid="{4290EDF3-EC85-4BAD-99A6-1A0C07B6F08C}" name="Hb-d1w3"/>
    <tableColumn id="43" xr3:uid="{E77FA88D-9213-4A4D-B76A-E09591997EF0}" name="Hb-d2w3"/>
    <tableColumn id="44" xr3:uid="{BBAC1A60-A1C0-4B5B-B21C-8B353D8191A6}" name="Hb- [g/dl] d6w3"/>
    <tableColumn id="45" xr3:uid="{9AC3A267-8336-4EE4-9BDC-87749C1D08DA}" name="Hb-d1w0m1"/>
    <tableColumn id="46" xr3:uid="{160AE1DA-EB37-457D-9CEB-122A13084D4C}" name="Hb- [g/dl] d4w3m1"/>
    <tableColumn id="47" xr3:uid="{CEC2994B-1AC2-4BFC-B0FD-D472DDEDAFF6}" name="Hb- [g/dl] d6w3m1"/>
    <tableColumn id="48" xr3:uid="{6FAE6EFA-E5CE-46AF-823E-4905180DBFF5}" name="Hb-d6w0m2"/>
    <tableColumn id="49" xr3:uid="{A89BF33A-9527-4C54-8DC3-7CED8EC48A9B}" name="Hb-d7w0m2"/>
    <tableColumn id="50" xr3:uid="{5DBE2447-105D-460E-8956-41EC4D814C95}" name="Hb-d3w1m2"/>
    <tableColumn id="51" xr3:uid="{F55920FD-B977-4982-89CB-2A54C3B83580}" name="Hb-d7w1m2"/>
    <tableColumn id="52" xr3:uid="{3E5B2EC3-1D9B-499F-80C6-7AAF8A26AB54}" name="Hb- [g/dl] d4w0m4"/>
    <tableColumn id="53" xr3:uid="{ADFD1AD9-6B7B-49B0-B127-CF0A201D78BF}" name="Hb-d1w3m5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9B3CF5A-25EB-411B-8924-AA0DB670D2FA}" name="Tabelle24_2" displayName="Tabelle24_2" ref="A1:D76" tableType="queryTable" totalsRowShown="0">
  <autoFilter ref="A1:D76" xr:uid="{09B3CF5A-25EB-411B-8924-AA0DB670D2FA}"/>
  <tableColumns count="4">
    <tableColumn id="5" xr3:uid="{83FBE6DC-89A0-4E9D-9FBB-5CB194A97A86}" uniqueName="5" name="BfArM Nummer" queryTableFieldId="1"/>
    <tableColumn id="2" xr3:uid="{5CAF6C12-682B-4494-B174-A32BE2CF62B1}" uniqueName="2" name="Hb" queryTableFieldId="2" dataDxfId="50"/>
    <tableColumn id="3" xr3:uid="{F8F4601D-91A0-4284-8E48-A5FDE78D3447}" uniqueName="3" name="Day of Observations" queryTableFieldId="3"/>
    <tableColumn id="4" xr3:uid="{5B8D9E37-2B3A-485B-8788-61C99AB9008D}" uniqueName="4" name="Total Number of Observations" queryTableFieldId="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32E33A2-AE64-4887-9E20-1C350638B43D}" name="Tabelle26" displayName="Tabelle26" ref="A1:CL239" totalsRowShown="0" headerRowDxfId="49" headerRowBorderDxfId="48" tableBorderDxfId="47">
  <autoFilter ref="A1:CL239" xr:uid="{932E33A2-AE64-4887-9E20-1C350638B43D}"/>
  <tableColumns count="90">
    <tableColumn id="1" xr3:uid="{E7E67B02-18F2-445B-A043-0FC82ABE1537}" name="BfArM Nummer" dataDxfId="46"/>
    <tableColumn id="2" xr3:uid="{7AB76D22-F617-4AE6-9C61-3229BA400C21}" name="Bilirubin-Datum unbekannt (mg/dl)"/>
    <tableColumn id="3" xr3:uid="{8A691DCB-6CFA-4BBA-8C52-D8013D6EA8B2}" name="Bilirubin-7 Tage vor Krankheitsbeginn "/>
    <tableColumn id="4" xr3:uid="{EC69056F-FEFD-4F96-9D3B-ABA15163A000}" name="Bilirubin-2 Tage vor Krankheitsbeginn "/>
    <tableColumn id="5" xr3:uid="{B6F822AA-E556-4330-95E8-641ED546631C}" name="Blut-Bilirubin (Gessamtbilirubin)-d1 (mg/dl)"/>
    <tableColumn id="6" xr3:uid="{2F56D5AB-870B-44AB-8AAC-868FB21D1603}" name="Bilirubin-d2 "/>
    <tableColumn id="7" xr3:uid="{82CE26AD-3193-4633-822F-997E660C4E8D}" name="Bilirubin-d3"/>
    <tableColumn id="8" xr3:uid="{D3C9F83C-D614-4B92-9C84-327282E8D348}" name="Bilirubin-d4"/>
    <tableColumn id="9" xr3:uid="{CE5D9E52-8106-4EC9-9E87-3AB5C463F046}" name="Bilirubin- (mg/dl) d5"/>
    <tableColumn id="10" xr3:uid="{F5CB123F-2952-4B93-809A-F0665A117927}" name="Bilirubin-d6"/>
    <tableColumn id="11" xr3:uid="{DADCB0F2-B5AB-4046-814C-10DEC9303F0D}" name="Bilirubin-d7"/>
    <tableColumn id="12" xr3:uid="{41452DB9-FEBD-40B5-88DE-8C35686A576A}" name="Bilirubin-d1w1"/>
    <tableColumn id="13" xr3:uid="{6538C406-10FF-4614-A955-1E97C1453DDD}" name="Bilirubin- (mg/dl) d2w1"/>
    <tableColumn id="14" xr3:uid="{D32200A5-5BA0-41E1-ADF0-FB87CB0EAF6C}" name="Bilirubin-d3w1"/>
    <tableColumn id="15" xr3:uid="{F06EE1E6-A43D-4886-AA81-D01D5E007660}" name="Bilirubin-d5w1"/>
    <tableColumn id="16" xr3:uid="{E5F81E10-36E1-4C4F-88CF-19CA7D3E42D9}" name="Bilirubin-d6w1"/>
    <tableColumn id="17" xr3:uid="{B63875A4-D590-48F5-9B9E-FC051471DF1C}" name="Bilirubin- (mg/dl) d7w1"/>
    <tableColumn id="18" xr3:uid="{14B9BC44-7B27-4B71-B180-ECFFA82163BE}" name="Bilirubin-d3w2"/>
    <tableColumn id="19" xr3:uid="{ED6F42B6-1D61-4EF5-9F1B-DCDFD694F42A}" name="Bilirubin-d4w2"/>
    <tableColumn id="20" xr3:uid="{4B00783F-7F72-45BA-854D-C4BE29804627}" name="Bilirubin-d1w3"/>
    <tableColumn id="21" xr3:uid="{17F84F6F-ED22-4D95-AEF1-8EC5E1515D1C}" name="Bilirubin- (mg/dl) d6w0m1"/>
    <tableColumn id="22" xr3:uid="{0BD59421-A0C4-4F2D-A9EC-C05C37517715}" name="Bilirubin-107 Tage vor Krankheitsbeginn (mg/dl)"/>
    <tableColumn id="23" xr3:uid="{69F39CF7-DBAC-4500-A8B0-5FD6BE474BA0}" name="Bilirubin-64 Tage vor Krankheitsbeginn (mg/dl)"/>
    <tableColumn id="24" xr3:uid="{91A9B68A-8F9D-4D22-81C6-9CA3CB8AF503}" name="Bilirubin-22 Tage vor Krankheitsbeginn (mg/dl)"/>
    <tableColumn id="25" xr3:uid="{CE676D30-5CAE-456A-A326-C61E3A31ED05}" name="Bilirubin-12 Tage vor Krankheitsbeginn "/>
    <tableColumn id="26" xr3:uid="{C992E2C6-F63B-4532-ABE3-4C0AE6B64C48}" name="Bilirubin-11 Tage vor Krankheitsbeginn "/>
    <tableColumn id="27" xr3:uid="{0CFADB7E-997B-4E56-B3F6-300F652C385F}" name="Bilirubin-8 Tage vor Krankheitsbeginn "/>
    <tableColumn id="28" xr3:uid="{BEFC6094-0D44-4AEC-84D8-61269F69D14F}" name="Bilirubin-7 Tage vor Krankheitsbeginn 2"/>
    <tableColumn id="29" xr3:uid="{6B598563-3A7B-466D-B661-F9F0CBD6D838}" name="Bilirubin-6 Tage vor Krankheitsbeginn "/>
    <tableColumn id="30" xr3:uid="{370D1256-A21F-4A1B-B6E9-8AD6723AB0D6}" name="Bilirubin-5 Tage vor Krankheitsbeginn "/>
    <tableColumn id="31" xr3:uid="{5BA89738-0CB6-439C-B780-1798C5701B58}" name="Bilirubin-4 Tage vor Krankheitsbeginn "/>
    <tableColumn id="32" xr3:uid="{EAF1C09A-41C2-475B-B022-948A81EA07A3}" name="Bilirubin-3 Tage vor Krankheitsbeginn (mg/dl)"/>
    <tableColumn id="33" xr3:uid="{951C6D11-C9C7-4FC4-A233-1317DCC56328}" name="Bilirubin-2 Tage vor Krankheitsbeginn 3"/>
    <tableColumn id="34" xr3:uid="{A3832E4C-6434-4A82-B36C-90D7F7593F5F}" name="Bilirubin-1 Tage vor Krankheitsbeginn "/>
    <tableColumn id="35" xr3:uid="{0A9A917D-A5DB-45E6-ADD5-D48B30480E35}" name="Bilirubin-Datum unbekannt (mg/dl)4"/>
    <tableColumn id="36" xr3:uid="{C581FD22-DB43-4B9F-801F-9C637B7920B0}" name="Totales-Bilirubin-d1 (mg/dl)"/>
    <tableColumn id="37" xr3:uid="{F50DE457-C439-47CE-8A0E-C354604580D5}" name="Blut-Bilirubin-d2 "/>
    <tableColumn id="38" xr3:uid="{D577FE63-2503-4E04-8F4F-6A7D2AAFBCB4}" name="Bilirubin-d35"/>
    <tableColumn id="39" xr3:uid="{88C7DA49-6530-4A60-9B72-846AF7452894}" name="Bilirubin- (mg/dl) d4"/>
    <tableColumn id="40" xr3:uid="{A5F21227-CEB7-4E3B-94B1-F6E7BCF99204}" name="Bilirubin-d5"/>
    <tableColumn id="41" xr3:uid="{12187E3B-ECCD-4950-87FC-8F48231709B6}" name="Bilirubin-d66"/>
    <tableColumn id="42" xr3:uid="{191DC6D9-2857-4B9C-9279-A415E8DFA436}" name="Bilirubin-d77"/>
    <tableColumn id="43" xr3:uid="{A839B5EC-9DAE-4BBC-B369-5C4093EE5EDA}" name="Bilirubin- (mg/dl) d1w1"/>
    <tableColumn id="44" xr3:uid="{8C805D78-B0ED-4452-AA4A-BF1BF54C199B}" name="Bilirubin-d2w1"/>
    <tableColumn id="45" xr3:uid="{E0C917F3-6D3E-45A9-999B-7E66744A5909}" name="Bilirubin-d3w18"/>
    <tableColumn id="46" xr3:uid="{8D8CA2FF-9FB0-4603-92AB-45C2B71397D3}" name="Bilirubin-d4w1"/>
    <tableColumn id="47" xr3:uid="{F6C7E64E-F44D-4379-B6D3-A85A0978D5CD}" name="Bilirubin- (mg/dl) d5w1"/>
    <tableColumn id="48" xr3:uid="{550E59C3-EF8A-4CF9-B967-BDD38BDC24E9}" name="Bilirubin-d6w19"/>
    <tableColumn id="49" xr3:uid="{778147A6-8784-4390-AABB-CC4F77686CFA}" name="Bilirubin-d7w1"/>
    <tableColumn id="50" xr3:uid="{9020A9AC-0103-4F53-8254-9F04E8228A66}" name="Bilirubin-d1w2"/>
    <tableColumn id="51" xr3:uid="{54434EE2-0F3E-4259-B719-0A02D97350B2}" name="Bilirubin- (mg/dl) d2w2"/>
    <tableColumn id="52" xr3:uid="{DCF9F15C-B5DA-4DCF-A5DD-EB48F184A984}" name="Bilirubin-d3w210"/>
    <tableColumn id="53" xr3:uid="{9ED086D6-769B-492B-98E0-D7202845EA76}" name="Bilirubin-d4w211"/>
    <tableColumn id="54" xr3:uid="{CFDA858D-FD3C-4707-B19A-1A9B03E9CB94}" name="Bilirubin-d5w2"/>
    <tableColumn id="55" xr3:uid="{57F3B4F1-3255-4D79-9974-3C446ADE78BF}" name="Bilirubin-d6w2"/>
    <tableColumn id="56" xr3:uid="{20806886-B5DF-493E-8D7C-E5248F6B7A33}" name="Bilirubin- (mg/dl) d7w2"/>
    <tableColumn id="57" xr3:uid="{61973E2F-611E-4977-A25A-DA84209E0D88}" name="Bilirubin-d1w312"/>
    <tableColumn id="58" xr3:uid="{B2765ECC-4EB5-45C8-B68A-7120C79CB13D}" name="Bilirubin-d2w3"/>
    <tableColumn id="59" xr3:uid="{C461D702-6E4F-474D-97F1-65616DB877AF}" name="Bilirubin-d3w3"/>
    <tableColumn id="60" xr3:uid="{CBFCFEFA-6EC3-4AD3-A6ED-D1A27E282C8C}" name="Bilirubin-d5w3"/>
    <tableColumn id="61" xr3:uid="{5D3D6747-9E21-4D89-B398-5407A43F2C13}" name="Bilirubin- (mg/dl) d7w3"/>
    <tableColumn id="62" xr3:uid="{AE0B47C2-8230-4FD0-B6FF-8A21FF568D3B}" name="Bilirubin-d1w0m1"/>
    <tableColumn id="63" xr3:uid="{E8000AF2-72E3-4941-A66A-46C029791FDB}" name="Bilirubin-d2w0m1"/>
    <tableColumn id="64" xr3:uid="{DB875D86-390E-40BE-BF74-67DE9D33D733}" name="Bilirubin- (mg/dl) d3w0m1"/>
    <tableColumn id="65" xr3:uid="{5BE2AFF0-14A1-481E-A86E-5E2CB0DEB6A8}" name="Bilirubin-d4w0m1"/>
    <tableColumn id="66" xr3:uid="{F8CC373D-9BD2-48C9-904D-5F4B04322A46}" name="Bilirubin-d5w0m1"/>
    <tableColumn id="67" xr3:uid="{B20CC179-51B8-43BC-B66A-0A62C5698CFF}" name="Bilirubin-d6w0m1"/>
    <tableColumn id="68" xr3:uid="{EED17231-E77D-4844-99B9-DB72EE1E9CDF}" name="Bilirubin-d7w0m1"/>
    <tableColumn id="69" xr3:uid="{66769B8B-63B5-4D4E-88DD-4F0313C84F65}" name="Bilirubin-d7w1m1"/>
    <tableColumn id="70" xr3:uid="{2D505BFD-323B-46E1-9E8A-8A6610A74CE7}" name="Bilirubin-d2w2m1"/>
    <tableColumn id="71" xr3:uid="{F8E316F2-BC7A-4C0B-B36A-ABAEDFF04DDA}" name="Bilirubin-d3w2m1"/>
    <tableColumn id="72" xr3:uid="{2F7AD8AE-8621-4C29-8AF6-B7830246B455}" name="Bilirubin-d4w2m1"/>
    <tableColumn id="73" xr3:uid="{7556E145-B706-45E2-B8C9-A3AC1A17F5DA}" name="Bilirubin-d5w2m1"/>
    <tableColumn id="74" xr3:uid="{B7AC7872-5603-4851-9BB7-2DD896288647}" name="Bilirubin-d7w2m1"/>
    <tableColumn id="75" xr3:uid="{77E74274-9340-4311-B389-1584F25A4B85}" name="Bilirubin-d2w3m1"/>
    <tableColumn id="76" xr3:uid="{37F8A4EF-9A8C-474D-AB37-8B598B4BEC37}" name="Bilirubin-d3w3m1"/>
    <tableColumn id="77" xr3:uid="{822E48C2-57A4-4419-8E65-2C43B9111C84}" name="Bilirubin-d4w3m1"/>
    <tableColumn id="78" xr3:uid="{8FB5BCAB-82B3-4ED4-B050-8B65EA841819}" name="Bilirubin-d5w3m1"/>
    <tableColumn id="79" xr3:uid="{6608D029-F1FF-46E1-A2BC-EA22A2196C55}" name="Bilirubin-d7w3m1"/>
    <tableColumn id="80" xr3:uid="{B053C213-D1E6-4AFB-837F-784B29A59B23}" name="Bilirubin-d6w0m2"/>
    <tableColumn id="81" xr3:uid="{A9F9AB66-3E34-4963-A56E-AF61F05F1DAA}" name="Bilirubin-d7w0m2"/>
    <tableColumn id="82" xr3:uid="{C32E2271-83FE-424E-B98E-1159D1E7E6CA}" name="Bilirubin-d4w2m2"/>
    <tableColumn id="83" xr3:uid="{843A2021-FD85-446F-8ADD-9A03B6BF3299}" name="Bilirubin-d5w2m2"/>
    <tableColumn id="84" xr3:uid="{A1180FE4-1294-4EC1-A591-3FCDF3D052C4}" name="Bilirubin- (mg/dl) d3w3m2"/>
    <tableColumn id="85" xr3:uid="{74AE916A-E7DB-4C4A-9A74-C00F7994381B}" name="Bilirubin-d2w0m3"/>
    <tableColumn id="86" xr3:uid="{0DA2C563-EFD4-4697-A41D-DE96D9674BD9}" name="Bilirubin-d6w0m3"/>
    <tableColumn id="87" xr3:uid="{743E393F-210F-4013-9477-146D8043C59C}" name="Bilirubin-d6w1m3"/>
    <tableColumn id="88" xr3:uid="{6E8AADF6-390D-4E01-B294-BE36B44B0EFC}" name="Bilirubin-d7w1m5"/>
    <tableColumn id="89" xr3:uid="{C93FF83F-F98C-47BC-813E-0ADE0D9B2BD0}" name="Bilirubin-64 Tage vor Krankheitsbeginn"/>
    <tableColumn id="90" xr3:uid="{54684214-1541-43F1-AD08-DD5241A92D7E}" name="Direktes Bilirubin-Datum unbekannt (mg/dl) 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3CD77E8-7E18-49C8-8EA7-144744A55910}" name="Bilirubin" displayName="Bilirubin" ref="A1:D101" tableType="queryTable" totalsRowShown="0">
  <autoFilter ref="A1:D101" xr:uid="{D3CD77E8-7E18-49C8-8EA7-144744A55910}"/>
  <tableColumns count="4">
    <tableColumn id="5" xr3:uid="{7B34FAAD-2514-45EA-BE2B-283B43991D68}" uniqueName="5" name="BfArM Nummer" queryTableFieldId="1"/>
    <tableColumn id="2" xr3:uid="{77A8D9B8-EE7E-429B-8822-8207EC372E3C}" uniqueName="2" name="Bilirubin" queryTableFieldId="2" dataDxfId="45"/>
    <tableColumn id="3" xr3:uid="{60045AF0-6DF5-4E84-876A-B869F939F105}" uniqueName="3" name="Day of Observations" queryTableFieldId="3"/>
    <tableColumn id="4" xr3:uid="{2D730A4D-E302-458C-BA6C-44A90EB26357}" uniqueName="4" name="Total Number of Observation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L240"/>
  <sheetViews>
    <sheetView tabSelected="1" zoomScale="85" zoomScaleNormal="85" zoomScaleSheetLayoutView="90" workbookViewId="0">
      <pane xSplit="1" ySplit="2" topLeftCell="B38" activePane="bottomRight" state="frozen"/>
      <selection pane="topRight" activeCell="B1" sqref="B1"/>
      <selection pane="bottomLeft" activeCell="A2" sqref="A2"/>
      <selection pane="bottomRight" activeCell="X18" sqref="X18"/>
    </sheetView>
  </sheetViews>
  <sheetFormatPr baseColWidth="10" defaultRowHeight="15" x14ac:dyDescent="0.25"/>
  <sheetData>
    <row r="1" spans="1:4328" x14ac:dyDescent="0.25">
      <c r="JE1" s="43" t="s">
        <v>521</v>
      </c>
      <c r="TQ1" s="16" t="s">
        <v>106</v>
      </c>
      <c r="UD1" s="16" t="s">
        <v>109</v>
      </c>
      <c r="UP1" s="16" t="s">
        <v>83</v>
      </c>
      <c r="VB1" s="16" t="s">
        <v>1214</v>
      </c>
      <c r="VM1" s="16" t="s">
        <v>170</v>
      </c>
      <c r="VX1" s="16" t="s">
        <v>603</v>
      </c>
      <c r="WH1" s="16" t="s">
        <v>442</v>
      </c>
      <c r="WS1" s="16" t="s">
        <v>817</v>
      </c>
      <c r="XC1" s="16" t="s">
        <v>1652</v>
      </c>
      <c r="XM1" s="16" t="s">
        <v>1640</v>
      </c>
      <c r="XW1" s="30" t="s">
        <v>242</v>
      </c>
      <c r="YH1" s="16" t="s">
        <v>812</v>
      </c>
      <c r="YS1" s="16" t="s">
        <v>842</v>
      </c>
      <c r="ZC1" s="16" t="s">
        <v>824</v>
      </c>
      <c r="ZN1" s="16" t="s">
        <v>861</v>
      </c>
      <c r="ZY1" s="16" t="s">
        <v>378</v>
      </c>
      <c r="AAJ1" s="16" t="s">
        <v>475</v>
      </c>
      <c r="AAT1" s="16" t="s">
        <v>1816</v>
      </c>
      <c r="ABD1" s="16" t="s">
        <v>283</v>
      </c>
      <c r="ABN1" s="16" t="s">
        <v>284</v>
      </c>
      <c r="ABX1" s="16" t="s">
        <v>445</v>
      </c>
      <c r="ACH1" s="16" t="s">
        <v>231</v>
      </c>
      <c r="ACS1" s="16" t="s">
        <v>819</v>
      </c>
      <c r="ADC1" s="16" t="s">
        <v>337</v>
      </c>
      <c r="ADM1" s="16" t="s">
        <v>385</v>
      </c>
      <c r="ADX1" s="16" t="s">
        <v>441</v>
      </c>
      <c r="AEH1" s="16" t="s">
        <v>1272</v>
      </c>
      <c r="AER1" s="16" t="s">
        <v>386</v>
      </c>
      <c r="AFB1" s="16" t="s">
        <v>859</v>
      </c>
      <c r="AFL1" t="s">
        <v>869</v>
      </c>
      <c r="AFV1" t="s">
        <v>1470</v>
      </c>
      <c r="AGF1" s="16" t="s">
        <v>182</v>
      </c>
      <c r="AGQ1" s="16" t="s">
        <v>287</v>
      </c>
      <c r="AHA1" s="16" t="s">
        <v>200</v>
      </c>
      <c r="AHK1" s="16" t="s">
        <v>115</v>
      </c>
      <c r="AHU1" s="16" t="s">
        <v>820</v>
      </c>
      <c r="AIE1" s="16" t="s">
        <v>1625</v>
      </c>
      <c r="AIO1" s="16" t="s">
        <v>1810</v>
      </c>
      <c r="AIY1" s="16" t="s">
        <v>474</v>
      </c>
      <c r="AJI1" s="16" t="s">
        <v>1459</v>
      </c>
      <c r="AJT1" s="16" t="s">
        <v>1458</v>
      </c>
      <c r="AKD1" s="16" t="s">
        <v>818</v>
      </c>
      <c r="AKN1" s="16" t="s">
        <v>826</v>
      </c>
      <c r="AKX1" s="16" t="s">
        <v>1651</v>
      </c>
      <c r="ALH1" s="16" t="s">
        <v>234</v>
      </c>
      <c r="ALR1" s="16" t="s">
        <v>296</v>
      </c>
      <c r="AMB1" s="16" t="s">
        <v>642</v>
      </c>
      <c r="AML1" s="16" t="s">
        <v>839</v>
      </c>
      <c r="AMV1" s="16" t="s">
        <v>388</v>
      </c>
      <c r="ANF1" s="16" t="s">
        <v>1233</v>
      </c>
      <c r="ANP1" s="16" t="s">
        <v>391</v>
      </c>
      <c r="ANZ1" s="16" t="s">
        <v>440</v>
      </c>
      <c r="AOK1" s="16" t="s">
        <v>446</v>
      </c>
      <c r="AOV1" s="16" t="s">
        <v>447</v>
      </c>
      <c r="APF1" s="16" t="s">
        <v>1271</v>
      </c>
      <c r="APP1" s="16" t="s">
        <v>862</v>
      </c>
      <c r="APZ1" s="16" t="s">
        <v>1819</v>
      </c>
      <c r="AQJ1" s="16" t="s">
        <v>493</v>
      </c>
      <c r="AQT1" s="16" t="s">
        <v>494</v>
      </c>
      <c r="ARD1" s="16" t="s">
        <v>689</v>
      </c>
      <c r="ARN1" s="16" t="s">
        <v>701</v>
      </c>
      <c r="ARY1" s="16" t="s">
        <v>700</v>
      </c>
      <c r="ASJ1" s="16" t="s">
        <v>702</v>
      </c>
      <c r="ASU1" s="16" t="s">
        <v>1821</v>
      </c>
      <c r="ATE1" s="16" t="s">
        <v>658</v>
      </c>
      <c r="ATO1" s="16" t="s">
        <v>1637</v>
      </c>
      <c r="ATY1" s="16" t="s">
        <v>236</v>
      </c>
      <c r="AUI1" s="16" t="s">
        <v>245</v>
      </c>
      <c r="AUT1" t="s">
        <v>838</v>
      </c>
      <c r="AVD1" s="16" t="s">
        <v>1455</v>
      </c>
      <c r="AVO1" s="16" t="s">
        <v>1648</v>
      </c>
      <c r="AVY1" s="16" t="s">
        <v>332</v>
      </c>
      <c r="AWI1" s="16" t="s">
        <v>330</v>
      </c>
      <c r="AWS1" s="16" t="s">
        <v>379</v>
      </c>
      <c r="AXC1" s="16" t="s">
        <v>1461</v>
      </c>
      <c r="AXM1" s="16" t="s">
        <v>1471</v>
      </c>
      <c r="AXX1" s="16" t="s">
        <v>1260</v>
      </c>
      <c r="AYI1" s="16" t="s">
        <v>237</v>
      </c>
      <c r="AYT1" s="16" t="s">
        <v>1631</v>
      </c>
      <c r="AZD1" s="16" t="s">
        <v>247</v>
      </c>
      <c r="AZN1" s="16" t="s">
        <v>499</v>
      </c>
      <c r="AZX1" s="16" t="s">
        <v>1462</v>
      </c>
      <c r="BAH1" s="16" t="s">
        <v>229</v>
      </c>
      <c r="BAR1" s="16" t="s">
        <v>1238</v>
      </c>
      <c r="BBB1" s="16" t="s">
        <v>238</v>
      </c>
      <c r="BBL1" s="16" t="s">
        <v>848</v>
      </c>
      <c r="BBV1" s="16" t="s">
        <v>1641</v>
      </c>
      <c r="BCF1" s="16" t="s">
        <v>865</v>
      </c>
      <c r="BCP1" s="16" t="s">
        <v>821</v>
      </c>
      <c r="BCZ1" s="16" t="s">
        <v>832</v>
      </c>
      <c r="BDJ1" s="16" t="s">
        <v>1636</v>
      </c>
      <c r="BDT1" s="16" t="s">
        <v>1814</v>
      </c>
      <c r="BED1" s="16" t="s">
        <v>822</v>
      </c>
      <c r="BEN1" s="16" t="s">
        <v>239</v>
      </c>
      <c r="BEY1" s="16" t="s">
        <v>1268</v>
      </c>
      <c r="BFI1" s="16" t="s">
        <v>1622</v>
      </c>
      <c r="BFS1" s="16" t="s">
        <v>1635</v>
      </c>
      <c r="BGC1" s="16" t="s">
        <v>1465</v>
      </c>
      <c r="BGM1" s="16" t="s">
        <v>1263</v>
      </c>
      <c r="BGW1" s="16" t="s">
        <v>468</v>
      </c>
      <c r="BHG1" s="16" t="s">
        <v>253</v>
      </c>
      <c r="BHQ1" s="16" t="s">
        <v>627</v>
      </c>
      <c r="BIA1" s="16" t="s">
        <v>444</v>
      </c>
      <c r="BIK1" s="16" t="s">
        <v>1264</v>
      </c>
      <c r="BIU1" t="s">
        <v>844</v>
      </c>
      <c r="BJE1" s="16" t="s">
        <v>472</v>
      </c>
      <c r="BJO1" s="16" t="s">
        <v>1649</v>
      </c>
      <c r="BJY1" s="16" t="s">
        <v>252</v>
      </c>
      <c r="BKJ1" s="16" t="s">
        <v>364</v>
      </c>
      <c r="BKT1" s="16" t="s">
        <v>376</v>
      </c>
      <c r="BLD1" s="16" t="s">
        <v>377</v>
      </c>
      <c r="BLN1" s="16" t="s">
        <v>1813</v>
      </c>
      <c r="BLY1" s="16" t="s">
        <v>359</v>
      </c>
      <c r="BMI1" s="16" t="s">
        <v>427</v>
      </c>
      <c r="BMS1" s="16" t="s">
        <v>431</v>
      </c>
      <c r="BND1" t="s">
        <v>858</v>
      </c>
      <c r="BNN1" s="16" t="s">
        <v>840</v>
      </c>
      <c r="BNX1" s="16" t="s">
        <v>437</v>
      </c>
      <c r="BOH1" s="16" t="s">
        <v>251</v>
      </c>
      <c r="BOR1" s="16" t="s">
        <v>323</v>
      </c>
      <c r="BPC1" t="s">
        <v>845</v>
      </c>
      <c r="BPM1" t="s">
        <v>846</v>
      </c>
      <c r="BPW1" s="16" t="s">
        <v>1262</v>
      </c>
      <c r="BQG1" s="16" t="s">
        <v>381</v>
      </c>
      <c r="BQQ1" s="16" t="s">
        <v>816</v>
      </c>
      <c r="BRB1" s="16" t="s">
        <v>382</v>
      </c>
      <c r="BRL1" s="16" t="s">
        <v>432</v>
      </c>
      <c r="BRV1" s="16" t="s">
        <v>843</v>
      </c>
      <c r="BSF1" s="16" t="s">
        <v>828</v>
      </c>
      <c r="BSQ1" s="16" t="s">
        <v>299</v>
      </c>
      <c r="BTB1" s="16" t="s">
        <v>1638</v>
      </c>
      <c r="BTM1" s="16" t="s">
        <v>1822</v>
      </c>
      <c r="BTX1" t="s">
        <v>814</v>
      </c>
      <c r="BUI1" s="16" t="s">
        <v>857</v>
      </c>
      <c r="BUU1" s="16" t="s">
        <v>852</v>
      </c>
      <c r="BVE1" t="s">
        <v>855</v>
      </c>
      <c r="BVO1" s="16" t="s">
        <v>854</v>
      </c>
      <c r="BWA1" s="16" t="s">
        <v>629</v>
      </c>
      <c r="BWK1" s="16" t="s">
        <v>1266</v>
      </c>
      <c r="BWU1" s="16" t="s">
        <v>841</v>
      </c>
      <c r="BXE1" s="16" t="s">
        <v>1267</v>
      </c>
      <c r="BXO1" s="16" t="s">
        <v>1269</v>
      </c>
      <c r="BXZ1" s="16" t="s">
        <v>1806</v>
      </c>
      <c r="BYJ1" s="16" t="s">
        <v>1808</v>
      </c>
      <c r="BYT1" s="16" t="s">
        <v>1809</v>
      </c>
      <c r="BZD1" s="30" t="s">
        <v>240</v>
      </c>
      <c r="BZO1" s="30" t="s">
        <v>241</v>
      </c>
      <c r="BZZ1" s="16" t="s">
        <v>258</v>
      </c>
      <c r="CAL1" s="16" t="s">
        <v>186</v>
      </c>
      <c r="CAX1" s="16" t="s">
        <v>233</v>
      </c>
      <c r="CBH1" t="s">
        <v>628</v>
      </c>
      <c r="CBR1" s="16" t="s">
        <v>1646</v>
      </c>
      <c r="CCB1" s="16" t="s">
        <v>248</v>
      </c>
      <c r="CCL1" s="16" t="s">
        <v>813</v>
      </c>
      <c r="CCV1" s="16" t="s">
        <v>255</v>
      </c>
      <c r="CDF1" s="16" t="s">
        <v>1463</v>
      </c>
      <c r="CDP1" s="16" t="s">
        <v>259</v>
      </c>
      <c r="CDZ1" s="16" t="s">
        <v>1257</v>
      </c>
      <c r="CEJ1" s="16" t="s">
        <v>301</v>
      </c>
      <c r="CET1" s="16" t="s">
        <v>1236</v>
      </c>
      <c r="CFD1" s="16" t="s">
        <v>1259</v>
      </c>
      <c r="CFN1" s="16" t="s">
        <v>1811</v>
      </c>
      <c r="CFX1" s="16" t="s">
        <v>274</v>
      </c>
      <c r="CGH1" s="16" t="s">
        <v>367</v>
      </c>
      <c r="CGR1" s="16" t="s">
        <v>275</v>
      </c>
      <c r="CHB1" s="16" t="s">
        <v>654</v>
      </c>
      <c r="CHM1" s="16" t="s">
        <v>279</v>
      </c>
      <c r="CHW1" s="16" t="s">
        <v>280</v>
      </c>
      <c r="CIG1" s="16" t="s">
        <v>275</v>
      </c>
      <c r="CIQ1" s="16" t="s">
        <v>369</v>
      </c>
      <c r="CJA1" s="16" t="s">
        <v>370</v>
      </c>
      <c r="CJK1" t="s">
        <v>830</v>
      </c>
      <c r="CJU1" s="16" t="s">
        <v>355</v>
      </c>
      <c r="CKE1" s="16" t="s">
        <v>1261</v>
      </c>
      <c r="CKP1" s="16" t="s">
        <v>498</v>
      </c>
      <c r="CLA1" s="16" t="s">
        <v>1273</v>
      </c>
      <c r="CLK1" s="16" t="s">
        <v>1823</v>
      </c>
      <c r="CLU1" s="16" t="s">
        <v>831</v>
      </c>
      <c r="CMF1" t="s">
        <v>833</v>
      </c>
      <c r="CMP1" s="16" t="s">
        <v>368</v>
      </c>
      <c r="CMZ1" s="16" t="s">
        <v>836</v>
      </c>
      <c r="CNJ1" s="16" t="s">
        <v>1258</v>
      </c>
      <c r="CNT1" s="16" t="s">
        <v>281</v>
      </c>
      <c r="COB1" s="16" t="s">
        <v>246</v>
      </c>
      <c r="COM1" s="16" t="s">
        <v>497</v>
      </c>
      <c r="COW1" s="16" t="s">
        <v>428</v>
      </c>
      <c r="CPG1" t="s">
        <v>860</v>
      </c>
      <c r="CPR1" s="16" t="s">
        <v>230</v>
      </c>
      <c r="CQB1" s="16" t="s">
        <v>389</v>
      </c>
      <c r="CQL1" s="16" t="s">
        <v>390</v>
      </c>
      <c r="CQV1" s="16" t="s">
        <v>470</v>
      </c>
      <c r="CRF1" t="s">
        <v>1466</v>
      </c>
      <c r="CRP1" s="16" t="s">
        <v>1627</v>
      </c>
      <c r="CSA1" s="16" t="s">
        <v>243</v>
      </c>
      <c r="CSL1" t="s">
        <v>837</v>
      </c>
      <c r="CSV1" s="16" t="s">
        <v>1645</v>
      </c>
      <c r="CTF1" s="16" t="s">
        <v>1647</v>
      </c>
      <c r="CTP1" s="16" t="s">
        <v>1818</v>
      </c>
      <c r="CTZ1" s="16" t="s">
        <v>834</v>
      </c>
      <c r="CUJ1" s="16" t="s">
        <v>1450</v>
      </c>
      <c r="CUU1" s="16" t="s">
        <v>263</v>
      </c>
      <c r="CVE1" t="s">
        <v>1449</v>
      </c>
      <c r="CVO1" s="16" t="s">
        <v>262</v>
      </c>
      <c r="CVY1" s="16" t="s">
        <v>356</v>
      </c>
      <c r="CWI1" s="16" t="s">
        <v>465</v>
      </c>
      <c r="CWT1" s="16" t="s">
        <v>496</v>
      </c>
      <c r="CXD1" s="16" t="s">
        <v>302</v>
      </c>
      <c r="CXN1" s="16" t="s">
        <v>652</v>
      </c>
      <c r="CXX1" t="s">
        <v>674</v>
      </c>
      <c r="CYH1" s="16" t="s">
        <v>1812</v>
      </c>
      <c r="CYR1" t="s">
        <v>673</v>
      </c>
      <c r="CZB1" s="16" t="s">
        <v>1803</v>
      </c>
      <c r="CZL1" s="16" t="s">
        <v>1827</v>
      </c>
      <c r="CZW1" s="16" t="s">
        <v>1464</v>
      </c>
      <c r="DAG1" s="16" t="s">
        <v>473</v>
      </c>
      <c r="DAQ1" s="16" t="s">
        <v>1232</v>
      </c>
      <c r="DBA1" s="16" t="s">
        <v>334</v>
      </c>
      <c r="DBK1" s="16" t="s">
        <v>1237</v>
      </c>
      <c r="DBU1" s="16" t="s">
        <v>244</v>
      </c>
      <c r="DCF1" s="16" t="s">
        <v>276</v>
      </c>
      <c r="DCP1" s="16" t="s">
        <v>257</v>
      </c>
      <c r="DCZ1" s="16" t="s">
        <v>1468</v>
      </c>
      <c r="DDJ1" s="16" t="s">
        <v>1469</v>
      </c>
      <c r="DDT1" s="16" t="s">
        <v>1454</v>
      </c>
      <c r="DED1" s="16" t="s">
        <v>1824</v>
      </c>
      <c r="DEO1" s="16" t="s">
        <v>656</v>
      </c>
      <c r="DEY1" s="16" t="s">
        <v>657</v>
      </c>
      <c r="DFI1" t="s">
        <v>1274</v>
      </c>
      <c r="DFS1" s="16" t="s">
        <v>1276</v>
      </c>
      <c r="DGC1" s="16" t="s">
        <v>1467</v>
      </c>
      <c r="DGM1" s="16" t="s">
        <v>847</v>
      </c>
      <c r="DGW1" s="16" t="s">
        <v>1451</v>
      </c>
      <c r="DHG1" s="16" t="s">
        <v>1270</v>
      </c>
      <c r="DHQ1" s="16" t="s">
        <v>870</v>
      </c>
      <c r="DIB1" s="16" t="s">
        <v>1650</v>
      </c>
      <c r="DIL1" s="16" t="s">
        <v>868</v>
      </c>
      <c r="DIV1" s="16" t="s">
        <v>1211</v>
      </c>
      <c r="DJF1" s="16" t="s">
        <v>1212</v>
      </c>
      <c r="DJP1" s="16" t="s">
        <v>1275</v>
      </c>
      <c r="DJZ1" s="16" t="s">
        <v>1799</v>
      </c>
      <c r="DKJ1" s="16" t="s">
        <v>866</v>
      </c>
      <c r="DKT1" t="s">
        <v>1453</v>
      </c>
      <c r="DLD1" s="16" t="s">
        <v>1452</v>
      </c>
      <c r="DLN1" s="16" t="s">
        <v>277</v>
      </c>
      <c r="DLX1" s="16" t="s">
        <v>495</v>
      </c>
      <c r="DMH1" s="16" t="s">
        <v>863</v>
      </c>
      <c r="DMR1" t="s">
        <v>849</v>
      </c>
      <c r="DNB1" s="16" t="s">
        <v>235</v>
      </c>
      <c r="DNL1" s="16" t="s">
        <v>357</v>
      </c>
      <c r="DNV1" s="16" t="s">
        <v>362</v>
      </c>
      <c r="DOF1" s="16" t="s">
        <v>438</v>
      </c>
      <c r="DOP1" s="16" t="s">
        <v>1634</v>
      </c>
      <c r="DOZ1" s="16" t="s">
        <v>249</v>
      </c>
      <c r="DPJ1" s="16" t="s">
        <v>360</v>
      </c>
      <c r="DPR1" s="16" t="s">
        <v>366</v>
      </c>
      <c r="DQB1" t="s">
        <v>1234</v>
      </c>
      <c r="DQJ1" s="16" t="s">
        <v>1231</v>
      </c>
      <c r="DQT1" s="16" t="s">
        <v>659</v>
      </c>
      <c r="DRD1" s="16" t="s">
        <v>1213</v>
      </c>
      <c r="DRN1" s="16" t="s">
        <v>825</v>
      </c>
      <c r="DRX1" s="38" t="s">
        <v>343</v>
      </c>
      <c r="DSH1" s="16" t="s">
        <v>1820</v>
      </c>
      <c r="DSS1" s="16" t="s">
        <v>286</v>
      </c>
      <c r="DTC1" s="16" t="s">
        <v>1256</v>
      </c>
      <c r="DTM1" s="16" t="s">
        <v>451</v>
      </c>
      <c r="DTW1" s="16" t="s">
        <v>250</v>
      </c>
      <c r="DUG1" t="s">
        <v>1215</v>
      </c>
      <c r="DUQ1" s="16" t="s">
        <v>811</v>
      </c>
      <c r="DVA1" s="16" t="s">
        <v>1805</v>
      </c>
      <c r="DVK1" s="16" t="s">
        <v>1841</v>
      </c>
      <c r="DVV1" s="16" t="s">
        <v>856</v>
      </c>
      <c r="DWF1" s="16" t="s">
        <v>1798</v>
      </c>
      <c r="DWP1" s="16" t="s">
        <v>864</v>
      </c>
      <c r="DWZ1" s="16" t="s">
        <v>1639</v>
      </c>
      <c r="DXJ1" s="16" t="s">
        <v>1460</v>
      </c>
      <c r="DXT1" s="16" t="s">
        <v>469</v>
      </c>
      <c r="DYE1" s="16" t="s">
        <v>1624</v>
      </c>
      <c r="DYO1" s="16" t="s">
        <v>1621</v>
      </c>
      <c r="DYY1" s="16" t="s">
        <v>1864</v>
      </c>
      <c r="DZJ1" s="16" t="s">
        <v>321</v>
      </c>
      <c r="DZU1" s="16" t="s">
        <v>867</v>
      </c>
      <c r="EAF1" s="16" t="s">
        <v>815</v>
      </c>
      <c r="EAP1" s="16" t="s">
        <v>331</v>
      </c>
      <c r="EAZ1" s="16" t="s">
        <v>396</v>
      </c>
      <c r="EBJ1" s="16" t="s">
        <v>1216</v>
      </c>
      <c r="EBU1" t="s">
        <v>829</v>
      </c>
      <c r="ECE1" s="16" t="s">
        <v>443</v>
      </c>
      <c r="ECO1" t="s">
        <v>397</v>
      </c>
      <c r="ECY1" s="16" t="s">
        <v>319</v>
      </c>
      <c r="EDI1" t="s">
        <v>225</v>
      </c>
      <c r="EDS1" s="16" t="s">
        <v>395</v>
      </c>
      <c r="EEC1" s="16" t="s">
        <v>508</v>
      </c>
      <c r="EEM1" s="16" t="s">
        <v>509</v>
      </c>
      <c r="EEW1" s="16" t="s">
        <v>510</v>
      </c>
      <c r="EFG1" s="16" t="s">
        <v>1800</v>
      </c>
      <c r="EFQ1" s="16" t="s">
        <v>1801</v>
      </c>
      <c r="EGA1" s="16" t="s">
        <v>1802</v>
      </c>
      <c r="EGK1" s="16" t="s">
        <v>1817</v>
      </c>
      <c r="EGU1" s="16" t="s">
        <v>1626</v>
      </c>
      <c r="EHF1" s="16" t="s">
        <v>1807</v>
      </c>
      <c r="EHP1" s="16" t="s">
        <v>467</v>
      </c>
      <c r="EHZ1" t="s">
        <v>853</v>
      </c>
      <c r="EIJ1" s="16" t="s">
        <v>1254</v>
      </c>
      <c r="EIT1" s="16" t="s">
        <v>1826</v>
      </c>
      <c r="EJE1" s="16" t="s">
        <v>1633</v>
      </c>
      <c r="EJP1" s="16" t="s">
        <v>1255</v>
      </c>
      <c r="EJZ1" s="16" t="s">
        <v>464</v>
      </c>
      <c r="EKK1" s="16" t="s">
        <v>823</v>
      </c>
      <c r="EKV1" s="16" t="s">
        <v>278</v>
      </c>
      <c r="ELF1" s="16" t="s">
        <v>653</v>
      </c>
      <c r="ELQ1" s="16" t="s">
        <v>827</v>
      </c>
      <c r="EMB1" s="16" t="s">
        <v>1456</v>
      </c>
      <c r="EMM1" s="16" t="s">
        <v>626</v>
      </c>
      <c r="EMW1" s="16" t="s">
        <v>227</v>
      </c>
      <c r="ENG1" s="16" t="s">
        <v>335</v>
      </c>
      <c r="ENQ1" t="s">
        <v>690</v>
      </c>
      <c r="EOA1" s="16" t="s">
        <v>1628</v>
      </c>
      <c r="EOK1" s="16" t="s">
        <v>1642</v>
      </c>
      <c r="EOV1" s="38" t="s">
        <v>341</v>
      </c>
      <c r="EPF1" t="s">
        <v>1235</v>
      </c>
      <c r="EPP1" s="16" t="s">
        <v>232</v>
      </c>
      <c r="EQA1" s="16" t="s">
        <v>171</v>
      </c>
      <c r="EQL1" s="16" t="s">
        <v>254</v>
      </c>
      <c r="EQV1" s="16" t="s">
        <v>181</v>
      </c>
      <c r="ERF1" t="s">
        <v>1265</v>
      </c>
      <c r="ERG1" t="s">
        <v>317</v>
      </c>
      <c r="ERH1" t="s">
        <v>318</v>
      </c>
      <c r="ERI1" t="s">
        <v>351</v>
      </c>
      <c r="ERJ1" t="s">
        <v>333</v>
      </c>
      <c r="ERL1" s="37" t="s">
        <v>336</v>
      </c>
      <c r="ERM1" s="38" t="s">
        <v>490</v>
      </c>
      <c r="ERN1" s="38" t="s">
        <v>491</v>
      </c>
      <c r="ERO1" t="s">
        <v>328</v>
      </c>
      <c r="ERP1" t="s">
        <v>329</v>
      </c>
      <c r="ETT1" s="19" t="s">
        <v>400</v>
      </c>
      <c r="EYS1" s="1" t="s">
        <v>1867</v>
      </c>
      <c r="EYT1" s="1"/>
      <c r="EYU1" s="18" t="s">
        <v>506</v>
      </c>
      <c r="FAF1" s="22" t="s">
        <v>139</v>
      </c>
      <c r="FAP1" s="20" t="s">
        <v>91</v>
      </c>
      <c r="FAZ1" s="22" t="s">
        <v>147</v>
      </c>
      <c r="FBH1" s="21" t="s">
        <v>154</v>
      </c>
      <c r="FBV1" s="22" t="s">
        <v>96</v>
      </c>
      <c r="FCI1" s="22" t="s">
        <v>644</v>
      </c>
      <c r="FCM1" s="22" t="s">
        <v>210</v>
      </c>
      <c r="FCR1" s="22" t="s">
        <v>704</v>
      </c>
      <c r="FCW1" s="22" t="s">
        <v>643</v>
      </c>
      <c r="FDB1" s="22" t="s">
        <v>198</v>
      </c>
      <c r="FDD1" s="22" t="s">
        <v>211</v>
      </c>
      <c r="FDG1" s="22" t="s">
        <v>213</v>
      </c>
      <c r="FDM1" s="22" t="s">
        <v>461</v>
      </c>
      <c r="FDR1" s="22" t="s">
        <v>411</v>
      </c>
      <c r="FDX1" s="22" t="s">
        <v>118</v>
      </c>
      <c r="FEC1" s="22" t="s">
        <v>99</v>
      </c>
      <c r="FEF1" s="22" t="s">
        <v>212</v>
      </c>
      <c r="FEO1" s="22" t="s">
        <v>665</v>
      </c>
      <c r="FEU1" s="21" t="s">
        <v>149</v>
      </c>
      <c r="FFA1" s="21" t="s">
        <v>180</v>
      </c>
      <c r="FFE1" s="22" t="s">
        <v>413</v>
      </c>
      <c r="FFH1" s="22" t="s">
        <v>635</v>
      </c>
      <c r="FFM1" s="22" t="s">
        <v>1218</v>
      </c>
      <c r="FHO1" s="24" t="s">
        <v>1683</v>
      </c>
      <c r="FIJ1" s="32" t="s">
        <v>214</v>
      </c>
    </row>
    <row r="2" spans="1:4328" ht="105" x14ac:dyDescent="0.25">
      <c r="A2" s="9" t="s">
        <v>43</v>
      </c>
      <c r="B2" s="4" t="s">
        <v>1178</v>
      </c>
      <c r="C2" s="4" t="s">
        <v>897</v>
      </c>
      <c r="D2" s="4" t="s">
        <v>1428</v>
      </c>
      <c r="E2" s="4" t="s">
        <v>1370</v>
      </c>
      <c r="F2" s="4" t="s">
        <v>1406</v>
      </c>
      <c r="G2" s="4" t="s">
        <v>1416</v>
      </c>
      <c r="H2" s="4" t="s">
        <v>1417</v>
      </c>
      <c r="I2" s="4" t="s">
        <v>1760</v>
      </c>
      <c r="J2" s="4" t="s">
        <v>1761</v>
      </c>
      <c r="K2" s="4" t="s">
        <v>1762</v>
      </c>
      <c r="L2" s="4" t="s">
        <v>568</v>
      </c>
      <c r="M2" s="45" t="s">
        <v>784</v>
      </c>
      <c r="N2" s="4" t="s">
        <v>803</v>
      </c>
      <c r="O2" s="4" t="s">
        <v>804</v>
      </c>
      <c r="P2" s="4" t="s">
        <v>909</v>
      </c>
      <c r="Q2" s="4" t="s">
        <v>1179</v>
      </c>
      <c r="R2" s="4" t="s">
        <v>981</v>
      </c>
      <c r="S2" s="4" t="s">
        <v>1629</v>
      </c>
      <c r="T2" s="4" t="s">
        <v>805</v>
      </c>
      <c r="U2" s="4" t="s">
        <v>806</v>
      </c>
      <c r="V2" s="4" t="s">
        <v>1180</v>
      </c>
      <c r="W2" s="4" t="s">
        <v>807</v>
      </c>
      <c r="X2" s="4" t="s">
        <v>808</v>
      </c>
      <c r="Y2" s="4" t="s">
        <v>910</v>
      </c>
      <c r="Z2" s="4" t="s">
        <v>1181</v>
      </c>
      <c r="AA2" s="4" t="s">
        <v>1554</v>
      </c>
      <c r="AB2" s="4" t="s">
        <v>970</v>
      </c>
      <c r="AC2" s="4" t="s">
        <v>971</v>
      </c>
      <c r="AD2" s="4" t="s">
        <v>972</v>
      </c>
      <c r="AE2" s="4" t="s">
        <v>1182</v>
      </c>
      <c r="AF2" s="4" t="s">
        <v>1371</v>
      </c>
      <c r="AG2" s="4" t="s">
        <v>516</v>
      </c>
      <c r="AH2" s="45" t="s">
        <v>716</v>
      </c>
      <c r="AI2" s="4" t="s">
        <v>717</v>
      </c>
      <c r="AJ2" s="4" t="s">
        <v>544</v>
      </c>
      <c r="AK2" s="4" t="s">
        <v>545</v>
      </c>
      <c r="AL2" s="5" t="s">
        <v>546</v>
      </c>
      <c r="AM2" s="5" t="s">
        <v>559</v>
      </c>
      <c r="AN2" s="4" t="s">
        <v>558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536</v>
      </c>
      <c r="AT2" s="4" t="s">
        <v>551</v>
      </c>
      <c r="AU2" s="4" t="s">
        <v>552</v>
      </c>
      <c r="AV2" s="4" t="s">
        <v>560</v>
      </c>
      <c r="AW2" s="4" t="s">
        <v>553</v>
      </c>
      <c r="AX2" s="4" t="s">
        <v>554</v>
      </c>
      <c r="AY2" s="4" t="s">
        <v>555</v>
      </c>
      <c r="AZ2" s="4" t="s">
        <v>556</v>
      </c>
      <c r="BA2" s="4" t="s">
        <v>557</v>
      </c>
      <c r="BB2" s="4" t="s">
        <v>542</v>
      </c>
      <c r="BC2" s="4" t="s">
        <v>543</v>
      </c>
      <c r="BD2" s="4" t="s">
        <v>133</v>
      </c>
      <c r="BE2" s="4" t="s">
        <v>541</v>
      </c>
      <c r="BF2" s="4" t="s">
        <v>538</v>
      </c>
      <c r="BG2" s="4" t="s">
        <v>537</v>
      </c>
      <c r="BH2" s="4" t="s">
        <v>1372</v>
      </c>
      <c r="BI2" s="4" t="s">
        <v>1183</v>
      </c>
      <c r="BJ2" s="4" t="s">
        <v>1388</v>
      </c>
      <c r="BK2" s="4" t="s">
        <v>1389</v>
      </c>
      <c r="BL2" s="4" t="s">
        <v>1390</v>
      </c>
      <c r="BM2" s="4" t="s">
        <v>999</v>
      </c>
      <c r="BN2" s="4" t="s">
        <v>1444</v>
      </c>
      <c r="BO2" s="4" t="s">
        <v>1742</v>
      </c>
      <c r="BP2" s="4" t="s">
        <v>885</v>
      </c>
      <c r="BQ2" s="45" t="s">
        <v>771</v>
      </c>
      <c r="BR2" s="4" t="s">
        <v>798</v>
      </c>
      <c r="BS2" s="4" t="s">
        <v>780</v>
      </c>
      <c r="BT2" s="4" t="s">
        <v>912</v>
      </c>
      <c r="BU2" s="4" t="s">
        <v>1184</v>
      </c>
      <c r="BV2" s="4" t="s">
        <v>757</v>
      </c>
      <c r="BW2" s="4" t="s">
        <v>991</v>
      </c>
      <c r="BX2" s="4" t="s">
        <v>1185</v>
      </c>
      <c r="BY2" s="4" t="s">
        <v>923</v>
      </c>
      <c r="BZ2" s="4" t="s">
        <v>924</v>
      </c>
      <c r="CA2" s="4" t="s">
        <v>925</v>
      </c>
      <c r="CB2" s="4" t="s">
        <v>1349</v>
      </c>
      <c r="CC2" s="4" t="s">
        <v>1350</v>
      </c>
      <c r="CD2" s="4" t="s">
        <v>1766</v>
      </c>
      <c r="CE2" s="4" t="s">
        <v>799</v>
      </c>
      <c r="CF2" s="4" t="s">
        <v>1186</v>
      </c>
      <c r="CG2" s="4" t="s">
        <v>1608</v>
      </c>
      <c r="CH2" s="4" t="s">
        <v>772</v>
      </c>
      <c r="CI2" s="4" t="s">
        <v>883</v>
      </c>
      <c r="CJ2" s="4" t="s">
        <v>1351</v>
      </c>
      <c r="CK2" s="4" t="s">
        <v>1718</v>
      </c>
      <c r="CL2" s="4" t="s">
        <v>1187</v>
      </c>
      <c r="CM2" s="4" t="s">
        <v>1433</v>
      </c>
      <c r="CN2" s="4" t="s">
        <v>1373</v>
      </c>
      <c r="CO2" s="4" t="s">
        <v>1188</v>
      </c>
      <c r="CP2" s="4" t="s">
        <v>1391</v>
      </c>
      <c r="CQ2" s="4" t="s">
        <v>1392</v>
      </c>
      <c r="CR2" s="4" t="s">
        <v>1393</v>
      </c>
      <c r="CS2" s="4" t="s">
        <v>998</v>
      </c>
      <c r="CT2" s="4" t="s">
        <v>1443</v>
      </c>
      <c r="CU2" s="4" t="s">
        <v>1743</v>
      </c>
      <c r="CV2" s="4" t="s">
        <v>1194</v>
      </c>
      <c r="CW2" s="45" t="s">
        <v>773</v>
      </c>
      <c r="CX2" s="4" t="s">
        <v>1189</v>
      </c>
      <c r="CY2" s="4" t="s">
        <v>1190</v>
      </c>
      <c r="CZ2" s="4" t="s">
        <v>913</v>
      </c>
      <c r="DA2" s="4" t="s">
        <v>1195</v>
      </c>
      <c r="DB2" s="4" t="s">
        <v>1191</v>
      </c>
      <c r="DC2" s="4" t="s">
        <v>992</v>
      </c>
      <c r="DD2" s="4" t="s">
        <v>926</v>
      </c>
      <c r="DE2" s="4" t="s">
        <v>927</v>
      </c>
      <c r="DF2" s="4" t="s">
        <v>1192</v>
      </c>
      <c r="DG2" s="4" t="s">
        <v>928</v>
      </c>
      <c r="DH2" s="4" t="s">
        <v>1346</v>
      </c>
      <c r="DI2" s="4" t="s">
        <v>1347</v>
      </c>
      <c r="DJ2" s="4" t="s">
        <v>1767</v>
      </c>
      <c r="DK2" s="4" t="s">
        <v>797</v>
      </c>
      <c r="DL2" s="4" t="s">
        <v>1607</v>
      </c>
      <c r="DM2" s="4" t="s">
        <v>774</v>
      </c>
      <c r="DN2" s="4" t="s">
        <v>1348</v>
      </c>
      <c r="DO2" s="4" t="s">
        <v>1719</v>
      </c>
      <c r="DP2" s="4" t="s">
        <v>1193</v>
      </c>
      <c r="DQ2" s="4" t="s">
        <v>1434</v>
      </c>
      <c r="DR2" s="4" t="s">
        <v>1374</v>
      </c>
      <c r="DS2" s="4" t="s">
        <v>1394</v>
      </c>
      <c r="DT2" s="4" t="s">
        <v>1395</v>
      </c>
      <c r="DU2" s="4" t="s">
        <v>1396</v>
      </c>
      <c r="DV2" s="4" t="s">
        <v>1010</v>
      </c>
      <c r="DW2" s="4" t="s">
        <v>1588</v>
      </c>
      <c r="DX2" s="4" t="s">
        <v>1744</v>
      </c>
      <c r="DY2" s="4" t="s">
        <v>1000</v>
      </c>
      <c r="DZ2" s="45" t="s">
        <v>1001</v>
      </c>
      <c r="EA2" s="4" t="s">
        <v>1002</v>
      </c>
      <c r="EB2" s="4" t="s">
        <v>1003</v>
      </c>
      <c r="EC2" s="4" t="s">
        <v>1004</v>
      </c>
      <c r="ED2" s="4" t="s">
        <v>1196</v>
      </c>
      <c r="EE2" s="4" t="s">
        <v>1005</v>
      </c>
      <c r="EF2" s="4" t="s">
        <v>1006</v>
      </c>
      <c r="EG2" s="4" t="s">
        <v>1865</v>
      </c>
      <c r="EH2" s="4" t="s">
        <v>1007</v>
      </c>
      <c r="EI2" s="4" t="s">
        <v>1197</v>
      </c>
      <c r="EJ2" s="4" t="s">
        <v>1560</v>
      </c>
      <c r="EK2" s="4" t="s">
        <v>1008</v>
      </c>
      <c r="EL2" s="4" t="s">
        <v>1609</v>
      </c>
      <c r="EM2" s="4" t="s">
        <v>1009</v>
      </c>
      <c r="EN2" s="4" t="s">
        <v>1561</v>
      </c>
      <c r="EO2" s="4" t="s">
        <v>1720</v>
      </c>
      <c r="EP2" s="4" t="s">
        <v>1375</v>
      </c>
      <c r="EQ2" s="4" t="s">
        <v>1397</v>
      </c>
      <c r="ER2" s="4" t="s">
        <v>1745</v>
      </c>
      <c r="ES2" s="4" t="s">
        <v>1746</v>
      </c>
      <c r="ET2" s="4" t="s">
        <v>1198</v>
      </c>
      <c r="EU2" s="45" t="s">
        <v>978</v>
      </c>
      <c r="EV2" s="4" t="s">
        <v>1747</v>
      </c>
      <c r="EW2" s="4" t="s">
        <v>1199</v>
      </c>
      <c r="EX2" s="4" t="s">
        <v>1382</v>
      </c>
      <c r="EY2" s="4" t="s">
        <v>1751</v>
      </c>
      <c r="EZ2" s="4" t="s">
        <v>1752</v>
      </c>
      <c r="FA2" s="4" t="s">
        <v>1383</v>
      </c>
      <c r="FB2" s="45" t="s">
        <v>775</v>
      </c>
      <c r="FC2" s="4" t="s">
        <v>1448</v>
      </c>
      <c r="FD2" s="4" t="s">
        <v>776</v>
      </c>
      <c r="FE2" s="4" t="s">
        <v>1562</v>
      </c>
      <c r="FF2" s="4" t="s">
        <v>1381</v>
      </c>
      <c r="FG2" s="4" t="s">
        <v>708</v>
      </c>
      <c r="FH2" s="45" t="s">
        <v>707</v>
      </c>
      <c r="FI2" s="4" t="s">
        <v>1200</v>
      </c>
      <c r="FJ2" s="4" t="s">
        <v>1740</v>
      </c>
      <c r="FK2" s="4" t="s">
        <v>1030</v>
      </c>
      <c r="FL2" s="4" t="s">
        <v>1201</v>
      </c>
      <c r="FM2" s="4" t="s">
        <v>1553</v>
      </c>
      <c r="FN2" s="4" t="s">
        <v>1031</v>
      </c>
      <c r="FO2" s="4" t="s">
        <v>1533</v>
      </c>
      <c r="FP2" s="4" t="s">
        <v>1534</v>
      </c>
      <c r="FQ2" s="4" t="s">
        <v>1441</v>
      </c>
      <c r="FR2" s="4" t="s">
        <v>1426</v>
      </c>
      <c r="FS2" s="4" t="s">
        <v>582</v>
      </c>
      <c r="FT2" s="45" t="s">
        <v>1442</v>
      </c>
      <c r="FU2" s="4" t="s">
        <v>993</v>
      </c>
      <c r="FV2" s="4" t="s">
        <v>977</v>
      </c>
      <c r="FW2" s="4" t="s">
        <v>1862</v>
      </c>
      <c r="FX2" s="4" t="s">
        <v>1863</v>
      </c>
      <c r="FY2" s="4" t="s">
        <v>709</v>
      </c>
      <c r="FZ2" s="4" t="s">
        <v>1202</v>
      </c>
      <c r="GA2" s="4" t="s">
        <v>135</v>
      </c>
      <c r="GB2" s="4" t="s">
        <v>136</v>
      </c>
      <c r="GC2" s="4" t="s">
        <v>137</v>
      </c>
      <c r="GD2" s="4" t="s">
        <v>68</v>
      </c>
      <c r="GE2" s="4" t="s">
        <v>520</v>
      </c>
      <c r="GF2" s="4" t="s">
        <v>515</v>
      </c>
      <c r="GG2" s="45" t="s">
        <v>513</v>
      </c>
      <c r="GH2" s="4" t="s">
        <v>69</v>
      </c>
      <c r="GI2" s="4" t="s">
        <v>70</v>
      </c>
      <c r="GJ2" s="4" t="s">
        <v>519</v>
      </c>
      <c r="GK2" s="4" t="s">
        <v>800</v>
      </c>
      <c r="GL2" s="45" t="s">
        <v>801</v>
      </c>
      <c r="GM2" s="4" t="s">
        <v>802</v>
      </c>
      <c r="GN2" s="4" t="s">
        <v>1203</v>
      </c>
      <c r="GO2" s="4" t="s">
        <v>1738</v>
      </c>
      <c r="GP2" s="4" t="s">
        <v>1376</v>
      </c>
      <c r="GQ2" s="4" t="s">
        <v>1386</v>
      </c>
      <c r="GR2" s="4" t="s">
        <v>1423</v>
      </c>
      <c r="GS2" s="4" t="s">
        <v>1754</v>
      </c>
      <c r="GT2" s="4" t="s">
        <v>1446</v>
      </c>
      <c r="GU2" s="4" t="s">
        <v>1755</v>
      </c>
      <c r="GV2" s="4" t="s">
        <v>565</v>
      </c>
      <c r="GW2" s="45" t="s">
        <v>795</v>
      </c>
      <c r="GX2" s="4" t="s">
        <v>907</v>
      </c>
      <c r="GY2" s="4" t="s">
        <v>796</v>
      </c>
      <c r="GZ2" s="4" t="s">
        <v>914</v>
      </c>
      <c r="HA2" s="4" t="s">
        <v>1204</v>
      </c>
      <c r="HB2" s="4" t="s">
        <v>983</v>
      </c>
      <c r="HC2" s="4" t="s">
        <v>984</v>
      </c>
      <c r="HD2" s="4" t="s">
        <v>1768</v>
      </c>
      <c r="HE2" s="4" t="s">
        <v>985</v>
      </c>
      <c r="HF2" s="4" t="s">
        <v>1205</v>
      </c>
      <c r="HG2" s="4" t="s">
        <v>986</v>
      </c>
      <c r="HH2" s="4" t="s">
        <v>987</v>
      </c>
      <c r="HI2" s="4" t="s">
        <v>988</v>
      </c>
      <c r="HJ2" s="4" t="s">
        <v>570</v>
      </c>
      <c r="HK2" s="4" t="s">
        <v>1206</v>
      </c>
      <c r="HL2" s="4" t="s">
        <v>989</v>
      </c>
      <c r="HM2" s="4" t="s">
        <v>990</v>
      </c>
      <c r="HN2" s="4" t="s">
        <v>1548</v>
      </c>
      <c r="HO2" s="4" t="s">
        <v>1549</v>
      </c>
      <c r="HP2" s="4" t="s">
        <v>1207</v>
      </c>
      <c r="HQ2" s="4" t="s">
        <v>1550</v>
      </c>
      <c r="HR2" s="4" t="s">
        <v>1756</v>
      </c>
      <c r="HS2" s="4" t="s">
        <v>1757</v>
      </c>
      <c r="HT2" s="4" t="s">
        <v>1758</v>
      </c>
      <c r="HU2" s="4" t="s">
        <v>567</v>
      </c>
      <c r="HV2" s="45" t="s">
        <v>706</v>
      </c>
      <c r="HW2" s="4" t="s">
        <v>1208</v>
      </c>
      <c r="HX2" s="4" t="s">
        <v>1210</v>
      </c>
      <c r="HY2" s="4" t="s">
        <v>1412</v>
      </c>
      <c r="HZ2" s="4" t="s">
        <v>1209</v>
      </c>
      <c r="IA2" s="4" t="s">
        <v>71</v>
      </c>
      <c r="IB2" s="4" t="s">
        <v>573</v>
      </c>
      <c r="IC2" s="4" t="s">
        <v>574</v>
      </c>
      <c r="ID2" s="4" t="s">
        <v>1362</v>
      </c>
      <c r="IE2" s="45" t="s">
        <v>1361</v>
      </c>
      <c r="IF2" s="4" t="s">
        <v>1365</v>
      </c>
      <c r="IG2" s="4" t="s">
        <v>1780</v>
      </c>
      <c r="IH2" s="4" t="s">
        <v>1781</v>
      </c>
      <c r="II2" s="4" t="s">
        <v>1782</v>
      </c>
      <c r="IJ2" s="4" t="s">
        <v>1387</v>
      </c>
      <c r="IK2" s="4" t="s">
        <v>1364</v>
      </c>
      <c r="IL2" s="45" t="s">
        <v>1363</v>
      </c>
      <c r="IM2" s="4" t="s">
        <v>1366</v>
      </c>
      <c r="IN2" s="4" t="s">
        <v>1411</v>
      </c>
      <c r="IO2" s="4" t="s">
        <v>72</v>
      </c>
      <c r="IP2" s="4" t="s">
        <v>1401</v>
      </c>
      <c r="IQ2" s="4" t="s">
        <v>1748</v>
      </c>
      <c r="IR2" s="4" t="s">
        <v>1749</v>
      </c>
      <c r="IS2" s="4" t="s">
        <v>1400</v>
      </c>
      <c r="IT2" s="45" t="s">
        <v>1399</v>
      </c>
      <c r="IU2" s="4" t="s">
        <v>1750</v>
      </c>
      <c r="IV2" s="5" t="s">
        <v>1591</v>
      </c>
      <c r="IW2" s="46" t="s">
        <v>1590</v>
      </c>
      <c r="IX2" s="5" t="s">
        <v>73</v>
      </c>
      <c r="IY2" s="5" t="s">
        <v>566</v>
      </c>
      <c r="IZ2" s="5" t="s">
        <v>1385</v>
      </c>
      <c r="JA2" s="5" t="s">
        <v>1384</v>
      </c>
      <c r="JB2" s="5" t="s">
        <v>561</v>
      </c>
      <c r="JC2" s="5" t="s">
        <v>563</v>
      </c>
      <c r="JD2" s="5" t="s">
        <v>564</v>
      </c>
      <c r="JE2" s="41" t="s">
        <v>42</v>
      </c>
      <c r="JF2" s="41" t="s">
        <v>524</v>
      </c>
      <c r="JG2" s="41" t="s">
        <v>528</v>
      </c>
      <c r="JH2" s="41" t="s">
        <v>511</v>
      </c>
      <c r="JI2" s="41" t="s">
        <v>527</v>
      </c>
      <c r="JJ2" s="41" t="s">
        <v>534</v>
      </c>
      <c r="JK2" s="41" t="s">
        <v>535</v>
      </c>
      <c r="JL2" s="41" t="s">
        <v>575</v>
      </c>
      <c r="JM2" s="41" t="s">
        <v>576</v>
      </c>
      <c r="JN2" s="41" t="s">
        <v>529</v>
      </c>
      <c r="JO2" s="41" t="s">
        <v>526</v>
      </c>
      <c r="JP2" s="41" t="s">
        <v>567</v>
      </c>
      <c r="JQ2" s="41" t="s">
        <v>1733</v>
      </c>
      <c r="JR2" s="41" t="s">
        <v>1772</v>
      </c>
      <c r="JS2" s="41" t="s">
        <v>525</v>
      </c>
      <c r="JT2" s="41" t="s">
        <v>1773</v>
      </c>
      <c r="JU2" s="41" t="s">
        <v>571</v>
      </c>
      <c r="JV2" s="41" t="s">
        <v>572</v>
      </c>
      <c r="JW2" s="41" t="s">
        <v>569</v>
      </c>
      <c r="JX2" s="41" t="s">
        <v>577</v>
      </c>
      <c r="JY2" s="42" t="s">
        <v>522</v>
      </c>
      <c r="JZ2" s="42" t="s">
        <v>523</v>
      </c>
      <c r="KA2" s="41" t="s">
        <v>531</v>
      </c>
      <c r="KB2" s="41" t="s">
        <v>532</v>
      </c>
      <c r="KC2" s="41" t="s">
        <v>533</v>
      </c>
      <c r="KD2" s="41" t="s">
        <v>530</v>
      </c>
      <c r="KE2" s="11" t="s">
        <v>2</v>
      </c>
      <c r="KF2" s="11" t="s">
        <v>122</v>
      </c>
      <c r="KG2" s="11" t="s">
        <v>121</v>
      </c>
      <c r="KH2" s="11" t="s">
        <v>3</v>
      </c>
      <c r="KI2" s="11" t="s">
        <v>84</v>
      </c>
      <c r="KJ2" s="11" t="s">
        <v>204</v>
      </c>
      <c r="KK2" s="11" t="s">
        <v>190</v>
      </c>
      <c r="KL2" s="17" t="s">
        <v>346</v>
      </c>
      <c r="KM2" s="12" t="s">
        <v>345</v>
      </c>
      <c r="KN2" s="12" t="s">
        <v>1297</v>
      </c>
      <c r="KO2" s="12" t="s">
        <v>196</v>
      </c>
      <c r="KP2" s="12" t="s">
        <v>116</v>
      </c>
      <c r="KQ2" s="12" t="s">
        <v>37</v>
      </c>
      <c r="KR2" s="12" t="s">
        <v>1695</v>
      </c>
      <c r="KS2" s="12" t="s">
        <v>36</v>
      </c>
      <c r="KT2" s="12" t="s">
        <v>291</v>
      </c>
      <c r="KU2" s="12" t="s">
        <v>293</v>
      </c>
      <c r="KV2" s="12" t="s">
        <v>471</v>
      </c>
      <c r="KW2" s="12" t="s">
        <v>1682</v>
      </c>
      <c r="KX2" s="12" t="s">
        <v>1310</v>
      </c>
      <c r="KY2" s="12" t="s">
        <v>1679</v>
      </c>
      <c r="KZ2" s="12" t="s">
        <v>1478</v>
      </c>
      <c r="LA2" s="12" t="s">
        <v>207</v>
      </c>
      <c r="LB2" s="12" t="s">
        <v>1243</v>
      </c>
      <c r="LC2" s="12" t="s">
        <v>119</v>
      </c>
      <c r="LD2" s="12" t="s">
        <v>179</v>
      </c>
      <c r="LE2" s="12" t="s">
        <v>675</v>
      </c>
      <c r="LF2" s="12" t="s">
        <v>733</v>
      </c>
      <c r="LG2" s="12" t="s">
        <v>1681</v>
      </c>
      <c r="LH2" s="12" t="s">
        <v>195</v>
      </c>
      <c r="LI2" s="12" t="s">
        <v>184</v>
      </c>
      <c r="LJ2" s="12" t="s">
        <v>264</v>
      </c>
      <c r="LK2" s="12" t="s">
        <v>193</v>
      </c>
      <c r="LL2" s="12" t="s">
        <v>416</v>
      </c>
      <c r="LM2" s="12" t="s">
        <v>159</v>
      </c>
      <c r="LN2" s="12" t="s">
        <v>292</v>
      </c>
      <c r="LO2" s="12" t="s">
        <v>662</v>
      </c>
      <c r="LP2" s="12" t="s">
        <v>1479</v>
      </c>
      <c r="LQ2" s="12" t="s">
        <v>1299</v>
      </c>
      <c r="LR2" s="12" t="s">
        <v>1500</v>
      </c>
      <c r="LS2" s="12" t="s">
        <v>1303</v>
      </c>
      <c r="LT2" s="12" t="s">
        <v>1480</v>
      </c>
      <c r="LU2" s="12" t="s">
        <v>613</v>
      </c>
      <c r="LV2" s="12" t="s">
        <v>1482</v>
      </c>
      <c r="LW2" s="12" t="s">
        <v>1277</v>
      </c>
      <c r="LX2" s="12" t="s">
        <v>1666</v>
      </c>
      <c r="LY2" s="12" t="s">
        <v>176</v>
      </c>
      <c r="LZ2" s="12" t="s">
        <v>655</v>
      </c>
      <c r="MA2" s="12" t="s">
        <v>387</v>
      </c>
      <c r="MB2" s="12" t="s">
        <v>1300</v>
      </c>
      <c r="MC2" s="12" t="s">
        <v>1839</v>
      </c>
      <c r="MD2" s="12" t="s">
        <v>1687</v>
      </c>
      <c r="ME2" s="12" t="s">
        <v>1851</v>
      </c>
      <c r="MF2" s="12" t="s">
        <v>270</v>
      </c>
      <c r="MG2" s="12" t="s">
        <v>1288</v>
      </c>
      <c r="MH2" s="12" t="s">
        <v>1686</v>
      </c>
      <c r="MI2" s="12" t="s">
        <v>1475</v>
      </c>
      <c r="MJ2" s="12" t="s">
        <v>1306</v>
      </c>
      <c r="MK2" s="12" t="s">
        <v>208</v>
      </c>
      <c r="ML2" s="12" t="s">
        <v>265</v>
      </c>
      <c r="MM2" s="12" t="s">
        <v>1852</v>
      </c>
      <c r="MN2" s="12" t="s">
        <v>1854</v>
      </c>
      <c r="MO2" s="12" t="s">
        <v>1857</v>
      </c>
      <c r="MP2" s="12" t="s">
        <v>1313</v>
      </c>
      <c r="MQ2" s="12" t="s">
        <v>1314</v>
      </c>
      <c r="MR2" s="12" t="s">
        <v>504</v>
      </c>
      <c r="MS2" s="12" t="s">
        <v>1850</v>
      </c>
      <c r="MT2" s="12" t="s">
        <v>420</v>
      </c>
      <c r="MU2" s="12" t="s">
        <v>422</v>
      </c>
      <c r="MV2" s="12" t="s">
        <v>737</v>
      </c>
      <c r="MW2" s="12" t="s">
        <v>739</v>
      </c>
      <c r="MX2" s="12" t="s">
        <v>141</v>
      </c>
      <c r="MY2" s="12" t="s">
        <v>489</v>
      </c>
      <c r="MZ2" s="12" t="s">
        <v>421</v>
      </c>
      <c r="NA2" s="12" t="s">
        <v>502</v>
      </c>
      <c r="NB2" s="12" t="s">
        <v>294</v>
      </c>
      <c r="NC2" s="12" t="s">
        <v>1663</v>
      </c>
      <c r="ND2" s="12" t="s">
        <v>1693</v>
      </c>
      <c r="NE2" s="12" t="s">
        <v>1499</v>
      </c>
      <c r="NF2" s="12" t="s">
        <v>641</v>
      </c>
      <c r="NG2" s="12" t="s">
        <v>661</v>
      </c>
      <c r="NH2" s="12" t="s">
        <v>206</v>
      </c>
      <c r="NI2" s="12" t="s">
        <v>1677</v>
      </c>
      <c r="NJ2" s="12" t="s">
        <v>1230</v>
      </c>
      <c r="NK2" s="12" t="s">
        <v>1227</v>
      </c>
      <c r="NL2" s="12" t="s">
        <v>1664</v>
      </c>
      <c r="NM2" s="12" t="s">
        <v>375</v>
      </c>
      <c r="NN2" s="12" t="s">
        <v>1474</v>
      </c>
      <c r="NO2" s="12" t="s">
        <v>1838</v>
      </c>
      <c r="NP2" s="12" t="s">
        <v>680</v>
      </c>
      <c r="NQ2" s="12" t="s">
        <v>1842</v>
      </c>
      <c r="NR2" s="12" t="s">
        <v>173</v>
      </c>
      <c r="NS2" s="12" t="s">
        <v>1507</v>
      </c>
      <c r="NT2" s="12" t="s">
        <v>1506</v>
      </c>
      <c r="NU2" s="12" t="s">
        <v>191</v>
      </c>
      <c r="NV2" s="12" t="s">
        <v>1691</v>
      </c>
      <c r="NW2" s="12" t="s">
        <v>1496</v>
      </c>
      <c r="NX2" s="12" t="s">
        <v>1289</v>
      </c>
      <c r="NY2" s="12" t="s">
        <v>1676</v>
      </c>
      <c r="NZ2" s="12" t="s">
        <v>1503</v>
      </c>
      <c r="OA2" s="12" t="s">
        <v>194</v>
      </c>
      <c r="OB2" s="12" t="s">
        <v>590</v>
      </c>
      <c r="OC2" s="12" t="s">
        <v>406</v>
      </c>
      <c r="OD2" s="12" t="s">
        <v>1317</v>
      </c>
      <c r="OE2" s="12" t="s">
        <v>205</v>
      </c>
      <c r="OF2" s="12" t="s">
        <v>1672</v>
      </c>
      <c r="OG2" s="12" t="s">
        <v>1849</v>
      </c>
      <c r="OH2" s="12" t="s">
        <v>172</v>
      </c>
      <c r="OI2" s="12" t="s">
        <v>1688</v>
      </c>
      <c r="OJ2" s="12" t="s">
        <v>194</v>
      </c>
      <c r="OK2" s="12" t="s">
        <v>676</v>
      </c>
      <c r="OL2" s="12" t="s">
        <v>423</v>
      </c>
      <c r="OM2" s="12" t="s">
        <v>419</v>
      </c>
      <c r="ON2" s="12" t="s">
        <v>347</v>
      </c>
      <c r="OO2" s="12" t="s">
        <v>1845</v>
      </c>
      <c r="OP2" s="12" t="s">
        <v>1280</v>
      </c>
      <c r="OQ2" s="12" t="s">
        <v>1702</v>
      </c>
      <c r="OR2" s="12" t="s">
        <v>1505</v>
      </c>
      <c r="OS2" s="12" t="s">
        <v>192</v>
      </c>
      <c r="OT2" s="12" t="s">
        <v>601</v>
      </c>
      <c r="OU2" s="12" t="s">
        <v>372</v>
      </c>
      <c r="OV2" s="12" t="s">
        <v>1858</v>
      </c>
      <c r="OW2" s="12" t="s">
        <v>373</v>
      </c>
      <c r="OX2" s="12" t="s">
        <v>224</v>
      </c>
      <c r="OY2" s="12" t="s">
        <v>1861</v>
      </c>
      <c r="OZ2" s="17" t="s">
        <v>163</v>
      </c>
      <c r="PA2" s="17" t="s">
        <v>424</v>
      </c>
      <c r="PB2" s="17" t="s">
        <v>425</v>
      </c>
      <c r="PC2" s="12" t="s">
        <v>165</v>
      </c>
      <c r="PD2" s="12" t="s">
        <v>466</v>
      </c>
      <c r="PE2" s="12" t="s">
        <v>1490</v>
      </c>
      <c r="PF2" s="17" t="s">
        <v>452</v>
      </c>
      <c r="PG2" s="17" t="s">
        <v>164</v>
      </c>
      <c r="PH2" s="17" t="s">
        <v>612</v>
      </c>
      <c r="PI2" s="12" t="s">
        <v>166</v>
      </c>
      <c r="PJ2" s="12" t="s">
        <v>358</v>
      </c>
      <c r="PK2" s="12" t="s">
        <v>220</v>
      </c>
      <c r="PL2" s="12" t="s">
        <v>392</v>
      </c>
      <c r="PM2" s="12" t="s">
        <v>448</v>
      </c>
      <c r="PN2" s="12" t="s">
        <v>1249</v>
      </c>
      <c r="PO2" s="12" t="s">
        <v>371</v>
      </c>
      <c r="PP2" s="12" t="s">
        <v>167</v>
      </c>
      <c r="PQ2" s="12" t="s">
        <v>157</v>
      </c>
      <c r="PR2" s="12" t="s">
        <v>353</v>
      </c>
      <c r="PS2" s="12" t="s">
        <v>352</v>
      </c>
      <c r="PT2" s="12" t="s">
        <v>158</v>
      </c>
      <c r="PU2" s="12" t="s">
        <v>677</v>
      </c>
      <c r="PV2" s="12" t="s">
        <v>1665</v>
      </c>
      <c r="PW2" s="12" t="s">
        <v>1509</v>
      </c>
      <c r="PX2" s="12" t="s">
        <v>681</v>
      </c>
      <c r="PY2" s="12" t="s">
        <v>354</v>
      </c>
      <c r="PZ2" s="12" t="s">
        <v>1835</v>
      </c>
      <c r="QA2" s="12" t="s">
        <v>1836</v>
      </c>
      <c r="QB2" s="12" t="s">
        <v>393</v>
      </c>
      <c r="QC2" s="12" t="s">
        <v>394</v>
      </c>
      <c r="QD2" s="12" t="s">
        <v>1504</v>
      </c>
      <c r="QE2" s="12" t="s">
        <v>426</v>
      </c>
      <c r="QF2" s="12" t="s">
        <v>678</v>
      </c>
      <c r="QG2" s="12" t="s">
        <v>503</v>
      </c>
      <c r="QH2" s="12" t="s">
        <v>177</v>
      </c>
      <c r="QI2" s="12" t="s">
        <v>178</v>
      </c>
      <c r="QJ2" s="12" t="s">
        <v>1229</v>
      </c>
      <c r="QK2" s="12" t="s">
        <v>174</v>
      </c>
      <c r="QL2" s="12" t="s">
        <v>1241</v>
      </c>
      <c r="QM2" s="12" t="s">
        <v>1244</v>
      </c>
      <c r="QN2" s="12" t="s">
        <v>1675</v>
      </c>
      <c r="QO2" s="12" t="s">
        <v>1246</v>
      </c>
      <c r="QP2" s="12" t="s">
        <v>1251</v>
      </c>
      <c r="QQ2" s="12" t="s">
        <v>1318</v>
      </c>
      <c r="QR2" s="12" t="s">
        <v>698</v>
      </c>
      <c r="QS2" s="12" t="s">
        <v>679</v>
      </c>
      <c r="QT2" s="12" t="s">
        <v>1228</v>
      </c>
      <c r="QU2" s="12" t="s">
        <v>1279</v>
      </c>
      <c r="QV2" s="12" t="s">
        <v>1315</v>
      </c>
      <c r="QW2" s="12" t="s">
        <v>1305</v>
      </c>
      <c r="QX2" s="12" t="s">
        <v>197</v>
      </c>
      <c r="QY2" s="12" t="s">
        <v>740</v>
      </c>
      <c r="QZ2" s="12" t="s">
        <v>1856</v>
      </c>
      <c r="RA2" s="12" t="s">
        <v>1859</v>
      </c>
      <c r="RB2" s="12" t="s">
        <v>736</v>
      </c>
      <c r="RC2" s="12" t="s">
        <v>688</v>
      </c>
      <c r="RD2" s="12" t="s">
        <v>462</v>
      </c>
      <c r="RE2" s="12" t="s">
        <v>671</v>
      </c>
      <c r="RF2" s="12" t="s">
        <v>738</v>
      </c>
      <c r="RG2" s="12" t="s">
        <v>1473</v>
      </c>
      <c r="RH2" s="12" t="s">
        <v>436</v>
      </c>
      <c r="RI2" s="12" t="s">
        <v>1294</v>
      </c>
      <c r="RJ2" s="12" t="s">
        <v>687</v>
      </c>
      <c r="RK2" s="12" t="s">
        <v>209</v>
      </c>
      <c r="RL2" s="12" t="s">
        <v>1860</v>
      </c>
      <c r="RM2" s="12" t="s">
        <v>266</v>
      </c>
      <c r="RN2" s="12" t="s">
        <v>1844</v>
      </c>
      <c r="RO2" s="12" t="s">
        <v>605</v>
      </c>
      <c r="RP2" s="12" t="s">
        <v>1855</v>
      </c>
      <c r="RQ2" s="12" t="s">
        <v>267</v>
      </c>
      <c r="RR2" s="12" t="s">
        <v>268</v>
      </c>
      <c r="RS2" s="12" t="s">
        <v>297</v>
      </c>
      <c r="RT2" s="12" t="s">
        <v>1508</v>
      </c>
      <c r="RU2" s="12" t="s">
        <v>1511</v>
      </c>
      <c r="RV2" s="12" t="s">
        <v>374</v>
      </c>
      <c r="RW2" s="12" t="s">
        <v>1853</v>
      </c>
      <c r="RX2" s="12" t="s">
        <v>1488</v>
      </c>
      <c r="RY2" s="12" t="s">
        <v>1497</v>
      </c>
      <c r="RZ2" s="12" t="s">
        <v>273</v>
      </c>
      <c r="SA2" s="12" t="s">
        <v>203</v>
      </c>
      <c r="SB2" s="17" t="s">
        <v>35</v>
      </c>
      <c r="SC2" s="17" t="s">
        <v>134</v>
      </c>
      <c r="SD2" s="17" t="s">
        <v>734</v>
      </c>
      <c r="SE2" s="12" t="s">
        <v>269</v>
      </c>
      <c r="SF2" s="12" t="s">
        <v>271</v>
      </c>
      <c r="SG2" s="12" t="s">
        <v>1</v>
      </c>
      <c r="SH2" s="12" t="s">
        <v>1501</v>
      </c>
      <c r="SI2" s="12" t="s">
        <v>1226</v>
      </c>
      <c r="SJ2" s="12" t="s">
        <v>1489</v>
      </c>
      <c r="SK2" s="12" t="s">
        <v>599</v>
      </c>
      <c r="SL2" s="12" t="s">
        <v>1678</v>
      </c>
      <c r="SM2" s="12" t="s">
        <v>692</v>
      </c>
      <c r="SN2" s="12" t="s">
        <v>1698</v>
      </c>
      <c r="SO2" s="12" t="s">
        <v>1302</v>
      </c>
      <c r="SP2" s="12" t="s">
        <v>1240</v>
      </c>
      <c r="SQ2" s="12" t="s">
        <v>1630</v>
      </c>
      <c r="SR2" s="12" t="s">
        <v>1301</v>
      </c>
      <c r="SS2" s="12" t="s">
        <v>140</v>
      </c>
      <c r="ST2" s="12" t="s">
        <v>1837</v>
      </c>
      <c r="SU2" s="12" t="s">
        <v>1847</v>
      </c>
      <c r="SV2" s="12" t="s">
        <v>480</v>
      </c>
      <c r="SW2" s="12" t="s">
        <v>1498</v>
      </c>
      <c r="SX2" s="12" t="s">
        <v>223</v>
      </c>
      <c r="SY2" s="12" t="s">
        <v>1281</v>
      </c>
      <c r="SZ2" s="12" t="s">
        <v>617</v>
      </c>
      <c r="TA2" s="12" t="s">
        <v>221</v>
      </c>
      <c r="TB2" s="12" t="s">
        <v>1278</v>
      </c>
      <c r="TC2" s="12" t="s">
        <v>505</v>
      </c>
      <c r="TD2" s="12" t="s">
        <v>604</v>
      </c>
      <c r="TE2" s="12" t="s">
        <v>1481</v>
      </c>
      <c r="TF2" s="12" t="s">
        <v>1307</v>
      </c>
      <c r="TG2" s="12" t="s">
        <v>1703</v>
      </c>
      <c r="TH2" s="12" t="s">
        <v>1510</v>
      </c>
      <c r="TI2" s="12" t="s">
        <v>1667</v>
      </c>
      <c r="TJ2" s="12" t="s">
        <v>1694</v>
      </c>
      <c r="TK2" s="12" t="s">
        <v>1308</v>
      </c>
      <c r="TL2" s="12" t="s">
        <v>1843</v>
      </c>
      <c r="TM2" s="12" t="s">
        <v>1668</v>
      </c>
      <c r="TN2" s="12" t="s">
        <v>1311</v>
      </c>
      <c r="TO2" s="12" t="s">
        <v>1840</v>
      </c>
      <c r="TP2" s="12" t="s">
        <v>1662</v>
      </c>
      <c r="TQ2" s="29" t="s">
        <v>169</v>
      </c>
      <c r="TR2" s="13" t="s">
        <v>113</v>
      </c>
      <c r="TS2" s="13" t="s">
        <v>114</v>
      </c>
      <c r="TT2" s="13" t="s">
        <v>110</v>
      </c>
      <c r="TU2" s="13" t="s">
        <v>111</v>
      </c>
      <c r="TV2" s="13" t="s">
        <v>112</v>
      </c>
      <c r="TW2" s="13" t="s">
        <v>384</v>
      </c>
      <c r="TX2" s="13" t="s">
        <v>199</v>
      </c>
      <c r="TY2" s="13" t="s">
        <v>107</v>
      </c>
      <c r="TZ2" s="13" t="s">
        <v>175</v>
      </c>
      <c r="UA2" s="13" t="s">
        <v>108</v>
      </c>
      <c r="UB2" s="13" t="s">
        <v>313</v>
      </c>
      <c r="UC2" s="13" t="s">
        <v>316</v>
      </c>
      <c r="UD2" s="13" t="s">
        <v>169</v>
      </c>
      <c r="UE2" s="13" t="s">
        <v>113</v>
      </c>
      <c r="UF2" s="13" t="s">
        <v>114</v>
      </c>
      <c r="UG2" s="13" t="s">
        <v>110</v>
      </c>
      <c r="UH2" s="13" t="s">
        <v>111</v>
      </c>
      <c r="UI2" s="13" t="s">
        <v>112</v>
      </c>
      <c r="UJ2" s="13" t="s">
        <v>199</v>
      </c>
      <c r="UK2" s="13" t="s">
        <v>107</v>
      </c>
      <c r="UL2" s="13" t="s">
        <v>175</v>
      </c>
      <c r="UM2" s="13" t="s">
        <v>108</v>
      </c>
      <c r="UN2" s="13" t="s">
        <v>313</v>
      </c>
      <c r="UO2" s="13" t="s">
        <v>316</v>
      </c>
      <c r="UP2" s="13" t="s">
        <v>169</v>
      </c>
      <c r="UQ2" s="13" t="s">
        <v>113</v>
      </c>
      <c r="UR2" s="13" t="s">
        <v>114</v>
      </c>
      <c r="US2" s="13" t="s">
        <v>110</v>
      </c>
      <c r="UT2" s="13" t="s">
        <v>111</v>
      </c>
      <c r="UU2" s="13" t="s">
        <v>112</v>
      </c>
      <c r="UV2" s="13" t="s">
        <v>350</v>
      </c>
      <c r="UW2" s="13" t="s">
        <v>107</v>
      </c>
      <c r="UX2" s="13" t="s">
        <v>175</v>
      </c>
      <c r="UY2" s="13" t="s">
        <v>108</v>
      </c>
      <c r="UZ2" s="13" t="s">
        <v>313</v>
      </c>
      <c r="VA2" s="13" t="s">
        <v>316</v>
      </c>
      <c r="VB2" s="13" t="s">
        <v>169</v>
      </c>
      <c r="VC2" s="13" t="s">
        <v>113</v>
      </c>
      <c r="VD2" s="13" t="s">
        <v>114</v>
      </c>
      <c r="VE2" s="13" t="s">
        <v>110</v>
      </c>
      <c r="VF2" s="13" t="s">
        <v>111</v>
      </c>
      <c r="VG2" s="13" t="s">
        <v>112</v>
      </c>
      <c r="VH2" s="13" t="s">
        <v>107</v>
      </c>
      <c r="VI2" s="13" t="s">
        <v>175</v>
      </c>
      <c r="VJ2" s="13" t="s">
        <v>108</v>
      </c>
      <c r="VK2" s="13" t="s">
        <v>313</v>
      </c>
      <c r="VL2" s="13" t="s">
        <v>316</v>
      </c>
      <c r="VM2" s="13" t="s">
        <v>169</v>
      </c>
      <c r="VN2" s="13" t="s">
        <v>113</v>
      </c>
      <c r="VO2" s="13" t="s">
        <v>114</v>
      </c>
      <c r="VP2" s="13" t="s">
        <v>110</v>
      </c>
      <c r="VQ2" s="13" t="s">
        <v>111</v>
      </c>
      <c r="VR2" s="13" t="s">
        <v>112</v>
      </c>
      <c r="VS2" s="13" t="s">
        <v>107</v>
      </c>
      <c r="VT2" s="13" t="s">
        <v>175</v>
      </c>
      <c r="VU2" s="13" t="s">
        <v>108</v>
      </c>
      <c r="VV2" s="13" t="s">
        <v>313</v>
      </c>
      <c r="VW2" s="13" t="s">
        <v>316</v>
      </c>
      <c r="VX2" s="13" t="s">
        <v>113</v>
      </c>
      <c r="VY2" s="13" t="s">
        <v>114</v>
      </c>
      <c r="VZ2" s="13" t="s">
        <v>110</v>
      </c>
      <c r="WA2" s="13" t="s">
        <v>111</v>
      </c>
      <c r="WB2" s="13" t="s">
        <v>112</v>
      </c>
      <c r="WC2" s="13" t="s">
        <v>107</v>
      </c>
      <c r="WD2" s="13" t="s">
        <v>175</v>
      </c>
      <c r="WE2" s="13" t="s">
        <v>108</v>
      </c>
      <c r="WF2" s="13" t="s">
        <v>313</v>
      </c>
      <c r="WG2" s="13" t="s">
        <v>316</v>
      </c>
      <c r="WH2" s="13" t="s">
        <v>169</v>
      </c>
      <c r="WI2" s="13" t="s">
        <v>113</v>
      </c>
      <c r="WJ2" s="13" t="s">
        <v>114</v>
      </c>
      <c r="WK2" s="13" t="s">
        <v>110</v>
      </c>
      <c r="WL2" s="13" t="s">
        <v>111</v>
      </c>
      <c r="WM2" s="13" t="s">
        <v>112</v>
      </c>
      <c r="WN2" s="13" t="s">
        <v>107</v>
      </c>
      <c r="WO2" s="13" t="s">
        <v>175</v>
      </c>
      <c r="WP2" s="13" t="s">
        <v>108</v>
      </c>
      <c r="WQ2" s="13" t="s">
        <v>313</v>
      </c>
      <c r="WR2" s="13" t="s">
        <v>316</v>
      </c>
      <c r="WS2" s="13" t="s">
        <v>113</v>
      </c>
      <c r="WT2" s="13" t="s">
        <v>114</v>
      </c>
      <c r="WU2" s="13" t="s">
        <v>110</v>
      </c>
      <c r="WV2" s="13" t="s">
        <v>111</v>
      </c>
      <c r="WW2" s="13" t="s">
        <v>112</v>
      </c>
      <c r="WX2" s="13" t="s">
        <v>107</v>
      </c>
      <c r="WY2" s="13" t="s">
        <v>175</v>
      </c>
      <c r="WZ2" s="13" t="s">
        <v>108</v>
      </c>
      <c r="XA2" s="13" t="s">
        <v>313</v>
      </c>
      <c r="XB2" s="13" t="s">
        <v>316</v>
      </c>
      <c r="XC2" s="13" t="s">
        <v>113</v>
      </c>
      <c r="XD2" s="13" t="s">
        <v>114</v>
      </c>
      <c r="XE2" s="13" t="s">
        <v>110</v>
      </c>
      <c r="XF2" s="13" t="s">
        <v>111</v>
      </c>
      <c r="XG2" s="13" t="s">
        <v>112</v>
      </c>
      <c r="XH2" s="13" t="s">
        <v>107</v>
      </c>
      <c r="XI2" s="13" t="s">
        <v>175</v>
      </c>
      <c r="XJ2" s="13" t="s">
        <v>108</v>
      </c>
      <c r="XK2" s="13" t="s">
        <v>313</v>
      </c>
      <c r="XL2" s="13" t="s">
        <v>316</v>
      </c>
      <c r="XM2" s="13" t="s">
        <v>113</v>
      </c>
      <c r="XN2" s="13" t="s">
        <v>114</v>
      </c>
      <c r="XO2" s="13" t="s">
        <v>110</v>
      </c>
      <c r="XP2" s="13" t="s">
        <v>111</v>
      </c>
      <c r="XQ2" s="13" t="s">
        <v>112</v>
      </c>
      <c r="XR2" s="13" t="s">
        <v>107</v>
      </c>
      <c r="XS2" s="13" t="s">
        <v>175</v>
      </c>
      <c r="XT2" s="13" t="s">
        <v>108</v>
      </c>
      <c r="XU2" s="13" t="s">
        <v>313</v>
      </c>
      <c r="XV2" s="13" t="s">
        <v>316</v>
      </c>
      <c r="XW2" s="13" t="s">
        <v>169</v>
      </c>
      <c r="XX2" s="13" t="s">
        <v>113</v>
      </c>
      <c r="XY2" s="13" t="s">
        <v>114</v>
      </c>
      <c r="XZ2" s="13" t="s">
        <v>110</v>
      </c>
      <c r="YA2" s="13" t="s">
        <v>111</v>
      </c>
      <c r="YB2" s="13" t="s">
        <v>112</v>
      </c>
      <c r="YC2" s="13" t="s">
        <v>107</v>
      </c>
      <c r="YD2" s="13" t="s">
        <v>175</v>
      </c>
      <c r="YE2" s="13" t="s">
        <v>108</v>
      </c>
      <c r="YF2" s="13" t="s">
        <v>313</v>
      </c>
      <c r="YG2" s="13" t="s">
        <v>316</v>
      </c>
      <c r="YH2" s="13" t="s">
        <v>169</v>
      </c>
      <c r="YI2" s="13" t="s">
        <v>113</v>
      </c>
      <c r="YJ2" s="13" t="s">
        <v>114</v>
      </c>
      <c r="YK2" s="13" t="s">
        <v>110</v>
      </c>
      <c r="YL2" s="13" t="s">
        <v>111</v>
      </c>
      <c r="YM2" s="13" t="s">
        <v>112</v>
      </c>
      <c r="YN2" s="13" t="s">
        <v>107</v>
      </c>
      <c r="YO2" s="13" t="s">
        <v>175</v>
      </c>
      <c r="YP2" s="13" t="s">
        <v>108</v>
      </c>
      <c r="YQ2" s="13" t="s">
        <v>313</v>
      </c>
      <c r="YR2" s="13" t="s">
        <v>316</v>
      </c>
      <c r="YS2" s="13" t="s">
        <v>113</v>
      </c>
      <c r="YT2" s="13" t="s">
        <v>114</v>
      </c>
      <c r="YU2" s="13" t="s">
        <v>110</v>
      </c>
      <c r="YV2" s="13" t="s">
        <v>111</v>
      </c>
      <c r="YW2" s="13" t="s">
        <v>112</v>
      </c>
      <c r="YX2" s="13" t="s">
        <v>107</v>
      </c>
      <c r="YY2" s="13" t="s">
        <v>175</v>
      </c>
      <c r="YZ2" s="13" t="s">
        <v>108</v>
      </c>
      <c r="ZA2" s="13" t="s">
        <v>313</v>
      </c>
      <c r="ZB2" s="13" t="s">
        <v>316</v>
      </c>
      <c r="ZC2" s="13" t="s">
        <v>169</v>
      </c>
      <c r="ZD2" s="13" t="s">
        <v>113</v>
      </c>
      <c r="ZE2" s="13" t="s">
        <v>114</v>
      </c>
      <c r="ZF2" s="13" t="s">
        <v>110</v>
      </c>
      <c r="ZG2" s="13" t="s">
        <v>111</v>
      </c>
      <c r="ZH2" s="13" t="s">
        <v>112</v>
      </c>
      <c r="ZI2" s="13" t="s">
        <v>107</v>
      </c>
      <c r="ZJ2" s="13" t="s">
        <v>175</v>
      </c>
      <c r="ZK2" s="13" t="s">
        <v>108</v>
      </c>
      <c r="ZL2" s="13" t="s">
        <v>313</v>
      </c>
      <c r="ZM2" s="13" t="s">
        <v>316</v>
      </c>
      <c r="ZN2" s="13" t="s">
        <v>113</v>
      </c>
      <c r="ZO2" s="13" t="s">
        <v>114</v>
      </c>
      <c r="ZP2" s="13" t="s">
        <v>110</v>
      </c>
      <c r="ZQ2" s="13" t="s">
        <v>111</v>
      </c>
      <c r="ZR2" s="13" t="s">
        <v>850</v>
      </c>
      <c r="ZS2" s="13" t="s">
        <v>112</v>
      </c>
      <c r="ZT2" s="13" t="s">
        <v>107</v>
      </c>
      <c r="ZU2" s="13" t="s">
        <v>175</v>
      </c>
      <c r="ZV2" s="13" t="s">
        <v>108</v>
      </c>
      <c r="ZW2" s="13" t="s">
        <v>313</v>
      </c>
      <c r="ZX2" s="13" t="s">
        <v>316</v>
      </c>
      <c r="ZY2" s="13" t="s">
        <v>113</v>
      </c>
      <c r="ZZ2" s="13" t="s">
        <v>114</v>
      </c>
      <c r="AAA2" s="13" t="s">
        <v>110</v>
      </c>
      <c r="AAB2" s="13" t="s">
        <v>111</v>
      </c>
      <c r="AAC2" s="13" t="s">
        <v>187</v>
      </c>
      <c r="AAD2" s="13" t="s">
        <v>112</v>
      </c>
      <c r="AAE2" s="13" t="s">
        <v>107</v>
      </c>
      <c r="AAF2" s="13" t="s">
        <v>175</v>
      </c>
      <c r="AAG2" s="13" t="s">
        <v>108</v>
      </c>
      <c r="AAH2" s="13" t="s">
        <v>313</v>
      </c>
      <c r="AAI2" s="13" t="s">
        <v>316</v>
      </c>
      <c r="AAJ2" s="13" t="s">
        <v>285</v>
      </c>
      <c r="AAK2" s="13" t="s">
        <v>114</v>
      </c>
      <c r="AAL2" s="13" t="s">
        <v>110</v>
      </c>
      <c r="AAM2" s="13" t="s">
        <v>111</v>
      </c>
      <c r="AAN2" s="13" t="s">
        <v>112</v>
      </c>
      <c r="AAO2" s="13" t="s">
        <v>107</v>
      </c>
      <c r="AAP2" s="13" t="s">
        <v>175</v>
      </c>
      <c r="AAQ2" s="13" t="s">
        <v>108</v>
      </c>
      <c r="AAR2" s="13" t="s">
        <v>313</v>
      </c>
      <c r="AAS2" s="13" t="s">
        <v>316</v>
      </c>
      <c r="AAT2" s="13" t="s">
        <v>1815</v>
      </c>
      <c r="AAU2" s="13" t="s">
        <v>114</v>
      </c>
      <c r="AAV2" s="13" t="s">
        <v>110</v>
      </c>
      <c r="AAW2" s="13" t="s">
        <v>111</v>
      </c>
      <c r="AAX2" s="13" t="s">
        <v>112</v>
      </c>
      <c r="AAY2" s="13" t="s">
        <v>107</v>
      </c>
      <c r="AAZ2" s="13" t="s">
        <v>175</v>
      </c>
      <c r="ABA2" s="13" t="s">
        <v>108</v>
      </c>
      <c r="ABB2" s="13" t="s">
        <v>313</v>
      </c>
      <c r="ABC2" s="13" t="s">
        <v>316</v>
      </c>
      <c r="ABD2" s="13" t="s">
        <v>285</v>
      </c>
      <c r="ABE2" s="13" t="s">
        <v>114</v>
      </c>
      <c r="ABF2" s="13" t="s">
        <v>110</v>
      </c>
      <c r="ABG2" s="13" t="s">
        <v>111</v>
      </c>
      <c r="ABH2" s="13" t="s">
        <v>112</v>
      </c>
      <c r="ABI2" s="13" t="s">
        <v>107</v>
      </c>
      <c r="ABJ2" s="13" t="s">
        <v>175</v>
      </c>
      <c r="ABK2" s="13" t="s">
        <v>108</v>
      </c>
      <c r="ABL2" s="13" t="s">
        <v>313</v>
      </c>
      <c r="ABM2" s="13" t="s">
        <v>316</v>
      </c>
      <c r="ABN2" s="13" t="s">
        <v>285</v>
      </c>
      <c r="ABO2" s="13" t="s">
        <v>114</v>
      </c>
      <c r="ABP2" s="13" t="s">
        <v>110</v>
      </c>
      <c r="ABQ2" s="13" t="s">
        <v>111</v>
      </c>
      <c r="ABR2" s="13" t="s">
        <v>112</v>
      </c>
      <c r="ABS2" s="13" t="s">
        <v>107</v>
      </c>
      <c r="ABT2" s="13" t="s">
        <v>175</v>
      </c>
      <c r="ABU2" s="13" t="s">
        <v>108</v>
      </c>
      <c r="ABV2" s="13" t="s">
        <v>313</v>
      </c>
      <c r="ABW2" s="13" t="s">
        <v>316</v>
      </c>
      <c r="ABX2" s="13" t="s">
        <v>113</v>
      </c>
      <c r="ABY2" s="13" t="s">
        <v>114</v>
      </c>
      <c r="ABZ2" s="13" t="s">
        <v>110</v>
      </c>
      <c r="ACA2" s="13" t="s">
        <v>111</v>
      </c>
      <c r="ACB2" s="13" t="s">
        <v>112</v>
      </c>
      <c r="ACC2" s="13" t="s">
        <v>107</v>
      </c>
      <c r="ACD2" s="13" t="s">
        <v>175</v>
      </c>
      <c r="ACE2" s="13" t="s">
        <v>108</v>
      </c>
      <c r="ACF2" s="13" t="s">
        <v>313</v>
      </c>
      <c r="ACG2" s="13" t="s">
        <v>316</v>
      </c>
      <c r="ACH2" s="13" t="s">
        <v>169</v>
      </c>
      <c r="ACI2" s="13" t="s">
        <v>113</v>
      </c>
      <c r="ACJ2" s="13" t="s">
        <v>114</v>
      </c>
      <c r="ACK2" s="13" t="s">
        <v>110</v>
      </c>
      <c r="ACL2" s="13" t="s">
        <v>111</v>
      </c>
      <c r="ACM2" s="13" t="s">
        <v>112</v>
      </c>
      <c r="ACN2" s="13" t="s">
        <v>107</v>
      </c>
      <c r="ACO2" s="13" t="s">
        <v>175</v>
      </c>
      <c r="ACP2" s="13" t="s">
        <v>108</v>
      </c>
      <c r="ACQ2" s="13" t="s">
        <v>313</v>
      </c>
      <c r="ACR2" s="13" t="s">
        <v>316</v>
      </c>
      <c r="ACS2" s="13" t="s">
        <v>113</v>
      </c>
      <c r="ACT2" s="13" t="s">
        <v>114</v>
      </c>
      <c r="ACU2" s="13" t="s">
        <v>110</v>
      </c>
      <c r="ACV2" s="13" t="s">
        <v>111</v>
      </c>
      <c r="ACW2" s="13" t="s">
        <v>112</v>
      </c>
      <c r="ACX2" s="13" t="s">
        <v>107</v>
      </c>
      <c r="ACY2" s="13" t="s">
        <v>175</v>
      </c>
      <c r="ACZ2" s="13" t="s">
        <v>108</v>
      </c>
      <c r="ADA2" s="13" t="s">
        <v>313</v>
      </c>
      <c r="ADB2" s="13" t="s">
        <v>316</v>
      </c>
      <c r="ADC2" s="13" t="s">
        <v>226</v>
      </c>
      <c r="ADD2" s="13" t="s">
        <v>114</v>
      </c>
      <c r="ADE2" s="13" t="s">
        <v>110</v>
      </c>
      <c r="ADF2" s="13" t="s">
        <v>111</v>
      </c>
      <c r="ADG2" s="13" t="s">
        <v>112</v>
      </c>
      <c r="ADH2" s="13" t="s">
        <v>107</v>
      </c>
      <c r="ADI2" s="13" t="s">
        <v>175</v>
      </c>
      <c r="ADJ2" s="13" t="s">
        <v>108</v>
      </c>
      <c r="ADK2" s="13" t="s">
        <v>313</v>
      </c>
      <c r="ADL2" s="13" t="s">
        <v>316</v>
      </c>
      <c r="ADM2" s="13" t="s">
        <v>113</v>
      </c>
      <c r="ADN2" s="13" t="s">
        <v>114</v>
      </c>
      <c r="ADO2" s="13" t="s">
        <v>110</v>
      </c>
      <c r="ADP2" s="13" t="s">
        <v>111</v>
      </c>
      <c r="ADQ2" s="13" t="s">
        <v>850</v>
      </c>
      <c r="ADR2" s="13" t="s">
        <v>112</v>
      </c>
      <c r="ADS2" s="13" t="s">
        <v>107</v>
      </c>
      <c r="ADT2" s="13" t="s">
        <v>175</v>
      </c>
      <c r="ADU2" s="13" t="s">
        <v>108</v>
      </c>
      <c r="ADV2" s="13" t="s">
        <v>313</v>
      </c>
      <c r="ADW2" s="13" t="s">
        <v>316</v>
      </c>
      <c r="ADX2" s="13" t="s">
        <v>113</v>
      </c>
      <c r="ADY2" s="13" t="s">
        <v>114</v>
      </c>
      <c r="ADZ2" s="13" t="s">
        <v>110</v>
      </c>
      <c r="AEA2" s="13" t="s">
        <v>111</v>
      </c>
      <c r="AEB2" s="13" t="s">
        <v>112</v>
      </c>
      <c r="AEC2" s="13" t="s">
        <v>107</v>
      </c>
      <c r="AED2" s="13" t="s">
        <v>175</v>
      </c>
      <c r="AEE2" s="13" t="s">
        <v>108</v>
      </c>
      <c r="AEF2" s="13" t="s">
        <v>313</v>
      </c>
      <c r="AEG2" s="13" t="s">
        <v>316</v>
      </c>
      <c r="AEH2" s="13" t="s">
        <v>113</v>
      </c>
      <c r="AEI2" s="13" t="s">
        <v>114</v>
      </c>
      <c r="AEJ2" s="13" t="s">
        <v>110</v>
      </c>
      <c r="AEK2" s="13" t="s">
        <v>111</v>
      </c>
      <c r="AEL2" s="13" t="s">
        <v>112</v>
      </c>
      <c r="AEM2" s="13" t="s">
        <v>107</v>
      </c>
      <c r="AEN2" s="13" t="s">
        <v>175</v>
      </c>
      <c r="AEO2" s="13" t="s">
        <v>108</v>
      </c>
      <c r="AEP2" s="13" t="s">
        <v>313</v>
      </c>
      <c r="AEQ2" s="13" t="s">
        <v>316</v>
      </c>
      <c r="AER2" s="13" t="s">
        <v>226</v>
      </c>
      <c r="AES2" s="13" t="s">
        <v>114</v>
      </c>
      <c r="AET2" s="13" t="s">
        <v>110</v>
      </c>
      <c r="AEU2" s="13" t="s">
        <v>111</v>
      </c>
      <c r="AEV2" s="13" t="s">
        <v>112</v>
      </c>
      <c r="AEW2" s="13" t="s">
        <v>107</v>
      </c>
      <c r="AEX2" s="13" t="s">
        <v>175</v>
      </c>
      <c r="AEY2" s="13" t="s">
        <v>108</v>
      </c>
      <c r="AEZ2" s="13" t="s">
        <v>313</v>
      </c>
      <c r="AFA2" s="13" t="s">
        <v>316</v>
      </c>
      <c r="AFB2" s="13" t="s">
        <v>113</v>
      </c>
      <c r="AFC2" s="13" t="s">
        <v>114</v>
      </c>
      <c r="AFD2" s="13" t="s">
        <v>110</v>
      </c>
      <c r="AFE2" s="13" t="s">
        <v>111</v>
      </c>
      <c r="AFF2" s="13" t="s">
        <v>112</v>
      </c>
      <c r="AFG2" s="13" t="s">
        <v>107</v>
      </c>
      <c r="AFH2" s="13" t="s">
        <v>175</v>
      </c>
      <c r="AFI2" s="13" t="s">
        <v>108</v>
      </c>
      <c r="AFJ2" s="13" t="s">
        <v>313</v>
      </c>
      <c r="AFK2" s="13" t="s">
        <v>316</v>
      </c>
      <c r="AFL2" s="13" t="s">
        <v>113</v>
      </c>
      <c r="AFM2" s="13" t="s">
        <v>114</v>
      </c>
      <c r="AFN2" s="13" t="s">
        <v>110</v>
      </c>
      <c r="AFO2" s="13" t="s">
        <v>111</v>
      </c>
      <c r="AFP2" s="13" t="s">
        <v>112</v>
      </c>
      <c r="AFQ2" s="13" t="s">
        <v>107</v>
      </c>
      <c r="AFR2" s="13" t="s">
        <v>175</v>
      </c>
      <c r="AFS2" s="13" t="s">
        <v>108</v>
      </c>
      <c r="AFT2" s="13" t="s">
        <v>313</v>
      </c>
      <c r="AFU2" s="13" t="s">
        <v>316</v>
      </c>
      <c r="AFV2" s="13" t="s">
        <v>113</v>
      </c>
      <c r="AFW2" s="13" t="s">
        <v>114</v>
      </c>
      <c r="AFX2" s="13" t="s">
        <v>110</v>
      </c>
      <c r="AFY2" s="13" t="s">
        <v>111</v>
      </c>
      <c r="AFZ2" s="13" t="s">
        <v>112</v>
      </c>
      <c r="AGA2" s="13" t="s">
        <v>107</v>
      </c>
      <c r="AGB2" s="13" t="s">
        <v>175</v>
      </c>
      <c r="AGC2" s="13" t="s">
        <v>108</v>
      </c>
      <c r="AGD2" s="13" t="s">
        <v>313</v>
      </c>
      <c r="AGE2" s="13" t="s">
        <v>316</v>
      </c>
      <c r="AGF2" s="13" t="s">
        <v>113</v>
      </c>
      <c r="AGG2" s="13" t="s">
        <v>114</v>
      </c>
      <c r="AGH2" s="13" t="s">
        <v>110</v>
      </c>
      <c r="AGI2" s="13" t="s">
        <v>111</v>
      </c>
      <c r="AGJ2" s="13" t="s">
        <v>183</v>
      </c>
      <c r="AGK2" s="13" t="s">
        <v>112</v>
      </c>
      <c r="AGL2" s="13" t="s">
        <v>107</v>
      </c>
      <c r="AGM2" s="13" t="s">
        <v>175</v>
      </c>
      <c r="AGN2" s="13" t="s">
        <v>108</v>
      </c>
      <c r="AGO2" s="13" t="s">
        <v>313</v>
      </c>
      <c r="AGP2" s="13" t="s">
        <v>316</v>
      </c>
      <c r="AGQ2" s="13" t="s">
        <v>226</v>
      </c>
      <c r="AGR2" s="13" t="s">
        <v>114</v>
      </c>
      <c r="AGS2" s="13" t="s">
        <v>110</v>
      </c>
      <c r="AGT2" s="13" t="s">
        <v>111</v>
      </c>
      <c r="AGU2" s="13" t="s">
        <v>112</v>
      </c>
      <c r="AGV2" s="13" t="s">
        <v>107</v>
      </c>
      <c r="AGW2" s="13" t="s">
        <v>175</v>
      </c>
      <c r="AGX2" s="13" t="s">
        <v>108</v>
      </c>
      <c r="AGY2" s="13" t="s">
        <v>313</v>
      </c>
      <c r="AGZ2" s="13" t="s">
        <v>316</v>
      </c>
      <c r="AHA2" s="13" t="s">
        <v>113</v>
      </c>
      <c r="AHB2" s="13" t="s">
        <v>114</v>
      </c>
      <c r="AHC2" s="13" t="s">
        <v>110</v>
      </c>
      <c r="AHD2" s="13" t="s">
        <v>111</v>
      </c>
      <c r="AHE2" s="13" t="s">
        <v>112</v>
      </c>
      <c r="AHF2" s="13" t="s">
        <v>107</v>
      </c>
      <c r="AHG2" s="13" t="s">
        <v>175</v>
      </c>
      <c r="AHH2" s="13" t="s">
        <v>108</v>
      </c>
      <c r="AHI2" s="13" t="s">
        <v>313</v>
      </c>
      <c r="AHJ2" s="13" t="s">
        <v>316</v>
      </c>
      <c r="AHK2" s="13" t="s">
        <v>113</v>
      </c>
      <c r="AHL2" s="13" t="s">
        <v>114</v>
      </c>
      <c r="AHM2" s="13" t="s">
        <v>110</v>
      </c>
      <c r="AHN2" s="13" t="s">
        <v>111</v>
      </c>
      <c r="AHO2" s="13" t="s">
        <v>112</v>
      </c>
      <c r="AHP2" s="13" t="s">
        <v>107</v>
      </c>
      <c r="AHQ2" s="13" t="s">
        <v>175</v>
      </c>
      <c r="AHR2" s="13" t="s">
        <v>108</v>
      </c>
      <c r="AHS2" s="13" t="s">
        <v>313</v>
      </c>
      <c r="AHT2" s="13" t="s">
        <v>316</v>
      </c>
      <c r="AHU2" s="13" t="s">
        <v>113</v>
      </c>
      <c r="AHV2" s="13" t="s">
        <v>114</v>
      </c>
      <c r="AHW2" s="13" t="s">
        <v>110</v>
      </c>
      <c r="AHX2" s="13" t="s">
        <v>111</v>
      </c>
      <c r="AHY2" s="13" t="s">
        <v>112</v>
      </c>
      <c r="AHZ2" s="13" t="s">
        <v>107</v>
      </c>
      <c r="AIA2" s="13" t="s">
        <v>175</v>
      </c>
      <c r="AIB2" s="13" t="s">
        <v>108</v>
      </c>
      <c r="AIC2" s="13" t="s">
        <v>313</v>
      </c>
      <c r="AID2" s="13" t="s">
        <v>316</v>
      </c>
      <c r="AIE2" s="13" t="s">
        <v>113</v>
      </c>
      <c r="AIF2" s="13" t="s">
        <v>114</v>
      </c>
      <c r="AIG2" s="13" t="s">
        <v>110</v>
      </c>
      <c r="AIH2" s="13" t="s">
        <v>111</v>
      </c>
      <c r="AII2" s="13" t="s">
        <v>112</v>
      </c>
      <c r="AIJ2" s="13" t="s">
        <v>107</v>
      </c>
      <c r="AIK2" s="13" t="s">
        <v>175</v>
      </c>
      <c r="AIL2" s="13" t="s">
        <v>108</v>
      </c>
      <c r="AIM2" s="13" t="s">
        <v>313</v>
      </c>
      <c r="AIN2" s="13" t="s">
        <v>316</v>
      </c>
      <c r="AIO2" s="13" t="s">
        <v>113</v>
      </c>
      <c r="AIP2" s="13" t="s">
        <v>114</v>
      </c>
      <c r="AIQ2" s="13" t="s">
        <v>110</v>
      </c>
      <c r="AIR2" s="13" t="s">
        <v>111</v>
      </c>
      <c r="AIS2" s="13" t="s">
        <v>112</v>
      </c>
      <c r="AIT2" s="13" t="s">
        <v>107</v>
      </c>
      <c r="AIU2" s="13" t="s">
        <v>175</v>
      </c>
      <c r="AIV2" s="13" t="s">
        <v>108</v>
      </c>
      <c r="AIW2" s="13" t="s">
        <v>313</v>
      </c>
      <c r="AIX2" s="13" t="s">
        <v>316</v>
      </c>
      <c r="AIY2" s="13" t="s">
        <v>113</v>
      </c>
      <c r="AIZ2" s="13" t="s">
        <v>114</v>
      </c>
      <c r="AJA2" s="13" t="s">
        <v>110</v>
      </c>
      <c r="AJB2" s="13" t="s">
        <v>111</v>
      </c>
      <c r="AJC2" s="13" t="s">
        <v>112</v>
      </c>
      <c r="AJD2" s="13" t="s">
        <v>107</v>
      </c>
      <c r="AJE2" s="13" t="s">
        <v>175</v>
      </c>
      <c r="AJF2" s="13" t="s">
        <v>108</v>
      </c>
      <c r="AJG2" s="13" t="s">
        <v>313</v>
      </c>
      <c r="AJH2" s="13" t="s">
        <v>316</v>
      </c>
      <c r="AJI2" s="13" t="s">
        <v>169</v>
      </c>
      <c r="AJJ2" s="13" t="s">
        <v>113</v>
      </c>
      <c r="AJK2" s="13" t="s">
        <v>114</v>
      </c>
      <c r="AJL2" s="13" t="s">
        <v>110</v>
      </c>
      <c r="AJM2" s="13" t="s">
        <v>111</v>
      </c>
      <c r="AJN2" s="13" t="s">
        <v>112</v>
      </c>
      <c r="AJO2" s="13" t="s">
        <v>107</v>
      </c>
      <c r="AJP2" s="13" t="s">
        <v>175</v>
      </c>
      <c r="AJQ2" s="13" t="s">
        <v>108</v>
      </c>
      <c r="AJR2" s="13" t="s">
        <v>313</v>
      </c>
      <c r="AJS2" s="13" t="s">
        <v>316</v>
      </c>
      <c r="AJT2" s="13" t="s">
        <v>113</v>
      </c>
      <c r="AJU2" s="13" t="s">
        <v>114</v>
      </c>
      <c r="AJV2" s="13" t="s">
        <v>110</v>
      </c>
      <c r="AJW2" s="13" t="s">
        <v>111</v>
      </c>
      <c r="AJX2" s="13" t="s">
        <v>112</v>
      </c>
      <c r="AJY2" s="13" t="s">
        <v>107</v>
      </c>
      <c r="AJZ2" s="13" t="s">
        <v>175</v>
      </c>
      <c r="AKA2" s="13" t="s">
        <v>108</v>
      </c>
      <c r="AKB2" s="13" t="s">
        <v>313</v>
      </c>
      <c r="AKC2" s="13" t="s">
        <v>316</v>
      </c>
      <c r="AKD2" s="13" t="s">
        <v>113</v>
      </c>
      <c r="AKE2" s="13" t="s">
        <v>114</v>
      </c>
      <c r="AKF2" s="13" t="s">
        <v>110</v>
      </c>
      <c r="AKG2" s="13" t="s">
        <v>111</v>
      </c>
      <c r="AKH2" s="13" t="s">
        <v>112</v>
      </c>
      <c r="AKI2" s="13" t="s">
        <v>107</v>
      </c>
      <c r="AKJ2" s="13" t="s">
        <v>175</v>
      </c>
      <c r="AKK2" s="13" t="s">
        <v>108</v>
      </c>
      <c r="AKL2" s="13" t="s">
        <v>313</v>
      </c>
      <c r="AKM2" s="13" t="s">
        <v>316</v>
      </c>
      <c r="AKN2" s="13" t="s">
        <v>113</v>
      </c>
      <c r="AKO2" s="13" t="s">
        <v>114</v>
      </c>
      <c r="AKP2" s="13" t="s">
        <v>110</v>
      </c>
      <c r="AKQ2" s="13" t="s">
        <v>111</v>
      </c>
      <c r="AKR2" s="13" t="s">
        <v>112</v>
      </c>
      <c r="AKS2" s="13" t="s">
        <v>107</v>
      </c>
      <c r="AKT2" s="13" t="s">
        <v>175</v>
      </c>
      <c r="AKU2" s="13" t="s">
        <v>108</v>
      </c>
      <c r="AKV2" s="13" t="s">
        <v>313</v>
      </c>
      <c r="AKW2" s="13" t="s">
        <v>316</v>
      </c>
      <c r="AKX2" s="13" t="s">
        <v>113</v>
      </c>
      <c r="AKY2" s="13" t="s">
        <v>114</v>
      </c>
      <c r="AKZ2" s="13" t="s">
        <v>110</v>
      </c>
      <c r="ALA2" s="13" t="s">
        <v>111</v>
      </c>
      <c r="ALB2" s="13" t="s">
        <v>112</v>
      </c>
      <c r="ALC2" s="13" t="s">
        <v>107</v>
      </c>
      <c r="ALD2" s="13" t="s">
        <v>175</v>
      </c>
      <c r="ALE2" s="13" t="s">
        <v>108</v>
      </c>
      <c r="ALF2" s="13" t="s">
        <v>313</v>
      </c>
      <c r="ALG2" s="13" t="s">
        <v>316</v>
      </c>
      <c r="ALH2" s="13" t="s">
        <v>113</v>
      </c>
      <c r="ALI2" s="13" t="s">
        <v>114</v>
      </c>
      <c r="ALJ2" s="13" t="s">
        <v>110</v>
      </c>
      <c r="ALK2" s="13" t="s">
        <v>111</v>
      </c>
      <c r="ALL2" s="13" t="s">
        <v>112</v>
      </c>
      <c r="ALM2" s="13" t="s">
        <v>107</v>
      </c>
      <c r="ALN2" s="13" t="s">
        <v>175</v>
      </c>
      <c r="ALO2" s="13" t="s">
        <v>108</v>
      </c>
      <c r="ALP2" s="13" t="s">
        <v>313</v>
      </c>
      <c r="ALQ2" s="13" t="s">
        <v>316</v>
      </c>
      <c r="ALR2" s="13" t="s">
        <v>113</v>
      </c>
      <c r="ALS2" s="13" t="s">
        <v>114</v>
      </c>
      <c r="ALT2" s="13" t="s">
        <v>110</v>
      </c>
      <c r="ALU2" s="13" t="s">
        <v>111</v>
      </c>
      <c r="ALV2" s="13" t="s">
        <v>112</v>
      </c>
      <c r="ALW2" s="13" t="s">
        <v>107</v>
      </c>
      <c r="ALX2" s="13" t="s">
        <v>175</v>
      </c>
      <c r="ALY2" s="13" t="s">
        <v>108</v>
      </c>
      <c r="ALZ2" s="13" t="s">
        <v>313</v>
      </c>
      <c r="AMA2" s="13" t="s">
        <v>316</v>
      </c>
      <c r="AMB2" s="13" t="s">
        <v>113</v>
      </c>
      <c r="AMC2" s="13" t="s">
        <v>114</v>
      </c>
      <c r="AMD2" s="13" t="s">
        <v>110</v>
      </c>
      <c r="AME2" s="13" t="s">
        <v>111</v>
      </c>
      <c r="AMF2" s="13" t="s">
        <v>112</v>
      </c>
      <c r="AMG2" s="13" t="s">
        <v>107</v>
      </c>
      <c r="AMH2" s="13" t="s">
        <v>175</v>
      </c>
      <c r="AMI2" s="13" t="s">
        <v>108</v>
      </c>
      <c r="AMJ2" s="13" t="s">
        <v>313</v>
      </c>
      <c r="AMK2" s="13" t="s">
        <v>316</v>
      </c>
      <c r="AML2" s="13" t="s">
        <v>113</v>
      </c>
      <c r="AMM2" s="13" t="s">
        <v>114</v>
      </c>
      <c r="AMN2" s="13" t="s">
        <v>110</v>
      </c>
      <c r="AMO2" s="13" t="s">
        <v>111</v>
      </c>
      <c r="AMP2" s="13" t="s">
        <v>112</v>
      </c>
      <c r="AMQ2" s="13" t="s">
        <v>107</v>
      </c>
      <c r="AMR2" s="13" t="s">
        <v>175</v>
      </c>
      <c r="AMS2" s="13" t="s">
        <v>108</v>
      </c>
      <c r="AMT2" s="13" t="s">
        <v>313</v>
      </c>
      <c r="AMU2" s="13" t="s">
        <v>316</v>
      </c>
      <c r="AMV2" s="13" t="s">
        <v>113</v>
      </c>
      <c r="AMW2" s="13" t="s">
        <v>114</v>
      </c>
      <c r="AMX2" s="13" t="s">
        <v>110</v>
      </c>
      <c r="AMY2" s="13" t="s">
        <v>111</v>
      </c>
      <c r="AMZ2" s="13" t="s">
        <v>112</v>
      </c>
      <c r="ANA2" s="13" t="s">
        <v>107</v>
      </c>
      <c r="ANB2" s="13" t="s">
        <v>175</v>
      </c>
      <c r="ANC2" s="13" t="s">
        <v>108</v>
      </c>
      <c r="AND2" s="13" t="s">
        <v>313</v>
      </c>
      <c r="ANE2" s="13" t="s">
        <v>316</v>
      </c>
      <c r="ANF2" s="13" t="s">
        <v>113</v>
      </c>
      <c r="ANG2" s="13" t="s">
        <v>114</v>
      </c>
      <c r="ANH2" s="13" t="s">
        <v>110</v>
      </c>
      <c r="ANI2" s="13" t="s">
        <v>111</v>
      </c>
      <c r="ANJ2" s="13" t="s">
        <v>112</v>
      </c>
      <c r="ANK2" s="13" t="s">
        <v>107</v>
      </c>
      <c r="ANL2" s="13" t="s">
        <v>175</v>
      </c>
      <c r="ANM2" s="13" t="s">
        <v>108</v>
      </c>
      <c r="ANN2" s="13" t="s">
        <v>313</v>
      </c>
      <c r="ANO2" s="13" t="s">
        <v>316</v>
      </c>
      <c r="ANP2" s="13" t="s">
        <v>113</v>
      </c>
      <c r="ANQ2" s="13" t="s">
        <v>114</v>
      </c>
      <c r="ANR2" s="13" t="s">
        <v>110</v>
      </c>
      <c r="ANS2" s="13" t="s">
        <v>111</v>
      </c>
      <c r="ANT2" s="13" t="s">
        <v>112</v>
      </c>
      <c r="ANU2" s="13" t="s">
        <v>107</v>
      </c>
      <c r="ANV2" s="13" t="s">
        <v>175</v>
      </c>
      <c r="ANW2" s="13" t="s">
        <v>108</v>
      </c>
      <c r="ANX2" s="13" t="s">
        <v>313</v>
      </c>
      <c r="ANY2" s="13" t="s">
        <v>316</v>
      </c>
      <c r="ANZ2" s="13" t="s">
        <v>113</v>
      </c>
      <c r="AOA2" s="13" t="s">
        <v>114</v>
      </c>
      <c r="AOB2" s="13" t="s">
        <v>110</v>
      </c>
      <c r="AOC2" s="13" t="s">
        <v>111</v>
      </c>
      <c r="AOD2" s="13" t="s">
        <v>112</v>
      </c>
      <c r="AOE2" s="13" t="s">
        <v>430</v>
      </c>
      <c r="AOF2" s="13" t="s">
        <v>107</v>
      </c>
      <c r="AOG2" s="13" t="s">
        <v>175</v>
      </c>
      <c r="AOH2" s="13" t="s">
        <v>108</v>
      </c>
      <c r="AOI2" s="13" t="s">
        <v>313</v>
      </c>
      <c r="AOJ2" s="13" t="s">
        <v>316</v>
      </c>
      <c r="AOK2" s="13" t="s">
        <v>169</v>
      </c>
      <c r="AOL2" s="13" t="s">
        <v>113</v>
      </c>
      <c r="AOM2" s="13" t="s">
        <v>114</v>
      </c>
      <c r="AON2" s="13" t="s">
        <v>110</v>
      </c>
      <c r="AOO2" s="13" t="s">
        <v>111</v>
      </c>
      <c r="AOP2" s="13" t="s">
        <v>112</v>
      </c>
      <c r="AOQ2" s="13" t="s">
        <v>107</v>
      </c>
      <c r="AOR2" s="13" t="s">
        <v>175</v>
      </c>
      <c r="AOS2" s="13" t="s">
        <v>108</v>
      </c>
      <c r="AOT2" s="13" t="s">
        <v>313</v>
      </c>
      <c r="AOU2" s="13" t="s">
        <v>316</v>
      </c>
      <c r="AOV2" s="13" t="s">
        <v>113</v>
      </c>
      <c r="AOW2" s="13" t="s">
        <v>114</v>
      </c>
      <c r="AOX2" s="13" t="s">
        <v>110</v>
      </c>
      <c r="AOY2" s="13" t="s">
        <v>111</v>
      </c>
      <c r="AOZ2" s="13" t="s">
        <v>112</v>
      </c>
      <c r="APA2" s="13" t="s">
        <v>107</v>
      </c>
      <c r="APB2" s="13" t="s">
        <v>175</v>
      </c>
      <c r="APC2" s="13" t="s">
        <v>108</v>
      </c>
      <c r="APD2" s="13" t="s">
        <v>313</v>
      </c>
      <c r="APE2" s="13" t="s">
        <v>316</v>
      </c>
      <c r="APF2" s="13" t="s">
        <v>113</v>
      </c>
      <c r="APG2" s="13" t="s">
        <v>114</v>
      </c>
      <c r="APH2" s="13" t="s">
        <v>110</v>
      </c>
      <c r="API2" s="13" t="s">
        <v>111</v>
      </c>
      <c r="APJ2" s="13" t="s">
        <v>112</v>
      </c>
      <c r="APK2" s="13" t="s">
        <v>107</v>
      </c>
      <c r="APL2" s="13" t="s">
        <v>175</v>
      </c>
      <c r="APM2" s="13" t="s">
        <v>108</v>
      </c>
      <c r="APN2" s="13" t="s">
        <v>313</v>
      </c>
      <c r="APO2" s="13" t="s">
        <v>316</v>
      </c>
      <c r="APP2" s="13" t="s">
        <v>113</v>
      </c>
      <c r="APQ2" s="13" t="s">
        <v>114</v>
      </c>
      <c r="APR2" s="13" t="s">
        <v>110</v>
      </c>
      <c r="APS2" s="13" t="s">
        <v>111</v>
      </c>
      <c r="APT2" s="13" t="s">
        <v>112</v>
      </c>
      <c r="APU2" s="13" t="s">
        <v>107</v>
      </c>
      <c r="APV2" s="13" t="s">
        <v>175</v>
      </c>
      <c r="APW2" s="13" t="s">
        <v>108</v>
      </c>
      <c r="APX2" s="13" t="s">
        <v>313</v>
      </c>
      <c r="APY2" s="13" t="s">
        <v>316</v>
      </c>
      <c r="APZ2" s="13" t="s">
        <v>113</v>
      </c>
      <c r="AQA2" s="13" t="s">
        <v>114</v>
      </c>
      <c r="AQB2" s="13" t="s">
        <v>110</v>
      </c>
      <c r="AQC2" s="13" t="s">
        <v>111</v>
      </c>
      <c r="AQD2" s="13" t="s">
        <v>112</v>
      </c>
      <c r="AQE2" s="13" t="s">
        <v>107</v>
      </c>
      <c r="AQF2" s="13" t="s">
        <v>175</v>
      </c>
      <c r="AQG2" s="13" t="s">
        <v>108</v>
      </c>
      <c r="AQH2" s="13" t="s">
        <v>313</v>
      </c>
      <c r="AQI2" s="13" t="s">
        <v>316</v>
      </c>
      <c r="AQJ2" s="13" t="s">
        <v>113</v>
      </c>
      <c r="AQK2" s="13" t="s">
        <v>114</v>
      </c>
      <c r="AQL2" s="13" t="s">
        <v>110</v>
      </c>
      <c r="AQM2" s="13" t="s">
        <v>111</v>
      </c>
      <c r="AQN2" s="13" t="s">
        <v>112</v>
      </c>
      <c r="AQO2" s="13" t="s">
        <v>107</v>
      </c>
      <c r="AQP2" s="13" t="s">
        <v>175</v>
      </c>
      <c r="AQQ2" s="13" t="s">
        <v>108</v>
      </c>
      <c r="AQR2" s="13" t="s">
        <v>313</v>
      </c>
      <c r="AQS2" s="13" t="s">
        <v>316</v>
      </c>
      <c r="AQT2" s="13" t="s">
        <v>113</v>
      </c>
      <c r="AQU2" s="13" t="s">
        <v>114</v>
      </c>
      <c r="AQV2" s="13" t="s">
        <v>110</v>
      </c>
      <c r="AQW2" s="13" t="s">
        <v>111</v>
      </c>
      <c r="AQX2" s="13" t="s">
        <v>112</v>
      </c>
      <c r="AQY2" s="13" t="s">
        <v>107</v>
      </c>
      <c r="AQZ2" s="13" t="s">
        <v>175</v>
      </c>
      <c r="ARA2" s="13" t="s">
        <v>108</v>
      </c>
      <c r="ARB2" s="13" t="s">
        <v>313</v>
      </c>
      <c r="ARC2" s="13" t="s">
        <v>316</v>
      </c>
      <c r="ARD2" s="13" t="s">
        <v>113</v>
      </c>
      <c r="ARE2" s="13" t="s">
        <v>114</v>
      </c>
      <c r="ARF2" s="13" t="s">
        <v>110</v>
      </c>
      <c r="ARG2" s="13" t="s">
        <v>111</v>
      </c>
      <c r="ARH2" s="13" t="s">
        <v>112</v>
      </c>
      <c r="ARI2" s="13" t="s">
        <v>107</v>
      </c>
      <c r="ARJ2" s="13" t="s">
        <v>175</v>
      </c>
      <c r="ARK2" s="13" t="s">
        <v>108</v>
      </c>
      <c r="ARL2" s="13" t="s">
        <v>313</v>
      </c>
      <c r="ARM2" s="13" t="s">
        <v>316</v>
      </c>
      <c r="ARN2" s="13" t="s">
        <v>169</v>
      </c>
      <c r="ARO2" s="13" t="s">
        <v>113</v>
      </c>
      <c r="ARP2" s="13" t="s">
        <v>114</v>
      </c>
      <c r="ARQ2" s="13" t="s">
        <v>110</v>
      </c>
      <c r="ARR2" s="13" t="s">
        <v>111</v>
      </c>
      <c r="ARS2" s="13" t="s">
        <v>112</v>
      </c>
      <c r="ART2" s="13" t="s">
        <v>107</v>
      </c>
      <c r="ARU2" s="13" t="s">
        <v>175</v>
      </c>
      <c r="ARV2" s="13" t="s">
        <v>108</v>
      </c>
      <c r="ARW2" s="13" t="s">
        <v>313</v>
      </c>
      <c r="ARX2" s="13" t="s">
        <v>316</v>
      </c>
      <c r="ARY2" s="13" t="s">
        <v>169</v>
      </c>
      <c r="ARZ2" s="13" t="s">
        <v>113</v>
      </c>
      <c r="ASA2" s="13" t="s">
        <v>114</v>
      </c>
      <c r="ASB2" s="13" t="s">
        <v>110</v>
      </c>
      <c r="ASC2" s="13" t="s">
        <v>111</v>
      </c>
      <c r="ASD2" s="13" t="s">
        <v>112</v>
      </c>
      <c r="ASE2" s="13" t="s">
        <v>107</v>
      </c>
      <c r="ASF2" s="13" t="s">
        <v>175</v>
      </c>
      <c r="ASG2" s="13" t="s">
        <v>108</v>
      </c>
      <c r="ASH2" s="13" t="s">
        <v>313</v>
      </c>
      <c r="ASI2" s="13" t="s">
        <v>316</v>
      </c>
      <c r="ASJ2" s="13" t="s">
        <v>169</v>
      </c>
      <c r="ASK2" s="13" t="s">
        <v>113</v>
      </c>
      <c r="ASL2" s="13" t="s">
        <v>114</v>
      </c>
      <c r="ASM2" s="13" t="s">
        <v>110</v>
      </c>
      <c r="ASN2" s="13" t="s">
        <v>111</v>
      </c>
      <c r="ASO2" s="13" t="s">
        <v>112</v>
      </c>
      <c r="ASP2" s="13" t="s">
        <v>107</v>
      </c>
      <c r="ASQ2" s="13" t="s">
        <v>175</v>
      </c>
      <c r="ASR2" s="13" t="s">
        <v>108</v>
      </c>
      <c r="ASS2" s="13" t="s">
        <v>313</v>
      </c>
      <c r="AST2" s="13" t="s">
        <v>316</v>
      </c>
      <c r="ASU2" s="13" t="s">
        <v>113</v>
      </c>
      <c r="ASV2" s="13" t="s">
        <v>114</v>
      </c>
      <c r="ASW2" s="13" t="s">
        <v>110</v>
      </c>
      <c r="ASX2" s="13" t="s">
        <v>111</v>
      </c>
      <c r="ASY2" s="13" t="s">
        <v>112</v>
      </c>
      <c r="ASZ2" s="13" t="s">
        <v>107</v>
      </c>
      <c r="ATA2" s="13" t="s">
        <v>175</v>
      </c>
      <c r="ATB2" s="13" t="s">
        <v>108</v>
      </c>
      <c r="ATC2" s="13" t="s">
        <v>313</v>
      </c>
      <c r="ATD2" s="13" t="s">
        <v>316</v>
      </c>
      <c r="ATE2" s="13" t="s">
        <v>113</v>
      </c>
      <c r="ATF2" s="13" t="s">
        <v>114</v>
      </c>
      <c r="ATG2" s="13" t="s">
        <v>110</v>
      </c>
      <c r="ATH2" s="13" t="s">
        <v>111</v>
      </c>
      <c r="ATI2" s="13" t="s">
        <v>112</v>
      </c>
      <c r="ATJ2" s="13" t="s">
        <v>107</v>
      </c>
      <c r="ATK2" s="13" t="s">
        <v>175</v>
      </c>
      <c r="ATL2" s="13" t="s">
        <v>108</v>
      </c>
      <c r="ATM2" s="13" t="s">
        <v>313</v>
      </c>
      <c r="ATN2" s="13" t="s">
        <v>316</v>
      </c>
      <c r="ATO2" s="13" t="s">
        <v>113</v>
      </c>
      <c r="ATP2" s="13" t="s">
        <v>114</v>
      </c>
      <c r="ATQ2" s="13" t="s">
        <v>110</v>
      </c>
      <c r="ATR2" s="13" t="s">
        <v>111</v>
      </c>
      <c r="ATS2" s="13" t="s">
        <v>112</v>
      </c>
      <c r="ATT2" s="13" t="s">
        <v>107</v>
      </c>
      <c r="ATU2" s="13" t="s">
        <v>175</v>
      </c>
      <c r="ATV2" s="13" t="s">
        <v>108</v>
      </c>
      <c r="ATW2" s="13" t="s">
        <v>313</v>
      </c>
      <c r="ATX2" s="13" t="s">
        <v>316</v>
      </c>
      <c r="ATY2" s="13" t="s">
        <v>113</v>
      </c>
      <c r="ATZ2" s="13" t="s">
        <v>114</v>
      </c>
      <c r="AUA2" s="13" t="s">
        <v>110</v>
      </c>
      <c r="AUB2" s="13" t="s">
        <v>111</v>
      </c>
      <c r="AUC2" s="13" t="s">
        <v>112</v>
      </c>
      <c r="AUD2" s="13" t="s">
        <v>107</v>
      </c>
      <c r="AUE2" s="13" t="s">
        <v>175</v>
      </c>
      <c r="AUF2" s="13" t="s">
        <v>108</v>
      </c>
      <c r="AUG2" s="13" t="s">
        <v>313</v>
      </c>
      <c r="AUH2" s="13" t="s">
        <v>316</v>
      </c>
      <c r="AUI2" s="13" t="s">
        <v>169</v>
      </c>
      <c r="AUJ2" s="13" t="s">
        <v>113</v>
      </c>
      <c r="AUK2" s="13" t="s">
        <v>114</v>
      </c>
      <c r="AUL2" s="13" t="s">
        <v>110</v>
      </c>
      <c r="AUM2" s="13" t="s">
        <v>111</v>
      </c>
      <c r="AUN2" s="13" t="s">
        <v>112</v>
      </c>
      <c r="AUO2" s="13" t="s">
        <v>107</v>
      </c>
      <c r="AUP2" s="13" t="s">
        <v>175</v>
      </c>
      <c r="AUQ2" s="13" t="s">
        <v>108</v>
      </c>
      <c r="AUR2" s="13" t="s">
        <v>313</v>
      </c>
      <c r="AUS2" s="13" t="s">
        <v>316</v>
      </c>
      <c r="AUT2" s="13" t="s">
        <v>113</v>
      </c>
      <c r="AUU2" s="13" t="s">
        <v>114</v>
      </c>
      <c r="AUV2" s="13" t="s">
        <v>110</v>
      </c>
      <c r="AUW2" s="13" t="s">
        <v>111</v>
      </c>
      <c r="AUX2" s="13" t="s">
        <v>112</v>
      </c>
      <c r="AUY2" s="13" t="s">
        <v>107</v>
      </c>
      <c r="AUZ2" s="13" t="s">
        <v>175</v>
      </c>
      <c r="AVA2" s="13" t="s">
        <v>108</v>
      </c>
      <c r="AVB2" s="13" t="s">
        <v>313</v>
      </c>
      <c r="AVC2" s="13" t="s">
        <v>316</v>
      </c>
      <c r="AVD2" s="13" t="s">
        <v>113</v>
      </c>
      <c r="AVE2" s="13" t="s">
        <v>114</v>
      </c>
      <c r="AVF2" s="13" t="s">
        <v>110</v>
      </c>
      <c r="AVG2" s="13" t="s">
        <v>111</v>
      </c>
      <c r="AVH2" s="13" t="s">
        <v>112</v>
      </c>
      <c r="AVI2" s="13" t="s">
        <v>384</v>
      </c>
      <c r="AVJ2" s="13" t="s">
        <v>107</v>
      </c>
      <c r="AVK2" s="13" t="s">
        <v>175</v>
      </c>
      <c r="AVL2" s="13" t="s">
        <v>108</v>
      </c>
      <c r="AVM2" s="13" t="s">
        <v>313</v>
      </c>
      <c r="AVN2" s="13" t="s">
        <v>316</v>
      </c>
      <c r="AVO2" s="13" t="s">
        <v>113</v>
      </c>
      <c r="AVP2" s="13" t="s">
        <v>114</v>
      </c>
      <c r="AVQ2" s="13" t="s">
        <v>110</v>
      </c>
      <c r="AVR2" s="13" t="s">
        <v>111</v>
      </c>
      <c r="AVS2" s="13" t="s">
        <v>112</v>
      </c>
      <c r="AVT2" s="13" t="s">
        <v>107</v>
      </c>
      <c r="AVU2" s="13" t="s">
        <v>175</v>
      </c>
      <c r="AVV2" s="13" t="s">
        <v>108</v>
      </c>
      <c r="AVW2" s="13" t="s">
        <v>313</v>
      </c>
      <c r="AVX2" s="13" t="s">
        <v>316</v>
      </c>
      <c r="AVY2" s="13" t="s">
        <v>113</v>
      </c>
      <c r="AVZ2" s="13" t="s">
        <v>114</v>
      </c>
      <c r="AWA2" s="13" t="s">
        <v>110</v>
      </c>
      <c r="AWB2" s="13" t="s">
        <v>111</v>
      </c>
      <c r="AWC2" s="13" t="s">
        <v>112</v>
      </c>
      <c r="AWD2" s="13" t="s">
        <v>107</v>
      </c>
      <c r="AWE2" s="13" t="s">
        <v>175</v>
      </c>
      <c r="AWF2" s="13" t="s">
        <v>108</v>
      </c>
      <c r="AWG2" s="13" t="s">
        <v>313</v>
      </c>
      <c r="AWH2" s="13" t="s">
        <v>316</v>
      </c>
      <c r="AWI2" s="13" t="s">
        <v>320</v>
      </c>
      <c r="AWJ2" s="13" t="s">
        <v>114</v>
      </c>
      <c r="AWK2" s="13" t="s">
        <v>110</v>
      </c>
      <c r="AWL2" s="13" t="s">
        <v>111</v>
      </c>
      <c r="AWM2" s="13" t="s">
        <v>112</v>
      </c>
      <c r="AWN2" s="13" t="s">
        <v>107</v>
      </c>
      <c r="AWO2" s="13" t="s">
        <v>175</v>
      </c>
      <c r="AWP2" s="13" t="s">
        <v>108</v>
      </c>
      <c r="AWQ2" s="13" t="s">
        <v>313</v>
      </c>
      <c r="AWR2" s="13" t="s">
        <v>316</v>
      </c>
      <c r="AWS2" s="13" t="s">
        <v>113</v>
      </c>
      <c r="AWT2" s="13" t="s">
        <v>114</v>
      </c>
      <c r="AWU2" s="13" t="s">
        <v>110</v>
      </c>
      <c r="AWV2" s="13" t="s">
        <v>111</v>
      </c>
      <c r="AWW2" s="13" t="s">
        <v>112</v>
      </c>
      <c r="AWX2" s="13" t="s">
        <v>107</v>
      </c>
      <c r="AWY2" s="13" t="s">
        <v>175</v>
      </c>
      <c r="AWZ2" s="13" t="s">
        <v>108</v>
      </c>
      <c r="AXA2" s="13" t="s">
        <v>313</v>
      </c>
      <c r="AXB2" s="13" t="s">
        <v>316</v>
      </c>
      <c r="AXC2" s="13" t="s">
        <v>113</v>
      </c>
      <c r="AXD2" s="13" t="s">
        <v>114</v>
      </c>
      <c r="AXE2" s="13" t="s">
        <v>110</v>
      </c>
      <c r="AXF2" s="13" t="s">
        <v>111</v>
      </c>
      <c r="AXG2" s="13" t="s">
        <v>1217</v>
      </c>
      <c r="AXH2" s="13" t="s">
        <v>107</v>
      </c>
      <c r="AXI2" s="13" t="s">
        <v>175</v>
      </c>
      <c r="AXJ2" s="13" t="s">
        <v>108</v>
      </c>
      <c r="AXK2" s="13" t="s">
        <v>313</v>
      </c>
      <c r="AXL2" s="13" t="s">
        <v>316</v>
      </c>
      <c r="AXM2" s="13" t="s">
        <v>113</v>
      </c>
      <c r="AXN2" s="13" t="s">
        <v>114</v>
      </c>
      <c r="AXO2" s="13" t="s">
        <v>110</v>
      </c>
      <c r="AXP2" s="13" t="s">
        <v>111</v>
      </c>
      <c r="AXQ2" s="13" t="s">
        <v>112</v>
      </c>
      <c r="AXR2" s="13" t="s">
        <v>1472</v>
      </c>
      <c r="AXS2" s="13" t="s">
        <v>107</v>
      </c>
      <c r="AXT2" s="13" t="s">
        <v>175</v>
      </c>
      <c r="AXU2" s="13" t="s">
        <v>108</v>
      </c>
      <c r="AXV2" s="13" t="s">
        <v>313</v>
      </c>
      <c r="AXW2" s="13" t="s">
        <v>316</v>
      </c>
      <c r="AXX2" s="13" t="s">
        <v>169</v>
      </c>
      <c r="AXY2" s="13" t="s">
        <v>113</v>
      </c>
      <c r="AXZ2" s="13" t="s">
        <v>114</v>
      </c>
      <c r="AYA2" s="13" t="s">
        <v>110</v>
      </c>
      <c r="AYB2" s="13" t="s">
        <v>111</v>
      </c>
      <c r="AYC2" s="13" t="s">
        <v>112</v>
      </c>
      <c r="AYD2" s="13" t="s">
        <v>107</v>
      </c>
      <c r="AYE2" s="13" t="s">
        <v>175</v>
      </c>
      <c r="AYF2" s="13" t="s">
        <v>108</v>
      </c>
      <c r="AYG2" s="13" t="s">
        <v>313</v>
      </c>
      <c r="AYH2" s="13" t="s">
        <v>316</v>
      </c>
      <c r="AYI2" s="13" t="s">
        <v>169</v>
      </c>
      <c r="AYJ2" s="13" t="s">
        <v>113</v>
      </c>
      <c r="AYK2" s="13" t="s">
        <v>114</v>
      </c>
      <c r="AYL2" s="13" t="s">
        <v>110</v>
      </c>
      <c r="AYM2" s="13" t="s">
        <v>111</v>
      </c>
      <c r="AYN2" s="13" t="s">
        <v>112</v>
      </c>
      <c r="AYO2" s="13" t="s">
        <v>107</v>
      </c>
      <c r="AYP2" s="13" t="s">
        <v>175</v>
      </c>
      <c r="AYQ2" s="13" t="s">
        <v>108</v>
      </c>
      <c r="AYR2" s="13" t="s">
        <v>313</v>
      </c>
      <c r="AYS2" s="13" t="s">
        <v>316</v>
      </c>
      <c r="AYT2" s="13" t="s">
        <v>113</v>
      </c>
      <c r="AYU2" s="13" t="s">
        <v>114</v>
      </c>
      <c r="AYV2" s="13" t="s">
        <v>110</v>
      </c>
      <c r="AYW2" s="13" t="s">
        <v>111</v>
      </c>
      <c r="AYX2" s="13" t="s">
        <v>112</v>
      </c>
      <c r="AYY2" s="13" t="s">
        <v>107</v>
      </c>
      <c r="AYZ2" s="13" t="s">
        <v>175</v>
      </c>
      <c r="AZA2" s="13" t="s">
        <v>108</v>
      </c>
      <c r="AZB2" s="13" t="s">
        <v>313</v>
      </c>
      <c r="AZC2" s="13" t="s">
        <v>316</v>
      </c>
      <c r="AZD2" s="13" t="s">
        <v>322</v>
      </c>
      <c r="AZE2" s="13" t="s">
        <v>114</v>
      </c>
      <c r="AZF2" s="13" t="s">
        <v>110</v>
      </c>
      <c r="AZG2" s="13" t="s">
        <v>111</v>
      </c>
      <c r="AZH2" s="13" t="s">
        <v>112</v>
      </c>
      <c r="AZI2" s="13" t="s">
        <v>107</v>
      </c>
      <c r="AZJ2" s="13" t="s">
        <v>175</v>
      </c>
      <c r="AZK2" s="13" t="s">
        <v>108</v>
      </c>
      <c r="AZL2" s="13" t="s">
        <v>313</v>
      </c>
      <c r="AZM2" s="13" t="s">
        <v>316</v>
      </c>
      <c r="AZN2" s="13" t="s">
        <v>113</v>
      </c>
      <c r="AZO2" s="13" t="s">
        <v>114</v>
      </c>
      <c r="AZP2" s="13" t="s">
        <v>110</v>
      </c>
      <c r="AZQ2" s="13" t="s">
        <v>111</v>
      </c>
      <c r="AZR2" s="13" t="s">
        <v>112</v>
      </c>
      <c r="AZS2" s="13" t="s">
        <v>107</v>
      </c>
      <c r="AZT2" s="13" t="s">
        <v>175</v>
      </c>
      <c r="AZU2" s="13" t="s">
        <v>108</v>
      </c>
      <c r="AZV2" s="13" t="s">
        <v>313</v>
      </c>
      <c r="AZW2" s="13" t="s">
        <v>316</v>
      </c>
      <c r="AZX2" s="13" t="s">
        <v>113</v>
      </c>
      <c r="AZY2" s="13" t="s">
        <v>114</v>
      </c>
      <c r="AZZ2" s="13" t="s">
        <v>110</v>
      </c>
      <c r="BAA2" s="13" t="s">
        <v>111</v>
      </c>
      <c r="BAB2" s="13" t="s">
        <v>112</v>
      </c>
      <c r="BAC2" s="13" t="s">
        <v>107</v>
      </c>
      <c r="BAD2" s="13" t="s">
        <v>175</v>
      </c>
      <c r="BAE2" s="13" t="s">
        <v>108</v>
      </c>
      <c r="BAF2" s="13" t="s">
        <v>313</v>
      </c>
      <c r="BAG2" s="13" t="s">
        <v>316</v>
      </c>
      <c r="BAH2" s="13" t="s">
        <v>113</v>
      </c>
      <c r="BAI2" s="13" t="s">
        <v>114</v>
      </c>
      <c r="BAJ2" s="13" t="s">
        <v>110</v>
      </c>
      <c r="BAK2" s="13" t="s">
        <v>111</v>
      </c>
      <c r="BAL2" s="13" t="s">
        <v>112</v>
      </c>
      <c r="BAM2" s="13" t="s">
        <v>107</v>
      </c>
      <c r="BAN2" s="13" t="s">
        <v>175</v>
      </c>
      <c r="BAO2" s="13" t="s">
        <v>108</v>
      </c>
      <c r="BAP2" s="13" t="s">
        <v>313</v>
      </c>
      <c r="BAQ2" s="13" t="s">
        <v>316</v>
      </c>
      <c r="BAR2" s="13" t="s">
        <v>314</v>
      </c>
      <c r="BAS2" s="13" t="s">
        <v>114</v>
      </c>
      <c r="BAT2" s="13" t="s">
        <v>110</v>
      </c>
      <c r="BAU2" s="13" t="s">
        <v>111</v>
      </c>
      <c r="BAV2" s="13" t="s">
        <v>112</v>
      </c>
      <c r="BAW2" s="13" t="s">
        <v>107</v>
      </c>
      <c r="BAX2" s="13" t="s">
        <v>175</v>
      </c>
      <c r="BAY2" s="13" t="s">
        <v>108</v>
      </c>
      <c r="BAZ2" s="13" t="s">
        <v>313</v>
      </c>
      <c r="BBA2" s="13" t="s">
        <v>316</v>
      </c>
      <c r="BBB2" s="13" t="s">
        <v>314</v>
      </c>
      <c r="BBC2" s="13" t="s">
        <v>114</v>
      </c>
      <c r="BBD2" s="13" t="s">
        <v>110</v>
      </c>
      <c r="BBE2" s="13" t="s">
        <v>111</v>
      </c>
      <c r="BBF2" s="13" t="s">
        <v>112</v>
      </c>
      <c r="BBG2" s="13" t="s">
        <v>107</v>
      </c>
      <c r="BBH2" s="13" t="s">
        <v>175</v>
      </c>
      <c r="BBI2" s="13" t="s">
        <v>108</v>
      </c>
      <c r="BBJ2" s="13" t="s">
        <v>313</v>
      </c>
      <c r="BBK2" s="13" t="s">
        <v>316</v>
      </c>
      <c r="BBL2" s="13" t="s">
        <v>113</v>
      </c>
      <c r="BBM2" s="13" t="s">
        <v>114</v>
      </c>
      <c r="BBN2" s="13" t="s">
        <v>110</v>
      </c>
      <c r="BBO2" s="13" t="s">
        <v>111</v>
      </c>
      <c r="BBP2" s="13" t="s">
        <v>112</v>
      </c>
      <c r="BBQ2" s="13" t="s">
        <v>107</v>
      </c>
      <c r="BBR2" s="13" t="s">
        <v>175</v>
      </c>
      <c r="BBS2" s="13" t="s">
        <v>108</v>
      </c>
      <c r="BBT2" s="13" t="s">
        <v>313</v>
      </c>
      <c r="BBU2" s="13" t="s">
        <v>316</v>
      </c>
      <c r="BBV2" s="13" t="s">
        <v>113</v>
      </c>
      <c r="BBW2" s="13" t="s">
        <v>114</v>
      </c>
      <c r="BBX2" s="13" t="s">
        <v>110</v>
      </c>
      <c r="BBY2" s="13" t="s">
        <v>111</v>
      </c>
      <c r="BBZ2" s="13" t="s">
        <v>112</v>
      </c>
      <c r="BCA2" s="13" t="s">
        <v>107</v>
      </c>
      <c r="BCB2" s="13" t="s">
        <v>175</v>
      </c>
      <c r="BCC2" s="13" t="s">
        <v>108</v>
      </c>
      <c r="BCD2" s="13" t="s">
        <v>313</v>
      </c>
      <c r="BCE2" s="13" t="s">
        <v>316</v>
      </c>
      <c r="BCF2" s="13" t="s">
        <v>113</v>
      </c>
      <c r="BCG2" s="13" t="s">
        <v>114</v>
      </c>
      <c r="BCH2" s="13" t="s">
        <v>110</v>
      </c>
      <c r="BCI2" s="13" t="s">
        <v>111</v>
      </c>
      <c r="BCJ2" s="13" t="s">
        <v>112</v>
      </c>
      <c r="BCK2" s="13" t="s">
        <v>107</v>
      </c>
      <c r="BCL2" s="13" t="s">
        <v>175</v>
      </c>
      <c r="BCM2" s="13" t="s">
        <v>108</v>
      </c>
      <c r="BCN2" s="13" t="s">
        <v>313</v>
      </c>
      <c r="BCO2" s="13" t="s">
        <v>316</v>
      </c>
      <c r="BCP2" s="13" t="s">
        <v>113</v>
      </c>
      <c r="BCQ2" s="13" t="s">
        <v>114</v>
      </c>
      <c r="BCR2" s="13" t="s">
        <v>110</v>
      </c>
      <c r="BCS2" s="13" t="s">
        <v>111</v>
      </c>
      <c r="BCT2" s="13" t="s">
        <v>112</v>
      </c>
      <c r="BCU2" s="13" t="s">
        <v>107</v>
      </c>
      <c r="BCV2" s="13" t="s">
        <v>175</v>
      </c>
      <c r="BCW2" s="13" t="s">
        <v>108</v>
      </c>
      <c r="BCX2" s="13" t="s">
        <v>313</v>
      </c>
      <c r="BCY2" s="13" t="s">
        <v>316</v>
      </c>
      <c r="BCZ2" s="13" t="s">
        <v>113</v>
      </c>
      <c r="BDA2" s="13" t="s">
        <v>114</v>
      </c>
      <c r="BDB2" s="13" t="s">
        <v>110</v>
      </c>
      <c r="BDC2" s="13" t="s">
        <v>111</v>
      </c>
      <c r="BDD2" s="13" t="s">
        <v>112</v>
      </c>
      <c r="BDE2" s="13" t="s">
        <v>107</v>
      </c>
      <c r="BDF2" s="13" t="s">
        <v>175</v>
      </c>
      <c r="BDG2" s="13" t="s">
        <v>108</v>
      </c>
      <c r="BDH2" s="13" t="s">
        <v>313</v>
      </c>
      <c r="BDI2" s="13" t="s">
        <v>316</v>
      </c>
      <c r="BDJ2" s="13" t="s">
        <v>113</v>
      </c>
      <c r="BDK2" s="13" t="s">
        <v>114</v>
      </c>
      <c r="BDL2" s="13" t="s">
        <v>110</v>
      </c>
      <c r="BDM2" s="13" t="s">
        <v>111</v>
      </c>
      <c r="BDN2" s="13" t="s">
        <v>112</v>
      </c>
      <c r="BDO2" s="13" t="s">
        <v>107</v>
      </c>
      <c r="BDP2" s="13" t="s">
        <v>175</v>
      </c>
      <c r="BDQ2" s="13" t="s">
        <v>108</v>
      </c>
      <c r="BDR2" s="13" t="s">
        <v>313</v>
      </c>
      <c r="BDS2" s="13" t="s">
        <v>316</v>
      </c>
      <c r="BDT2" s="13" t="s">
        <v>113</v>
      </c>
      <c r="BDU2" s="13" t="s">
        <v>114</v>
      </c>
      <c r="BDV2" s="13" t="s">
        <v>110</v>
      </c>
      <c r="BDW2" s="13" t="s">
        <v>111</v>
      </c>
      <c r="BDX2" s="13" t="s">
        <v>112</v>
      </c>
      <c r="BDY2" s="13" t="s">
        <v>107</v>
      </c>
      <c r="BDZ2" s="13" t="s">
        <v>175</v>
      </c>
      <c r="BEA2" s="13" t="s">
        <v>108</v>
      </c>
      <c r="BEB2" s="13" t="s">
        <v>313</v>
      </c>
      <c r="BEC2" s="13" t="s">
        <v>316</v>
      </c>
      <c r="BED2" s="13" t="s">
        <v>113</v>
      </c>
      <c r="BEE2" s="13" t="s">
        <v>114</v>
      </c>
      <c r="BEF2" s="13" t="s">
        <v>110</v>
      </c>
      <c r="BEG2" s="13" t="s">
        <v>111</v>
      </c>
      <c r="BEH2" s="13" t="s">
        <v>112</v>
      </c>
      <c r="BEI2" s="13" t="s">
        <v>107</v>
      </c>
      <c r="BEJ2" s="13" t="s">
        <v>175</v>
      </c>
      <c r="BEK2" s="13" t="s">
        <v>108</v>
      </c>
      <c r="BEL2" s="13" t="s">
        <v>313</v>
      </c>
      <c r="BEM2" s="13" t="s">
        <v>316</v>
      </c>
      <c r="BEN2" s="13" t="s">
        <v>169</v>
      </c>
      <c r="BEO2" s="13" t="s">
        <v>113</v>
      </c>
      <c r="BEP2" s="13" t="s">
        <v>114</v>
      </c>
      <c r="BEQ2" s="13" t="s">
        <v>110</v>
      </c>
      <c r="BER2" s="13" t="s">
        <v>111</v>
      </c>
      <c r="BES2" s="13" t="s">
        <v>112</v>
      </c>
      <c r="BET2" s="13" t="s">
        <v>107</v>
      </c>
      <c r="BEU2" s="13" t="s">
        <v>175</v>
      </c>
      <c r="BEV2" s="13" t="s">
        <v>108</v>
      </c>
      <c r="BEW2" s="13" t="s">
        <v>313</v>
      </c>
      <c r="BEX2" s="13" t="s">
        <v>316</v>
      </c>
      <c r="BEY2" s="13" t="s">
        <v>113</v>
      </c>
      <c r="BEZ2" s="13" t="s">
        <v>114</v>
      </c>
      <c r="BFA2" s="13" t="s">
        <v>110</v>
      </c>
      <c r="BFB2" s="13" t="s">
        <v>111</v>
      </c>
      <c r="BFC2" s="13" t="s">
        <v>112</v>
      </c>
      <c r="BFD2" s="13" t="s">
        <v>107</v>
      </c>
      <c r="BFE2" s="13" t="s">
        <v>175</v>
      </c>
      <c r="BFF2" s="13" t="s">
        <v>108</v>
      </c>
      <c r="BFG2" s="13" t="s">
        <v>313</v>
      </c>
      <c r="BFH2" s="13" t="s">
        <v>316</v>
      </c>
      <c r="BFI2" s="13" t="s">
        <v>113</v>
      </c>
      <c r="BFJ2" s="13" t="s">
        <v>114</v>
      </c>
      <c r="BFK2" s="13" t="s">
        <v>110</v>
      </c>
      <c r="BFL2" s="13" t="s">
        <v>111</v>
      </c>
      <c r="BFM2" s="13" t="s">
        <v>112</v>
      </c>
      <c r="BFN2" s="13" t="s">
        <v>107</v>
      </c>
      <c r="BFO2" s="13" t="s">
        <v>175</v>
      </c>
      <c r="BFP2" s="13" t="s">
        <v>108</v>
      </c>
      <c r="BFQ2" s="13" t="s">
        <v>313</v>
      </c>
      <c r="BFR2" s="13" t="s">
        <v>316</v>
      </c>
      <c r="BFS2" s="13" t="s">
        <v>113</v>
      </c>
      <c r="BFT2" s="13" t="s">
        <v>114</v>
      </c>
      <c r="BFU2" s="13" t="s">
        <v>110</v>
      </c>
      <c r="BFV2" s="13" t="s">
        <v>111</v>
      </c>
      <c r="BFW2" s="13" t="s">
        <v>112</v>
      </c>
      <c r="BFX2" s="13" t="s">
        <v>107</v>
      </c>
      <c r="BFY2" s="13" t="s">
        <v>175</v>
      </c>
      <c r="BFZ2" s="13" t="s">
        <v>108</v>
      </c>
      <c r="BGA2" s="13" t="s">
        <v>313</v>
      </c>
      <c r="BGB2" s="13" t="s">
        <v>316</v>
      </c>
      <c r="BGC2" s="13" t="s">
        <v>113</v>
      </c>
      <c r="BGD2" s="13" t="s">
        <v>114</v>
      </c>
      <c r="BGE2" s="13" t="s">
        <v>110</v>
      </c>
      <c r="BGF2" s="13" t="s">
        <v>111</v>
      </c>
      <c r="BGG2" s="13" t="s">
        <v>112</v>
      </c>
      <c r="BGH2" s="13" t="s">
        <v>107</v>
      </c>
      <c r="BGI2" s="13" t="s">
        <v>175</v>
      </c>
      <c r="BGJ2" s="13" t="s">
        <v>108</v>
      </c>
      <c r="BGK2" s="13" t="s">
        <v>313</v>
      </c>
      <c r="BGL2" s="13" t="s">
        <v>316</v>
      </c>
      <c r="BGM2" s="13" t="s">
        <v>113</v>
      </c>
      <c r="BGN2" s="13" t="s">
        <v>114</v>
      </c>
      <c r="BGO2" s="13" t="s">
        <v>110</v>
      </c>
      <c r="BGP2" s="13" t="s">
        <v>111</v>
      </c>
      <c r="BGQ2" s="13" t="s">
        <v>112</v>
      </c>
      <c r="BGR2" s="13" t="s">
        <v>107</v>
      </c>
      <c r="BGS2" s="13" t="s">
        <v>175</v>
      </c>
      <c r="BGT2" s="13" t="s">
        <v>108</v>
      </c>
      <c r="BGU2" s="13" t="s">
        <v>313</v>
      </c>
      <c r="BGV2" s="13" t="s">
        <v>316</v>
      </c>
      <c r="BGW2" s="13" t="s">
        <v>113</v>
      </c>
      <c r="BGX2" s="13" t="s">
        <v>114</v>
      </c>
      <c r="BGY2" s="13" t="s">
        <v>110</v>
      </c>
      <c r="BGZ2" s="13" t="s">
        <v>111</v>
      </c>
      <c r="BHA2" s="13" t="s">
        <v>112</v>
      </c>
      <c r="BHB2" s="13" t="s">
        <v>107</v>
      </c>
      <c r="BHC2" s="13" t="s">
        <v>175</v>
      </c>
      <c r="BHD2" s="13" t="s">
        <v>108</v>
      </c>
      <c r="BHE2" s="13" t="s">
        <v>313</v>
      </c>
      <c r="BHF2" s="13" t="s">
        <v>316</v>
      </c>
      <c r="BHG2" s="13" t="s">
        <v>113</v>
      </c>
      <c r="BHH2" s="13" t="s">
        <v>114</v>
      </c>
      <c r="BHI2" s="13" t="s">
        <v>110</v>
      </c>
      <c r="BHJ2" s="13" t="s">
        <v>111</v>
      </c>
      <c r="BHK2" s="13" t="s">
        <v>112</v>
      </c>
      <c r="BHL2" s="13" t="s">
        <v>107</v>
      </c>
      <c r="BHM2" s="13" t="s">
        <v>175</v>
      </c>
      <c r="BHN2" s="13" t="s">
        <v>108</v>
      </c>
      <c r="BHO2" s="13" t="s">
        <v>313</v>
      </c>
      <c r="BHP2" s="13" t="s">
        <v>316</v>
      </c>
      <c r="BHQ2" s="13" t="s">
        <v>113</v>
      </c>
      <c r="BHR2" s="13" t="s">
        <v>114</v>
      </c>
      <c r="BHS2" s="13" t="s">
        <v>110</v>
      </c>
      <c r="BHT2" s="13" t="s">
        <v>111</v>
      </c>
      <c r="BHU2" s="13" t="s">
        <v>112</v>
      </c>
      <c r="BHV2" s="13" t="s">
        <v>107</v>
      </c>
      <c r="BHW2" s="13" t="s">
        <v>175</v>
      </c>
      <c r="BHX2" s="13" t="s">
        <v>108</v>
      </c>
      <c r="BHY2" s="13" t="s">
        <v>313</v>
      </c>
      <c r="BHZ2" s="13" t="s">
        <v>316</v>
      </c>
      <c r="BIA2" s="13" t="s">
        <v>113</v>
      </c>
      <c r="BIB2" s="13" t="s">
        <v>114</v>
      </c>
      <c r="BIC2" s="13" t="s">
        <v>110</v>
      </c>
      <c r="BID2" s="13" t="s">
        <v>111</v>
      </c>
      <c r="BIE2" s="13" t="s">
        <v>112</v>
      </c>
      <c r="BIF2" s="13" t="s">
        <v>107</v>
      </c>
      <c r="BIG2" s="13" t="s">
        <v>175</v>
      </c>
      <c r="BIH2" s="13" t="s">
        <v>108</v>
      </c>
      <c r="BII2" s="13" t="s">
        <v>313</v>
      </c>
      <c r="BIJ2" s="13" t="s">
        <v>316</v>
      </c>
      <c r="BIK2" s="13" t="s">
        <v>113</v>
      </c>
      <c r="BIL2" s="13" t="s">
        <v>114</v>
      </c>
      <c r="BIM2" s="13" t="s">
        <v>110</v>
      </c>
      <c r="BIN2" s="13" t="s">
        <v>111</v>
      </c>
      <c r="BIO2" s="13" t="s">
        <v>112</v>
      </c>
      <c r="BIP2" s="13" t="s">
        <v>107</v>
      </c>
      <c r="BIQ2" s="13" t="s">
        <v>175</v>
      </c>
      <c r="BIR2" s="13" t="s">
        <v>108</v>
      </c>
      <c r="BIS2" s="13" t="s">
        <v>313</v>
      </c>
      <c r="BIT2" s="13" t="s">
        <v>316</v>
      </c>
      <c r="BIU2" s="13" t="s">
        <v>113</v>
      </c>
      <c r="BIV2" s="13" t="s">
        <v>114</v>
      </c>
      <c r="BIW2" s="13" t="s">
        <v>110</v>
      </c>
      <c r="BIX2" s="13" t="s">
        <v>111</v>
      </c>
      <c r="BIY2" s="13" t="s">
        <v>112</v>
      </c>
      <c r="BIZ2" s="13" t="s">
        <v>107</v>
      </c>
      <c r="BJA2" s="13" t="s">
        <v>175</v>
      </c>
      <c r="BJB2" s="13" t="s">
        <v>108</v>
      </c>
      <c r="BJC2" s="13" t="s">
        <v>313</v>
      </c>
      <c r="BJD2" s="13" t="s">
        <v>316</v>
      </c>
      <c r="BJE2" s="13" t="s">
        <v>113</v>
      </c>
      <c r="BJF2" s="13" t="s">
        <v>114</v>
      </c>
      <c r="BJG2" s="13" t="s">
        <v>110</v>
      </c>
      <c r="BJH2" s="13" t="s">
        <v>111</v>
      </c>
      <c r="BJI2" s="13" t="s">
        <v>112</v>
      </c>
      <c r="BJJ2" s="13" t="s">
        <v>107</v>
      </c>
      <c r="BJK2" s="13" t="s">
        <v>175</v>
      </c>
      <c r="BJL2" s="13" t="s">
        <v>108</v>
      </c>
      <c r="BJM2" s="13" t="s">
        <v>313</v>
      </c>
      <c r="BJN2" s="13" t="s">
        <v>316</v>
      </c>
      <c r="BJO2" s="13" t="s">
        <v>113</v>
      </c>
      <c r="BJP2" s="13" t="s">
        <v>114</v>
      </c>
      <c r="BJQ2" s="13" t="s">
        <v>110</v>
      </c>
      <c r="BJR2" s="13" t="s">
        <v>111</v>
      </c>
      <c r="BJS2" s="13" t="s">
        <v>112</v>
      </c>
      <c r="BJT2" s="13" t="s">
        <v>107</v>
      </c>
      <c r="BJU2" s="13" t="s">
        <v>175</v>
      </c>
      <c r="BJV2" s="13" t="s">
        <v>108</v>
      </c>
      <c r="BJW2" s="13" t="s">
        <v>313</v>
      </c>
      <c r="BJX2" s="13" t="s">
        <v>316</v>
      </c>
      <c r="BJY2" s="13" t="s">
        <v>113</v>
      </c>
      <c r="BJZ2" s="13" t="s">
        <v>114</v>
      </c>
      <c r="BKA2" s="13" t="s">
        <v>110</v>
      </c>
      <c r="BKB2" s="13" t="s">
        <v>111</v>
      </c>
      <c r="BKC2" s="13" t="s">
        <v>112</v>
      </c>
      <c r="BKD2" s="13" t="s">
        <v>384</v>
      </c>
      <c r="BKE2" s="13" t="s">
        <v>107</v>
      </c>
      <c r="BKF2" s="13" t="s">
        <v>175</v>
      </c>
      <c r="BKG2" s="13" t="s">
        <v>108</v>
      </c>
      <c r="BKH2" s="13" t="s">
        <v>313</v>
      </c>
      <c r="BKI2" s="13" t="s">
        <v>316</v>
      </c>
      <c r="BKJ2" s="13" t="s">
        <v>320</v>
      </c>
      <c r="BKK2" s="13" t="s">
        <v>114</v>
      </c>
      <c r="BKL2" s="13" t="s">
        <v>110</v>
      </c>
      <c r="BKM2" s="13" t="s">
        <v>111</v>
      </c>
      <c r="BKN2" s="13" t="s">
        <v>112</v>
      </c>
      <c r="BKO2" s="13" t="s">
        <v>107</v>
      </c>
      <c r="BKP2" s="13" t="s">
        <v>175</v>
      </c>
      <c r="BKQ2" s="13" t="s">
        <v>108</v>
      </c>
      <c r="BKR2" s="13" t="s">
        <v>313</v>
      </c>
      <c r="BKS2" s="13" t="s">
        <v>316</v>
      </c>
      <c r="BKT2" s="13" t="s">
        <v>320</v>
      </c>
      <c r="BKU2" s="13" t="s">
        <v>114</v>
      </c>
      <c r="BKV2" s="13" t="s">
        <v>110</v>
      </c>
      <c r="BKW2" s="13" t="s">
        <v>111</v>
      </c>
      <c r="BKX2" s="13" t="s">
        <v>112</v>
      </c>
      <c r="BKY2" s="13" t="s">
        <v>107</v>
      </c>
      <c r="BKZ2" s="13" t="s">
        <v>175</v>
      </c>
      <c r="BLA2" s="13" t="s">
        <v>108</v>
      </c>
      <c r="BLB2" s="13" t="s">
        <v>313</v>
      </c>
      <c r="BLC2" s="13" t="s">
        <v>316</v>
      </c>
      <c r="BLD2" s="13" t="s">
        <v>320</v>
      </c>
      <c r="BLE2" s="13" t="s">
        <v>114</v>
      </c>
      <c r="BLF2" s="13" t="s">
        <v>110</v>
      </c>
      <c r="BLG2" s="13" t="s">
        <v>111</v>
      </c>
      <c r="BLH2" s="13" t="s">
        <v>112</v>
      </c>
      <c r="BLI2" s="13" t="s">
        <v>107</v>
      </c>
      <c r="BLJ2" s="13" t="s">
        <v>175</v>
      </c>
      <c r="BLK2" s="13" t="s">
        <v>108</v>
      </c>
      <c r="BLL2" s="13" t="s">
        <v>313</v>
      </c>
      <c r="BLM2" s="13" t="s">
        <v>316</v>
      </c>
      <c r="BLN2" s="13" t="s">
        <v>660</v>
      </c>
      <c r="BLO2" s="13" t="s">
        <v>114</v>
      </c>
      <c r="BLP2" s="13" t="s">
        <v>110</v>
      </c>
      <c r="BLQ2" s="13" t="s">
        <v>111</v>
      </c>
      <c r="BLR2" s="13" t="s">
        <v>112</v>
      </c>
      <c r="BLS2" s="13" t="s">
        <v>1217</v>
      </c>
      <c r="BLT2" s="13" t="s">
        <v>107</v>
      </c>
      <c r="BLU2" s="13" t="s">
        <v>175</v>
      </c>
      <c r="BLV2" s="13" t="s">
        <v>108</v>
      </c>
      <c r="BLW2" s="13" t="s">
        <v>313</v>
      </c>
      <c r="BLX2" s="13" t="s">
        <v>316</v>
      </c>
      <c r="BLY2" s="13" t="s">
        <v>113</v>
      </c>
      <c r="BLZ2" s="13" t="s">
        <v>114</v>
      </c>
      <c r="BMA2" s="13" t="s">
        <v>110</v>
      </c>
      <c r="BMB2" s="13" t="s">
        <v>111</v>
      </c>
      <c r="BMC2" s="13" t="s">
        <v>112</v>
      </c>
      <c r="BMD2" s="13" t="s">
        <v>107</v>
      </c>
      <c r="BME2" s="13" t="s">
        <v>175</v>
      </c>
      <c r="BMF2" s="13" t="s">
        <v>108</v>
      </c>
      <c r="BMG2" s="13" t="s">
        <v>313</v>
      </c>
      <c r="BMH2" s="13" t="s">
        <v>316</v>
      </c>
      <c r="BMI2" s="13" t="s">
        <v>113</v>
      </c>
      <c r="BMJ2" s="13" t="s">
        <v>114</v>
      </c>
      <c r="BMK2" s="13" t="s">
        <v>110</v>
      </c>
      <c r="BML2" s="13" t="s">
        <v>111</v>
      </c>
      <c r="BMM2" s="13" t="s">
        <v>112</v>
      </c>
      <c r="BMN2" s="13" t="s">
        <v>107</v>
      </c>
      <c r="BMO2" s="13" t="s">
        <v>175</v>
      </c>
      <c r="BMP2" s="13" t="s">
        <v>108</v>
      </c>
      <c r="BMQ2" s="13" t="s">
        <v>313</v>
      </c>
      <c r="BMR2" s="13" t="s">
        <v>316</v>
      </c>
      <c r="BMS2" s="13" t="s">
        <v>169</v>
      </c>
      <c r="BMT2" s="13" t="s">
        <v>113</v>
      </c>
      <c r="BMU2" s="13" t="s">
        <v>114</v>
      </c>
      <c r="BMV2" s="13" t="s">
        <v>110</v>
      </c>
      <c r="BMW2" s="13" t="s">
        <v>111</v>
      </c>
      <c r="BMX2" s="13" t="s">
        <v>112</v>
      </c>
      <c r="BMY2" s="13" t="s">
        <v>107</v>
      </c>
      <c r="BMZ2" s="13" t="s">
        <v>175</v>
      </c>
      <c r="BNA2" s="13" t="s">
        <v>108</v>
      </c>
      <c r="BNB2" s="13" t="s">
        <v>313</v>
      </c>
      <c r="BNC2" s="13" t="s">
        <v>316</v>
      </c>
      <c r="BND2" s="13" t="s">
        <v>113</v>
      </c>
      <c r="BNE2" s="13" t="s">
        <v>114</v>
      </c>
      <c r="BNF2" s="13" t="s">
        <v>110</v>
      </c>
      <c r="BNG2" s="13" t="s">
        <v>111</v>
      </c>
      <c r="BNH2" s="13" t="s">
        <v>112</v>
      </c>
      <c r="BNI2" s="13" t="s">
        <v>107</v>
      </c>
      <c r="BNJ2" s="13" t="s">
        <v>175</v>
      </c>
      <c r="BNK2" s="13" t="s">
        <v>108</v>
      </c>
      <c r="BNL2" s="13" t="s">
        <v>313</v>
      </c>
      <c r="BNM2" s="13" t="s">
        <v>316</v>
      </c>
      <c r="BNN2" s="13" t="s">
        <v>113</v>
      </c>
      <c r="BNO2" s="13" t="s">
        <v>114</v>
      </c>
      <c r="BNP2" s="13" t="s">
        <v>110</v>
      </c>
      <c r="BNQ2" s="13" t="s">
        <v>111</v>
      </c>
      <c r="BNR2" s="13" t="s">
        <v>112</v>
      </c>
      <c r="BNS2" s="13" t="s">
        <v>107</v>
      </c>
      <c r="BNT2" s="13" t="s">
        <v>175</v>
      </c>
      <c r="BNU2" s="13" t="s">
        <v>108</v>
      </c>
      <c r="BNV2" s="13" t="s">
        <v>313</v>
      </c>
      <c r="BNW2" s="13" t="s">
        <v>316</v>
      </c>
      <c r="BNX2" s="13" t="s">
        <v>113</v>
      </c>
      <c r="BNY2" s="13" t="s">
        <v>114</v>
      </c>
      <c r="BNZ2" s="13" t="s">
        <v>110</v>
      </c>
      <c r="BOA2" s="13" t="s">
        <v>111</v>
      </c>
      <c r="BOB2" s="13" t="s">
        <v>112</v>
      </c>
      <c r="BOC2" s="13" t="s">
        <v>107</v>
      </c>
      <c r="BOD2" s="13" t="s">
        <v>175</v>
      </c>
      <c r="BOE2" s="13" t="s">
        <v>108</v>
      </c>
      <c r="BOF2" s="13" t="s">
        <v>313</v>
      </c>
      <c r="BOG2" s="13" t="s">
        <v>316</v>
      </c>
      <c r="BOH2" s="13" t="s">
        <v>113</v>
      </c>
      <c r="BOI2" s="13" t="s">
        <v>114</v>
      </c>
      <c r="BOJ2" s="13" t="s">
        <v>110</v>
      </c>
      <c r="BOK2" s="13" t="s">
        <v>111</v>
      </c>
      <c r="BOL2" s="13" t="s">
        <v>112</v>
      </c>
      <c r="BOM2" s="13" t="s">
        <v>107</v>
      </c>
      <c r="BON2" s="13" t="s">
        <v>175</v>
      </c>
      <c r="BOO2" s="13" t="s">
        <v>108</v>
      </c>
      <c r="BOP2" s="13" t="s">
        <v>313</v>
      </c>
      <c r="BOQ2" s="13" t="s">
        <v>316</v>
      </c>
      <c r="BOR2" s="13" t="s">
        <v>300</v>
      </c>
      <c r="BOS2" s="13" t="s">
        <v>114</v>
      </c>
      <c r="BOT2" s="13" t="s">
        <v>110</v>
      </c>
      <c r="BOU2" s="13" t="s">
        <v>111</v>
      </c>
      <c r="BOV2" s="13" t="s">
        <v>187</v>
      </c>
      <c r="BOW2" s="13" t="s">
        <v>112</v>
      </c>
      <c r="BOX2" s="13" t="s">
        <v>107</v>
      </c>
      <c r="BOY2" s="13" t="s">
        <v>175</v>
      </c>
      <c r="BOZ2" s="13" t="s">
        <v>108</v>
      </c>
      <c r="BPA2" s="13" t="s">
        <v>313</v>
      </c>
      <c r="BPB2" s="13" t="s">
        <v>316</v>
      </c>
      <c r="BPC2" s="13" t="s">
        <v>113</v>
      </c>
      <c r="BPD2" s="13" t="s">
        <v>114</v>
      </c>
      <c r="BPE2" s="13" t="s">
        <v>110</v>
      </c>
      <c r="BPF2" s="13" t="s">
        <v>111</v>
      </c>
      <c r="BPG2" s="13" t="s">
        <v>112</v>
      </c>
      <c r="BPH2" s="13" t="s">
        <v>107</v>
      </c>
      <c r="BPI2" s="13" t="s">
        <v>175</v>
      </c>
      <c r="BPJ2" s="13" t="s">
        <v>108</v>
      </c>
      <c r="BPK2" s="13" t="s">
        <v>313</v>
      </c>
      <c r="BPL2" s="13" t="s">
        <v>316</v>
      </c>
      <c r="BPM2" s="13" t="s">
        <v>113</v>
      </c>
      <c r="BPN2" s="13" t="s">
        <v>114</v>
      </c>
      <c r="BPO2" s="13" t="s">
        <v>110</v>
      </c>
      <c r="BPP2" s="13" t="s">
        <v>111</v>
      </c>
      <c r="BPQ2" s="13" t="s">
        <v>112</v>
      </c>
      <c r="BPR2" s="13" t="s">
        <v>107</v>
      </c>
      <c r="BPS2" s="13" t="s">
        <v>175</v>
      </c>
      <c r="BPT2" s="13" t="s">
        <v>108</v>
      </c>
      <c r="BPU2" s="13" t="s">
        <v>313</v>
      </c>
      <c r="BPV2" s="13" t="s">
        <v>316</v>
      </c>
      <c r="BPW2" s="13" t="s">
        <v>113</v>
      </c>
      <c r="BPX2" s="13" t="s">
        <v>114</v>
      </c>
      <c r="BPY2" s="13" t="s">
        <v>110</v>
      </c>
      <c r="BPZ2" s="13" t="s">
        <v>111</v>
      </c>
      <c r="BQA2" s="13" t="s">
        <v>112</v>
      </c>
      <c r="BQB2" s="13" t="s">
        <v>107</v>
      </c>
      <c r="BQC2" s="13" t="s">
        <v>175</v>
      </c>
      <c r="BQD2" s="13" t="s">
        <v>108</v>
      </c>
      <c r="BQE2" s="13" t="s">
        <v>313</v>
      </c>
      <c r="BQF2" s="13" t="s">
        <v>316</v>
      </c>
      <c r="BQG2" s="13" t="s">
        <v>320</v>
      </c>
      <c r="BQH2" s="13" t="s">
        <v>114</v>
      </c>
      <c r="BQI2" s="13" t="s">
        <v>110</v>
      </c>
      <c r="BQJ2" s="13" t="s">
        <v>111</v>
      </c>
      <c r="BQK2" s="13" t="s">
        <v>112</v>
      </c>
      <c r="BQL2" s="13" t="s">
        <v>107</v>
      </c>
      <c r="BQM2" s="13" t="s">
        <v>175</v>
      </c>
      <c r="BQN2" s="13" t="s">
        <v>108</v>
      </c>
      <c r="BQO2" s="13" t="s">
        <v>313</v>
      </c>
      <c r="BQP2" s="13" t="s">
        <v>316</v>
      </c>
      <c r="BQQ2" s="13" t="s">
        <v>169</v>
      </c>
      <c r="BQR2" s="13" t="s">
        <v>113</v>
      </c>
      <c r="BQS2" s="13" t="s">
        <v>114</v>
      </c>
      <c r="BQT2" s="13" t="s">
        <v>110</v>
      </c>
      <c r="BQU2" s="13" t="s">
        <v>111</v>
      </c>
      <c r="BQV2" s="13" t="s">
        <v>112</v>
      </c>
      <c r="BQW2" s="13" t="s">
        <v>107</v>
      </c>
      <c r="BQX2" s="13" t="s">
        <v>175</v>
      </c>
      <c r="BQY2" s="13" t="s">
        <v>108</v>
      </c>
      <c r="BQZ2" s="13" t="s">
        <v>313</v>
      </c>
      <c r="BRA2" s="13" t="s">
        <v>316</v>
      </c>
      <c r="BRB2" s="13" t="s">
        <v>113</v>
      </c>
      <c r="BRC2" s="13" t="s">
        <v>114</v>
      </c>
      <c r="BRD2" s="13" t="s">
        <v>110</v>
      </c>
      <c r="BRE2" s="13" t="s">
        <v>111</v>
      </c>
      <c r="BRF2" s="13" t="s">
        <v>112</v>
      </c>
      <c r="BRG2" s="13" t="s">
        <v>107</v>
      </c>
      <c r="BRH2" s="13" t="s">
        <v>175</v>
      </c>
      <c r="BRI2" s="13" t="s">
        <v>108</v>
      </c>
      <c r="BRJ2" s="13" t="s">
        <v>313</v>
      </c>
      <c r="BRK2" s="13" t="s">
        <v>316</v>
      </c>
      <c r="BRL2" s="13" t="s">
        <v>113</v>
      </c>
      <c r="BRM2" s="13" t="s">
        <v>114</v>
      </c>
      <c r="BRN2" s="13" t="s">
        <v>110</v>
      </c>
      <c r="BRO2" s="13" t="s">
        <v>111</v>
      </c>
      <c r="BRP2" s="13" t="s">
        <v>112</v>
      </c>
      <c r="BRQ2" s="13" t="s">
        <v>107</v>
      </c>
      <c r="BRR2" s="13" t="s">
        <v>175</v>
      </c>
      <c r="BRS2" s="13" t="s">
        <v>108</v>
      </c>
      <c r="BRT2" s="13" t="s">
        <v>313</v>
      </c>
      <c r="BRU2" s="13" t="s">
        <v>316</v>
      </c>
      <c r="BRV2" s="13" t="s">
        <v>113</v>
      </c>
      <c r="BRW2" s="13" t="s">
        <v>114</v>
      </c>
      <c r="BRX2" s="13" t="s">
        <v>110</v>
      </c>
      <c r="BRY2" s="13" t="s">
        <v>111</v>
      </c>
      <c r="BRZ2" s="13" t="s">
        <v>112</v>
      </c>
      <c r="BSA2" s="13" t="s">
        <v>107</v>
      </c>
      <c r="BSB2" s="13" t="s">
        <v>175</v>
      </c>
      <c r="BSC2" s="13" t="s">
        <v>108</v>
      </c>
      <c r="BSD2" s="13" t="s">
        <v>313</v>
      </c>
      <c r="BSE2" s="13" t="s">
        <v>316</v>
      </c>
      <c r="BSF2" s="13" t="s">
        <v>169</v>
      </c>
      <c r="BSG2" s="13" t="s">
        <v>113</v>
      </c>
      <c r="BSH2" s="13" t="s">
        <v>114</v>
      </c>
      <c r="BSI2" s="13" t="s">
        <v>110</v>
      </c>
      <c r="BSJ2" s="13" t="s">
        <v>111</v>
      </c>
      <c r="BSK2" s="13" t="s">
        <v>112</v>
      </c>
      <c r="BSL2" s="13" t="s">
        <v>107</v>
      </c>
      <c r="BSM2" s="13" t="s">
        <v>175</v>
      </c>
      <c r="BSN2" s="13" t="s">
        <v>108</v>
      </c>
      <c r="BSO2" s="13" t="s">
        <v>313</v>
      </c>
      <c r="BSP2" s="13" t="s">
        <v>316</v>
      </c>
      <c r="BSQ2" s="13" t="s">
        <v>300</v>
      </c>
      <c r="BSR2" s="13" t="s">
        <v>114</v>
      </c>
      <c r="BSS2" s="13" t="s">
        <v>110</v>
      </c>
      <c r="BST2" s="13" t="s">
        <v>111</v>
      </c>
      <c r="BSU2" s="13" t="s">
        <v>187</v>
      </c>
      <c r="BSV2" s="13" t="s">
        <v>112</v>
      </c>
      <c r="BSW2" s="13" t="s">
        <v>107</v>
      </c>
      <c r="BSX2" s="13" t="s">
        <v>175</v>
      </c>
      <c r="BSY2" s="13" t="s">
        <v>108</v>
      </c>
      <c r="BSZ2" s="13" t="s">
        <v>313</v>
      </c>
      <c r="BTA2" s="13" t="s">
        <v>316</v>
      </c>
      <c r="BTB2" s="13" t="s">
        <v>300</v>
      </c>
      <c r="BTC2" s="13" t="s">
        <v>114</v>
      </c>
      <c r="BTD2" s="13" t="s">
        <v>110</v>
      </c>
      <c r="BTE2" s="13" t="s">
        <v>187</v>
      </c>
      <c r="BTF2" s="13" t="s">
        <v>111</v>
      </c>
      <c r="BTG2" s="13" t="s">
        <v>112</v>
      </c>
      <c r="BTH2" s="13" t="s">
        <v>107</v>
      </c>
      <c r="BTI2" s="13" t="s">
        <v>175</v>
      </c>
      <c r="BTJ2" s="13" t="s">
        <v>108</v>
      </c>
      <c r="BTK2" s="13" t="s">
        <v>313</v>
      </c>
      <c r="BTL2" s="13" t="s">
        <v>316</v>
      </c>
      <c r="BTM2" s="13" t="s">
        <v>300</v>
      </c>
      <c r="BTN2" s="13" t="s">
        <v>114</v>
      </c>
      <c r="BTO2" s="13" t="s">
        <v>110</v>
      </c>
      <c r="BTP2" s="13" t="s">
        <v>187</v>
      </c>
      <c r="BTQ2" s="13" t="s">
        <v>111</v>
      </c>
      <c r="BTR2" s="13" t="s">
        <v>112</v>
      </c>
      <c r="BTS2" s="13" t="s">
        <v>107</v>
      </c>
      <c r="BTT2" s="13" t="s">
        <v>175</v>
      </c>
      <c r="BTU2" s="13" t="s">
        <v>108</v>
      </c>
      <c r="BTV2" s="13" t="s">
        <v>313</v>
      </c>
      <c r="BTW2" s="13" t="s">
        <v>316</v>
      </c>
      <c r="BTX2" s="13" t="s">
        <v>113</v>
      </c>
      <c r="BTY2" s="13" t="s">
        <v>114</v>
      </c>
      <c r="BTZ2" s="13" t="s">
        <v>110</v>
      </c>
      <c r="BUA2" s="13" t="s">
        <v>187</v>
      </c>
      <c r="BUB2" s="13" t="s">
        <v>111</v>
      </c>
      <c r="BUC2" s="13" t="s">
        <v>112</v>
      </c>
      <c r="BUD2" s="13" t="s">
        <v>107</v>
      </c>
      <c r="BUE2" s="13" t="s">
        <v>175</v>
      </c>
      <c r="BUF2" s="13" t="s">
        <v>108</v>
      </c>
      <c r="BUG2" s="13" t="s">
        <v>313</v>
      </c>
      <c r="BUH2" s="13" t="s">
        <v>316</v>
      </c>
      <c r="BUI2" s="13" t="s">
        <v>169</v>
      </c>
      <c r="BUJ2" s="13" t="s">
        <v>113</v>
      </c>
      <c r="BUK2" s="13" t="s">
        <v>114</v>
      </c>
      <c r="BUL2" s="13" t="s">
        <v>110</v>
      </c>
      <c r="BUM2" s="13" t="s">
        <v>111</v>
      </c>
      <c r="BUN2" s="13" t="s">
        <v>187</v>
      </c>
      <c r="BUO2" s="13" t="s">
        <v>112</v>
      </c>
      <c r="BUP2" s="13" t="s">
        <v>107</v>
      </c>
      <c r="BUQ2" s="13" t="s">
        <v>175</v>
      </c>
      <c r="BUR2" s="13" t="s">
        <v>108</v>
      </c>
      <c r="BUS2" s="13" t="s">
        <v>313</v>
      </c>
      <c r="BUT2" s="13" t="s">
        <v>316</v>
      </c>
      <c r="BUU2" s="13" t="s">
        <v>113</v>
      </c>
      <c r="BUV2" s="13" t="s">
        <v>114</v>
      </c>
      <c r="BUW2" s="13" t="s">
        <v>110</v>
      </c>
      <c r="BUX2" s="13" t="s">
        <v>111</v>
      </c>
      <c r="BUY2" s="13" t="s">
        <v>112</v>
      </c>
      <c r="BUZ2" s="13" t="s">
        <v>107</v>
      </c>
      <c r="BVA2" s="13" t="s">
        <v>175</v>
      </c>
      <c r="BVB2" s="13" t="s">
        <v>108</v>
      </c>
      <c r="BVC2" s="13" t="s">
        <v>313</v>
      </c>
      <c r="BVD2" s="13" t="s">
        <v>316</v>
      </c>
      <c r="BVE2" s="13" t="s">
        <v>113</v>
      </c>
      <c r="BVF2" s="13" t="s">
        <v>114</v>
      </c>
      <c r="BVG2" s="13" t="s">
        <v>110</v>
      </c>
      <c r="BVH2" s="13" t="s">
        <v>111</v>
      </c>
      <c r="BVI2" s="13" t="s">
        <v>112</v>
      </c>
      <c r="BVJ2" s="13" t="s">
        <v>107</v>
      </c>
      <c r="BVK2" s="13" t="s">
        <v>175</v>
      </c>
      <c r="BVL2" s="13" t="s">
        <v>108</v>
      </c>
      <c r="BVM2" s="13" t="s">
        <v>313</v>
      </c>
      <c r="BVN2" s="13" t="s">
        <v>316</v>
      </c>
      <c r="BVO2" s="13" t="s">
        <v>169</v>
      </c>
      <c r="BVP2" s="13" t="s">
        <v>113</v>
      </c>
      <c r="BVQ2" s="13" t="s">
        <v>114</v>
      </c>
      <c r="BVR2" s="13" t="s">
        <v>110</v>
      </c>
      <c r="BVS2" s="13" t="s">
        <v>111</v>
      </c>
      <c r="BVT2" s="13" t="s">
        <v>187</v>
      </c>
      <c r="BVU2" s="13" t="s">
        <v>112</v>
      </c>
      <c r="BVV2" s="13" t="s">
        <v>107</v>
      </c>
      <c r="BVW2" s="13" t="s">
        <v>175</v>
      </c>
      <c r="BVX2" s="13" t="s">
        <v>108</v>
      </c>
      <c r="BVY2" s="13" t="s">
        <v>313</v>
      </c>
      <c r="BVZ2" s="13" t="s">
        <v>316</v>
      </c>
      <c r="BWA2" s="13" t="s">
        <v>113</v>
      </c>
      <c r="BWB2" s="13" t="s">
        <v>114</v>
      </c>
      <c r="BWC2" s="13" t="s">
        <v>110</v>
      </c>
      <c r="BWD2" s="13" t="s">
        <v>111</v>
      </c>
      <c r="BWE2" s="13" t="s">
        <v>112</v>
      </c>
      <c r="BWF2" s="13" t="s">
        <v>107</v>
      </c>
      <c r="BWG2" s="13" t="s">
        <v>175</v>
      </c>
      <c r="BWH2" s="13" t="s">
        <v>108</v>
      </c>
      <c r="BWI2" s="13" t="s">
        <v>313</v>
      </c>
      <c r="BWJ2" s="13" t="s">
        <v>316</v>
      </c>
      <c r="BWK2" s="13" t="s">
        <v>113</v>
      </c>
      <c r="BWL2" s="13" t="s">
        <v>114</v>
      </c>
      <c r="BWM2" s="13" t="s">
        <v>110</v>
      </c>
      <c r="BWN2" s="13" t="s">
        <v>111</v>
      </c>
      <c r="BWO2" s="13" t="s">
        <v>112</v>
      </c>
      <c r="BWP2" s="13" t="s">
        <v>107</v>
      </c>
      <c r="BWQ2" s="13" t="s">
        <v>175</v>
      </c>
      <c r="BWR2" s="13" t="s">
        <v>108</v>
      </c>
      <c r="BWS2" s="13" t="s">
        <v>313</v>
      </c>
      <c r="BWT2" s="13" t="s">
        <v>316</v>
      </c>
      <c r="BWU2" s="13" t="s">
        <v>113</v>
      </c>
      <c r="BWV2" s="13" t="s">
        <v>114</v>
      </c>
      <c r="BWW2" s="13" t="s">
        <v>110</v>
      </c>
      <c r="BWX2" s="13" t="s">
        <v>111</v>
      </c>
      <c r="BWY2" s="13" t="s">
        <v>112</v>
      </c>
      <c r="BWZ2" s="13" t="s">
        <v>107</v>
      </c>
      <c r="BXA2" s="13" t="s">
        <v>175</v>
      </c>
      <c r="BXB2" s="13" t="s">
        <v>108</v>
      </c>
      <c r="BXC2" s="13" t="s">
        <v>313</v>
      </c>
      <c r="BXD2" s="13" t="s">
        <v>316</v>
      </c>
      <c r="BXE2" s="13" t="s">
        <v>113</v>
      </c>
      <c r="BXF2" s="13" t="s">
        <v>114</v>
      </c>
      <c r="BXG2" s="13" t="s">
        <v>110</v>
      </c>
      <c r="BXH2" s="13" t="s">
        <v>111</v>
      </c>
      <c r="BXI2" s="13" t="s">
        <v>112</v>
      </c>
      <c r="BXJ2" s="13" t="s">
        <v>107</v>
      </c>
      <c r="BXK2" s="13" t="s">
        <v>175</v>
      </c>
      <c r="BXL2" s="13" t="s">
        <v>108</v>
      </c>
      <c r="BXM2" s="13" t="s">
        <v>313</v>
      </c>
      <c r="BXN2" s="13" t="s">
        <v>316</v>
      </c>
      <c r="BXO2" s="13" t="s">
        <v>169</v>
      </c>
      <c r="BXP2" s="13" t="s">
        <v>113</v>
      </c>
      <c r="BXQ2" s="13" t="s">
        <v>114</v>
      </c>
      <c r="BXR2" s="13" t="s">
        <v>110</v>
      </c>
      <c r="BXS2" s="13" t="s">
        <v>111</v>
      </c>
      <c r="BXT2" s="13" t="s">
        <v>112</v>
      </c>
      <c r="BXU2" s="13" t="s">
        <v>107</v>
      </c>
      <c r="BXV2" s="13" t="s">
        <v>175</v>
      </c>
      <c r="BXW2" s="13" t="s">
        <v>108</v>
      </c>
      <c r="BXX2" s="13" t="s">
        <v>313</v>
      </c>
      <c r="BXY2" s="13" t="s">
        <v>316</v>
      </c>
      <c r="BXZ2" s="13" t="s">
        <v>113</v>
      </c>
      <c r="BYA2" s="13" t="s">
        <v>114</v>
      </c>
      <c r="BYB2" s="13" t="s">
        <v>110</v>
      </c>
      <c r="BYC2" s="13" t="s">
        <v>111</v>
      </c>
      <c r="BYD2" s="13" t="s">
        <v>112</v>
      </c>
      <c r="BYE2" s="13" t="s">
        <v>107</v>
      </c>
      <c r="BYF2" s="13" t="s">
        <v>175</v>
      </c>
      <c r="BYG2" s="13" t="s">
        <v>108</v>
      </c>
      <c r="BYH2" s="13" t="s">
        <v>313</v>
      </c>
      <c r="BYI2" s="13" t="s">
        <v>316</v>
      </c>
      <c r="BYJ2" s="13" t="s">
        <v>113</v>
      </c>
      <c r="BYK2" s="13" t="s">
        <v>114</v>
      </c>
      <c r="BYL2" s="13" t="s">
        <v>110</v>
      </c>
      <c r="BYM2" s="13" t="s">
        <v>111</v>
      </c>
      <c r="BYN2" s="13" t="s">
        <v>112</v>
      </c>
      <c r="BYO2" s="13" t="s">
        <v>107</v>
      </c>
      <c r="BYP2" s="13" t="s">
        <v>175</v>
      </c>
      <c r="BYQ2" s="13" t="s">
        <v>108</v>
      </c>
      <c r="BYR2" s="13" t="s">
        <v>313</v>
      </c>
      <c r="BYS2" s="13" t="s">
        <v>316</v>
      </c>
      <c r="BYT2" s="13" t="s">
        <v>113</v>
      </c>
      <c r="BYU2" s="13" t="s">
        <v>114</v>
      </c>
      <c r="BYV2" s="13" t="s">
        <v>110</v>
      </c>
      <c r="BYW2" s="13" t="s">
        <v>111</v>
      </c>
      <c r="BYX2" s="13" t="s">
        <v>112</v>
      </c>
      <c r="BYY2" s="13" t="s">
        <v>107</v>
      </c>
      <c r="BYZ2" s="13" t="s">
        <v>175</v>
      </c>
      <c r="BZA2" s="13" t="s">
        <v>108</v>
      </c>
      <c r="BZB2" s="13" t="s">
        <v>313</v>
      </c>
      <c r="BZC2" s="13" t="s">
        <v>316</v>
      </c>
      <c r="BZD2" s="13" t="s">
        <v>169</v>
      </c>
      <c r="BZE2" s="13" t="s">
        <v>113</v>
      </c>
      <c r="BZF2" s="13" t="s">
        <v>114</v>
      </c>
      <c r="BZG2" s="13" t="s">
        <v>110</v>
      </c>
      <c r="BZH2" s="13" t="s">
        <v>111</v>
      </c>
      <c r="BZI2" s="13" t="s">
        <v>112</v>
      </c>
      <c r="BZJ2" s="13" t="s">
        <v>107</v>
      </c>
      <c r="BZK2" s="13" t="s">
        <v>175</v>
      </c>
      <c r="BZL2" s="13" t="s">
        <v>108</v>
      </c>
      <c r="BZM2" s="13" t="s">
        <v>313</v>
      </c>
      <c r="BZN2" s="13" t="s">
        <v>316</v>
      </c>
      <c r="BZO2" s="13" t="s">
        <v>169</v>
      </c>
      <c r="BZP2" s="13" t="s">
        <v>113</v>
      </c>
      <c r="BZQ2" s="13" t="s">
        <v>114</v>
      </c>
      <c r="BZR2" s="13" t="s">
        <v>110</v>
      </c>
      <c r="BZS2" s="13" t="s">
        <v>111</v>
      </c>
      <c r="BZT2" s="13" t="s">
        <v>112</v>
      </c>
      <c r="BZU2" s="13" t="s">
        <v>107</v>
      </c>
      <c r="BZV2" s="13" t="s">
        <v>175</v>
      </c>
      <c r="BZW2" s="13" t="s">
        <v>108</v>
      </c>
      <c r="BZX2" s="13" t="s">
        <v>313</v>
      </c>
      <c r="BZY2" s="13" t="s">
        <v>316</v>
      </c>
      <c r="BZZ2" s="13" t="s">
        <v>169</v>
      </c>
      <c r="CAA2" s="13" t="s">
        <v>113</v>
      </c>
      <c r="CAB2" s="13" t="s">
        <v>114</v>
      </c>
      <c r="CAC2" s="13" t="s">
        <v>110</v>
      </c>
      <c r="CAD2" s="13" t="s">
        <v>111</v>
      </c>
      <c r="CAE2" s="13" t="s">
        <v>112</v>
      </c>
      <c r="CAF2" s="13" t="s">
        <v>430</v>
      </c>
      <c r="CAG2" s="13" t="s">
        <v>107</v>
      </c>
      <c r="CAH2" s="13" t="s">
        <v>175</v>
      </c>
      <c r="CAI2" s="13" t="s">
        <v>108</v>
      </c>
      <c r="CAJ2" s="13" t="s">
        <v>313</v>
      </c>
      <c r="CAK2" s="13" t="s">
        <v>316</v>
      </c>
      <c r="CAL2" s="13" t="s">
        <v>169</v>
      </c>
      <c r="CAM2" s="13" t="s">
        <v>188</v>
      </c>
      <c r="CAN2" s="13" t="s">
        <v>114</v>
      </c>
      <c r="CAO2" s="13" t="s">
        <v>110</v>
      </c>
      <c r="CAP2" s="13" t="s">
        <v>111</v>
      </c>
      <c r="CAQ2" s="13" t="s">
        <v>187</v>
      </c>
      <c r="CAR2" s="13" t="s">
        <v>112</v>
      </c>
      <c r="CAS2" s="13" t="s">
        <v>107</v>
      </c>
      <c r="CAT2" s="13" t="s">
        <v>175</v>
      </c>
      <c r="CAU2" s="13" t="s">
        <v>108</v>
      </c>
      <c r="CAV2" s="13" t="s">
        <v>313</v>
      </c>
      <c r="CAW2" s="13" t="s">
        <v>316</v>
      </c>
      <c r="CAX2" s="13" t="s">
        <v>113</v>
      </c>
      <c r="CAY2" s="13" t="s">
        <v>114</v>
      </c>
      <c r="CAZ2" s="13" t="s">
        <v>110</v>
      </c>
      <c r="CBA2" s="13" t="s">
        <v>111</v>
      </c>
      <c r="CBB2" s="13" t="s">
        <v>112</v>
      </c>
      <c r="CBC2" s="13" t="s">
        <v>107</v>
      </c>
      <c r="CBD2" s="13" t="s">
        <v>175</v>
      </c>
      <c r="CBE2" s="13" t="s">
        <v>108</v>
      </c>
      <c r="CBF2" s="13" t="s">
        <v>313</v>
      </c>
      <c r="CBG2" s="13" t="s">
        <v>316</v>
      </c>
      <c r="CBH2" s="13" t="s">
        <v>113</v>
      </c>
      <c r="CBI2" s="13" t="s">
        <v>114</v>
      </c>
      <c r="CBJ2" s="13" t="s">
        <v>110</v>
      </c>
      <c r="CBK2" s="13" t="s">
        <v>111</v>
      </c>
      <c r="CBL2" s="13" t="s">
        <v>112</v>
      </c>
      <c r="CBM2" s="13" t="s">
        <v>107</v>
      </c>
      <c r="CBN2" s="13" t="s">
        <v>175</v>
      </c>
      <c r="CBO2" s="13" t="s">
        <v>108</v>
      </c>
      <c r="CBP2" s="13" t="s">
        <v>313</v>
      </c>
      <c r="CBQ2" s="13" t="s">
        <v>316</v>
      </c>
      <c r="CBR2" s="13" t="s">
        <v>113</v>
      </c>
      <c r="CBS2" s="13" t="s">
        <v>189</v>
      </c>
      <c r="CBT2" s="13" t="s">
        <v>110</v>
      </c>
      <c r="CBU2" s="13" t="s">
        <v>111</v>
      </c>
      <c r="CBV2" s="13" t="s">
        <v>112</v>
      </c>
      <c r="CBW2" s="13" t="s">
        <v>107</v>
      </c>
      <c r="CBX2" s="13" t="s">
        <v>175</v>
      </c>
      <c r="CBY2" s="13" t="s">
        <v>108</v>
      </c>
      <c r="CBZ2" s="13" t="s">
        <v>313</v>
      </c>
      <c r="CCA2" s="13" t="s">
        <v>316</v>
      </c>
      <c r="CCB2" s="13" t="s">
        <v>326</v>
      </c>
      <c r="CCC2" s="13" t="s">
        <v>189</v>
      </c>
      <c r="CCD2" s="13" t="s">
        <v>110</v>
      </c>
      <c r="CCE2" s="13" t="s">
        <v>111</v>
      </c>
      <c r="CCF2" s="13" t="s">
        <v>112</v>
      </c>
      <c r="CCG2" s="13" t="s">
        <v>107</v>
      </c>
      <c r="CCH2" s="13" t="s">
        <v>175</v>
      </c>
      <c r="CCI2" s="13" t="s">
        <v>108</v>
      </c>
      <c r="CCJ2" s="13" t="s">
        <v>313</v>
      </c>
      <c r="CCK2" s="13" t="s">
        <v>316</v>
      </c>
      <c r="CCL2" s="13" t="s">
        <v>113</v>
      </c>
      <c r="CCM2" s="13" t="s">
        <v>114</v>
      </c>
      <c r="CCN2" s="13" t="s">
        <v>110</v>
      </c>
      <c r="CCO2" s="13" t="s">
        <v>111</v>
      </c>
      <c r="CCP2" s="13" t="s">
        <v>112</v>
      </c>
      <c r="CCQ2" s="13" t="s">
        <v>107</v>
      </c>
      <c r="CCR2" s="13" t="s">
        <v>175</v>
      </c>
      <c r="CCS2" s="13" t="s">
        <v>108</v>
      </c>
      <c r="CCT2" s="13" t="s">
        <v>313</v>
      </c>
      <c r="CCU2" s="13" t="s">
        <v>316</v>
      </c>
      <c r="CCV2" s="13" t="s">
        <v>256</v>
      </c>
      <c r="CCW2" s="13" t="s">
        <v>114</v>
      </c>
      <c r="CCX2" s="13" t="s">
        <v>110</v>
      </c>
      <c r="CCY2" s="13" t="s">
        <v>111</v>
      </c>
      <c r="CCZ2" s="13" t="s">
        <v>112</v>
      </c>
      <c r="CDA2" s="13" t="s">
        <v>107</v>
      </c>
      <c r="CDB2" s="13" t="s">
        <v>175</v>
      </c>
      <c r="CDC2" s="13" t="s">
        <v>108</v>
      </c>
      <c r="CDD2" s="13" t="s">
        <v>313</v>
      </c>
      <c r="CDE2" s="13" t="s">
        <v>316</v>
      </c>
      <c r="CDF2" s="13" t="s">
        <v>260</v>
      </c>
      <c r="CDG2" s="13" t="s">
        <v>114</v>
      </c>
      <c r="CDH2" s="13" t="s">
        <v>110</v>
      </c>
      <c r="CDI2" s="13" t="s">
        <v>111</v>
      </c>
      <c r="CDJ2" s="13" t="s">
        <v>112</v>
      </c>
      <c r="CDK2" s="13" t="s">
        <v>107</v>
      </c>
      <c r="CDL2" s="13" t="s">
        <v>175</v>
      </c>
      <c r="CDM2" s="13" t="s">
        <v>108</v>
      </c>
      <c r="CDN2" s="13" t="s">
        <v>313</v>
      </c>
      <c r="CDO2" s="13" t="s">
        <v>316</v>
      </c>
      <c r="CDP2" s="13" t="s">
        <v>260</v>
      </c>
      <c r="CDQ2" s="13" t="s">
        <v>114</v>
      </c>
      <c r="CDR2" s="13" t="s">
        <v>110</v>
      </c>
      <c r="CDS2" s="13" t="s">
        <v>111</v>
      </c>
      <c r="CDT2" s="13" t="s">
        <v>112</v>
      </c>
      <c r="CDU2" s="13" t="s">
        <v>107</v>
      </c>
      <c r="CDV2" s="13" t="s">
        <v>175</v>
      </c>
      <c r="CDW2" s="13" t="s">
        <v>108</v>
      </c>
      <c r="CDX2" s="13" t="s">
        <v>313</v>
      </c>
      <c r="CDY2" s="13" t="s">
        <v>316</v>
      </c>
      <c r="CDZ2" s="13" t="s">
        <v>260</v>
      </c>
      <c r="CEA2" s="13" t="s">
        <v>114</v>
      </c>
      <c r="CEB2" s="13" t="s">
        <v>110</v>
      </c>
      <c r="CEC2" s="13" t="s">
        <v>111</v>
      </c>
      <c r="CED2" s="13" t="s">
        <v>112</v>
      </c>
      <c r="CEE2" s="13" t="s">
        <v>107</v>
      </c>
      <c r="CEF2" s="13" t="s">
        <v>175</v>
      </c>
      <c r="CEG2" s="13" t="s">
        <v>108</v>
      </c>
      <c r="CEH2" s="13" t="s">
        <v>313</v>
      </c>
      <c r="CEI2" s="13" t="s">
        <v>316</v>
      </c>
      <c r="CEJ2" s="13" t="s">
        <v>260</v>
      </c>
      <c r="CEK2" s="13" t="s">
        <v>114</v>
      </c>
      <c r="CEL2" s="13" t="s">
        <v>110</v>
      </c>
      <c r="CEM2" s="13" t="s">
        <v>111</v>
      </c>
      <c r="CEN2" s="13" t="s">
        <v>112</v>
      </c>
      <c r="CEO2" s="13" t="s">
        <v>107</v>
      </c>
      <c r="CEP2" s="13" t="s">
        <v>175</v>
      </c>
      <c r="CEQ2" s="13" t="s">
        <v>108</v>
      </c>
      <c r="CER2" s="13" t="s">
        <v>313</v>
      </c>
      <c r="CES2" s="13" t="s">
        <v>316</v>
      </c>
      <c r="CET2" s="13" t="s">
        <v>113</v>
      </c>
      <c r="CEU2" s="13" t="s">
        <v>114</v>
      </c>
      <c r="CEV2" s="13" t="s">
        <v>110</v>
      </c>
      <c r="CEW2" s="13" t="s">
        <v>111</v>
      </c>
      <c r="CEX2" s="13" t="s">
        <v>112</v>
      </c>
      <c r="CEY2" s="13" t="s">
        <v>107</v>
      </c>
      <c r="CEZ2" s="13" t="s">
        <v>175</v>
      </c>
      <c r="CFA2" s="13" t="s">
        <v>108</v>
      </c>
      <c r="CFB2" s="13" t="s">
        <v>313</v>
      </c>
      <c r="CFC2" s="13" t="s">
        <v>316</v>
      </c>
      <c r="CFD2" s="13" t="s">
        <v>260</v>
      </c>
      <c r="CFE2" s="13" t="s">
        <v>114</v>
      </c>
      <c r="CFF2" s="13" t="s">
        <v>110</v>
      </c>
      <c r="CFG2" s="13" t="s">
        <v>111</v>
      </c>
      <c r="CFH2" s="13" t="s">
        <v>112</v>
      </c>
      <c r="CFI2" s="13" t="s">
        <v>107</v>
      </c>
      <c r="CFJ2" s="13" t="s">
        <v>175</v>
      </c>
      <c r="CFK2" s="13" t="s">
        <v>108</v>
      </c>
      <c r="CFL2" s="13" t="s">
        <v>313</v>
      </c>
      <c r="CFM2" s="13" t="s">
        <v>316</v>
      </c>
      <c r="CFN2" s="13" t="s">
        <v>113</v>
      </c>
      <c r="CFO2" s="13" t="s">
        <v>114</v>
      </c>
      <c r="CFP2" s="13" t="s">
        <v>110</v>
      </c>
      <c r="CFQ2" s="13" t="s">
        <v>111</v>
      </c>
      <c r="CFR2" s="13" t="s">
        <v>112</v>
      </c>
      <c r="CFS2" s="13" t="s">
        <v>107</v>
      </c>
      <c r="CFT2" s="13" t="s">
        <v>175</v>
      </c>
      <c r="CFU2" s="13" t="s">
        <v>108</v>
      </c>
      <c r="CFV2" s="13" t="s">
        <v>313</v>
      </c>
      <c r="CFW2" s="13" t="s">
        <v>316</v>
      </c>
      <c r="CFX2" s="13" t="s">
        <v>320</v>
      </c>
      <c r="CFY2" s="13" t="s">
        <v>114</v>
      </c>
      <c r="CFZ2" s="13" t="s">
        <v>110</v>
      </c>
      <c r="CGA2" s="13" t="s">
        <v>111</v>
      </c>
      <c r="CGB2" s="13" t="s">
        <v>112</v>
      </c>
      <c r="CGC2" s="13" t="s">
        <v>107</v>
      </c>
      <c r="CGD2" s="13" t="s">
        <v>175</v>
      </c>
      <c r="CGE2" s="13" t="s">
        <v>108</v>
      </c>
      <c r="CGF2" s="13" t="s">
        <v>313</v>
      </c>
      <c r="CGG2" s="13" t="s">
        <v>316</v>
      </c>
      <c r="CGH2" s="13" t="s">
        <v>320</v>
      </c>
      <c r="CGI2" s="13" t="s">
        <v>114</v>
      </c>
      <c r="CGJ2" s="13" t="s">
        <v>110</v>
      </c>
      <c r="CGK2" s="13" t="s">
        <v>111</v>
      </c>
      <c r="CGL2" s="13" t="s">
        <v>112</v>
      </c>
      <c r="CGM2" s="13" t="s">
        <v>107</v>
      </c>
      <c r="CGN2" s="13" t="s">
        <v>175</v>
      </c>
      <c r="CGO2" s="13" t="s">
        <v>108</v>
      </c>
      <c r="CGP2" s="13" t="s">
        <v>313</v>
      </c>
      <c r="CGQ2" s="13" t="s">
        <v>316</v>
      </c>
      <c r="CGR2" s="13" t="s">
        <v>320</v>
      </c>
      <c r="CGS2" s="13" t="s">
        <v>114</v>
      </c>
      <c r="CGT2" s="13" t="s">
        <v>110</v>
      </c>
      <c r="CGU2" s="13" t="s">
        <v>111</v>
      </c>
      <c r="CGV2" s="13" t="s">
        <v>112</v>
      </c>
      <c r="CGW2" s="13" t="s">
        <v>107</v>
      </c>
      <c r="CGX2" s="13" t="s">
        <v>175</v>
      </c>
      <c r="CGY2" s="13" t="s">
        <v>108</v>
      </c>
      <c r="CGZ2" s="13" t="s">
        <v>313</v>
      </c>
      <c r="CHA2" s="13" t="s">
        <v>316</v>
      </c>
      <c r="CHB2" s="13" t="s">
        <v>169</v>
      </c>
      <c r="CHC2" s="13" t="s">
        <v>113</v>
      </c>
      <c r="CHD2" s="13" t="s">
        <v>114</v>
      </c>
      <c r="CHE2" s="13" t="s">
        <v>110</v>
      </c>
      <c r="CHF2" s="13" t="s">
        <v>111</v>
      </c>
      <c r="CHG2" s="13" t="s">
        <v>112</v>
      </c>
      <c r="CHH2" s="13" t="s">
        <v>107</v>
      </c>
      <c r="CHI2" s="13" t="s">
        <v>175</v>
      </c>
      <c r="CHJ2" s="13" t="s">
        <v>108</v>
      </c>
      <c r="CHK2" s="13" t="s">
        <v>313</v>
      </c>
      <c r="CHL2" s="13" t="s">
        <v>316</v>
      </c>
      <c r="CHM2" s="13" t="s">
        <v>113</v>
      </c>
      <c r="CHN2" s="13" t="s">
        <v>114</v>
      </c>
      <c r="CHO2" s="13" t="s">
        <v>110</v>
      </c>
      <c r="CHP2" s="13" t="s">
        <v>111</v>
      </c>
      <c r="CHQ2" s="13" t="s">
        <v>112</v>
      </c>
      <c r="CHR2" s="13" t="s">
        <v>107</v>
      </c>
      <c r="CHS2" s="13" t="s">
        <v>175</v>
      </c>
      <c r="CHT2" s="13" t="s">
        <v>108</v>
      </c>
      <c r="CHU2" s="13" t="s">
        <v>313</v>
      </c>
      <c r="CHV2" s="13" t="s">
        <v>316</v>
      </c>
      <c r="CHW2" s="13" t="s">
        <v>327</v>
      </c>
      <c r="CHX2" s="13" t="s">
        <v>114</v>
      </c>
      <c r="CHY2" s="13" t="s">
        <v>110</v>
      </c>
      <c r="CHZ2" s="13" t="s">
        <v>111</v>
      </c>
      <c r="CIA2" s="13" t="s">
        <v>112</v>
      </c>
      <c r="CIB2" s="13" t="s">
        <v>107</v>
      </c>
      <c r="CIC2" s="13" t="s">
        <v>175</v>
      </c>
      <c r="CID2" s="13" t="s">
        <v>108</v>
      </c>
      <c r="CIE2" s="13" t="s">
        <v>313</v>
      </c>
      <c r="CIF2" s="13" t="s">
        <v>316</v>
      </c>
      <c r="CIG2" s="13" t="s">
        <v>113</v>
      </c>
      <c r="CIH2" s="13" t="s">
        <v>114</v>
      </c>
      <c r="CII2" s="13" t="s">
        <v>110</v>
      </c>
      <c r="CIJ2" s="13" t="s">
        <v>111</v>
      </c>
      <c r="CIK2" s="13" t="s">
        <v>112</v>
      </c>
      <c r="CIL2" s="13" t="s">
        <v>107</v>
      </c>
      <c r="CIM2" s="13" t="s">
        <v>175</v>
      </c>
      <c r="CIN2" s="13" t="s">
        <v>108</v>
      </c>
      <c r="CIO2" s="13" t="s">
        <v>313</v>
      </c>
      <c r="CIP2" s="13" t="s">
        <v>316</v>
      </c>
      <c r="CIQ2" s="13" t="s">
        <v>320</v>
      </c>
      <c r="CIR2" s="13" t="s">
        <v>114</v>
      </c>
      <c r="CIS2" s="13" t="s">
        <v>110</v>
      </c>
      <c r="CIT2" s="13" t="s">
        <v>111</v>
      </c>
      <c r="CIU2" s="13" t="s">
        <v>112</v>
      </c>
      <c r="CIV2" s="13" t="s">
        <v>107</v>
      </c>
      <c r="CIW2" s="13" t="s">
        <v>175</v>
      </c>
      <c r="CIX2" s="13" t="s">
        <v>108</v>
      </c>
      <c r="CIY2" s="13" t="s">
        <v>313</v>
      </c>
      <c r="CIZ2" s="13" t="s">
        <v>316</v>
      </c>
      <c r="CJA2" s="13" t="s">
        <v>113</v>
      </c>
      <c r="CJB2" s="13" t="s">
        <v>114</v>
      </c>
      <c r="CJC2" s="13" t="s">
        <v>110</v>
      </c>
      <c r="CJD2" s="13" t="s">
        <v>111</v>
      </c>
      <c r="CJE2" s="13" t="s">
        <v>112</v>
      </c>
      <c r="CJF2" s="13" t="s">
        <v>107</v>
      </c>
      <c r="CJG2" s="13" t="s">
        <v>175</v>
      </c>
      <c r="CJH2" s="13" t="s">
        <v>108</v>
      </c>
      <c r="CJI2" s="13" t="s">
        <v>313</v>
      </c>
      <c r="CJJ2" s="13" t="s">
        <v>316</v>
      </c>
      <c r="CJK2" s="13" t="s">
        <v>113</v>
      </c>
      <c r="CJL2" s="13" t="s">
        <v>114</v>
      </c>
      <c r="CJM2" s="13" t="s">
        <v>110</v>
      </c>
      <c r="CJN2" s="13" t="s">
        <v>111</v>
      </c>
      <c r="CJO2" s="13" t="s">
        <v>112</v>
      </c>
      <c r="CJP2" s="13" t="s">
        <v>107</v>
      </c>
      <c r="CJQ2" s="13" t="s">
        <v>175</v>
      </c>
      <c r="CJR2" s="13" t="s">
        <v>108</v>
      </c>
      <c r="CJS2" s="13" t="s">
        <v>313</v>
      </c>
      <c r="CJT2" s="13" t="s">
        <v>316</v>
      </c>
      <c r="CJU2" s="13" t="s">
        <v>113</v>
      </c>
      <c r="CJV2" s="13" t="s">
        <v>114</v>
      </c>
      <c r="CJW2" s="13" t="s">
        <v>110</v>
      </c>
      <c r="CJX2" s="13" t="s">
        <v>111</v>
      </c>
      <c r="CJY2" s="13" t="s">
        <v>112</v>
      </c>
      <c r="CJZ2" s="13" t="s">
        <v>107</v>
      </c>
      <c r="CKA2" s="13" t="s">
        <v>175</v>
      </c>
      <c r="CKB2" s="13" t="s">
        <v>108</v>
      </c>
      <c r="CKC2" s="13" t="s">
        <v>313</v>
      </c>
      <c r="CKD2" s="13" t="s">
        <v>316</v>
      </c>
      <c r="CKE2" s="13" t="s">
        <v>113</v>
      </c>
      <c r="CKF2" s="13" t="s">
        <v>114</v>
      </c>
      <c r="CKG2" s="13" t="s">
        <v>110</v>
      </c>
      <c r="CKH2" s="13" t="s">
        <v>111</v>
      </c>
      <c r="CKI2" s="13" t="s">
        <v>112</v>
      </c>
      <c r="CKJ2" s="13" t="s">
        <v>384</v>
      </c>
      <c r="CKK2" s="13" t="s">
        <v>107</v>
      </c>
      <c r="CKL2" s="13" t="s">
        <v>175</v>
      </c>
      <c r="CKM2" s="13" t="s">
        <v>108</v>
      </c>
      <c r="CKN2" s="13" t="s">
        <v>313</v>
      </c>
      <c r="CKO2" s="13" t="s">
        <v>316</v>
      </c>
      <c r="CKP2" s="13" t="s">
        <v>169</v>
      </c>
      <c r="CKQ2" s="13" t="s">
        <v>113</v>
      </c>
      <c r="CKR2" s="13" t="s">
        <v>114</v>
      </c>
      <c r="CKS2" s="13" t="s">
        <v>110</v>
      </c>
      <c r="CKT2" s="13" t="s">
        <v>111</v>
      </c>
      <c r="CKU2" s="13" t="s">
        <v>112</v>
      </c>
      <c r="CKV2" s="13" t="s">
        <v>107</v>
      </c>
      <c r="CKW2" s="13" t="s">
        <v>175</v>
      </c>
      <c r="CKX2" s="13" t="s">
        <v>108</v>
      </c>
      <c r="CKY2" s="13" t="s">
        <v>313</v>
      </c>
      <c r="CKZ2" s="13" t="s">
        <v>316</v>
      </c>
      <c r="CLA2" s="13" t="s">
        <v>113</v>
      </c>
      <c r="CLB2" s="13" t="s">
        <v>114</v>
      </c>
      <c r="CLC2" s="13" t="s">
        <v>110</v>
      </c>
      <c r="CLD2" s="13" t="s">
        <v>111</v>
      </c>
      <c r="CLE2" s="13" t="s">
        <v>112</v>
      </c>
      <c r="CLF2" s="13" t="s">
        <v>107</v>
      </c>
      <c r="CLG2" s="13" t="s">
        <v>175</v>
      </c>
      <c r="CLH2" s="13" t="s">
        <v>108</v>
      </c>
      <c r="CLI2" s="13" t="s">
        <v>313</v>
      </c>
      <c r="CLJ2" s="13" t="s">
        <v>316</v>
      </c>
      <c r="CLK2" s="13" t="s">
        <v>113</v>
      </c>
      <c r="CLL2" s="13" t="s">
        <v>114</v>
      </c>
      <c r="CLM2" s="13" t="s">
        <v>110</v>
      </c>
      <c r="CLN2" s="13" t="s">
        <v>111</v>
      </c>
      <c r="CLO2" s="13" t="s">
        <v>112</v>
      </c>
      <c r="CLP2" s="13" t="s">
        <v>107</v>
      </c>
      <c r="CLQ2" s="13" t="s">
        <v>175</v>
      </c>
      <c r="CLR2" s="13" t="s">
        <v>108</v>
      </c>
      <c r="CLS2" s="13" t="s">
        <v>313</v>
      </c>
      <c r="CLT2" s="13" t="s">
        <v>316</v>
      </c>
      <c r="CLU2" s="13" t="s">
        <v>169</v>
      </c>
      <c r="CLV2" s="13" t="s">
        <v>113</v>
      </c>
      <c r="CLW2" s="13" t="s">
        <v>114</v>
      </c>
      <c r="CLX2" s="13" t="s">
        <v>110</v>
      </c>
      <c r="CLY2" s="13" t="s">
        <v>111</v>
      </c>
      <c r="CLZ2" s="13" t="s">
        <v>112</v>
      </c>
      <c r="CMA2" s="13" t="s">
        <v>107</v>
      </c>
      <c r="CMB2" s="13" t="s">
        <v>175</v>
      </c>
      <c r="CMC2" s="13" t="s">
        <v>108</v>
      </c>
      <c r="CMD2" s="13" t="s">
        <v>313</v>
      </c>
      <c r="CME2" s="13" t="s">
        <v>316</v>
      </c>
      <c r="CMF2" s="13" t="s">
        <v>113</v>
      </c>
      <c r="CMG2" s="13" t="s">
        <v>114</v>
      </c>
      <c r="CMH2" s="13" t="s">
        <v>110</v>
      </c>
      <c r="CMI2" s="13" t="s">
        <v>111</v>
      </c>
      <c r="CMJ2" s="13" t="s">
        <v>112</v>
      </c>
      <c r="CMK2" s="13" t="s">
        <v>107</v>
      </c>
      <c r="CML2" s="13" t="s">
        <v>175</v>
      </c>
      <c r="CMM2" s="13" t="s">
        <v>108</v>
      </c>
      <c r="CMN2" s="13" t="s">
        <v>313</v>
      </c>
      <c r="CMO2" s="13" t="s">
        <v>316</v>
      </c>
      <c r="CMP2" s="13" t="s">
        <v>113</v>
      </c>
      <c r="CMQ2" s="13" t="s">
        <v>114</v>
      </c>
      <c r="CMR2" s="13" t="s">
        <v>110</v>
      </c>
      <c r="CMS2" s="13" t="s">
        <v>111</v>
      </c>
      <c r="CMT2" s="13" t="s">
        <v>112</v>
      </c>
      <c r="CMU2" s="13" t="s">
        <v>107</v>
      </c>
      <c r="CMV2" s="13" t="s">
        <v>175</v>
      </c>
      <c r="CMW2" s="13" t="s">
        <v>108</v>
      </c>
      <c r="CMX2" s="13" t="s">
        <v>313</v>
      </c>
      <c r="CMY2" s="13" t="s">
        <v>316</v>
      </c>
      <c r="CMZ2" s="13" t="s">
        <v>113</v>
      </c>
      <c r="CNA2" s="13" t="s">
        <v>114</v>
      </c>
      <c r="CNB2" s="13" t="s">
        <v>110</v>
      </c>
      <c r="CNC2" s="13" t="s">
        <v>111</v>
      </c>
      <c r="CND2" s="13" t="s">
        <v>112</v>
      </c>
      <c r="CNE2" s="13" t="s">
        <v>107</v>
      </c>
      <c r="CNF2" s="13" t="s">
        <v>175</v>
      </c>
      <c r="CNG2" s="13" t="s">
        <v>108</v>
      </c>
      <c r="CNH2" s="13" t="s">
        <v>313</v>
      </c>
      <c r="CNI2" s="13" t="s">
        <v>316</v>
      </c>
      <c r="CNJ2" s="13" t="s">
        <v>113</v>
      </c>
      <c r="CNK2" s="13" t="s">
        <v>114</v>
      </c>
      <c r="CNL2" s="13" t="s">
        <v>110</v>
      </c>
      <c r="CNM2" s="13" t="s">
        <v>111</v>
      </c>
      <c r="CNN2" s="13" t="s">
        <v>112</v>
      </c>
      <c r="CNO2" s="13" t="s">
        <v>107</v>
      </c>
      <c r="CNP2" s="13" t="s">
        <v>175</v>
      </c>
      <c r="CNQ2" s="13" t="s">
        <v>108</v>
      </c>
      <c r="CNR2" s="13" t="s">
        <v>313</v>
      </c>
      <c r="CNS2" s="13" t="s">
        <v>316</v>
      </c>
      <c r="CNT2" s="13" t="s">
        <v>282</v>
      </c>
      <c r="CNU2" s="13" t="s">
        <v>114</v>
      </c>
      <c r="CNV2" s="13" t="s">
        <v>384</v>
      </c>
      <c r="CNW2" s="13" t="s">
        <v>107</v>
      </c>
      <c r="CNX2" s="13" t="s">
        <v>175</v>
      </c>
      <c r="CNY2" s="13" t="s">
        <v>108</v>
      </c>
      <c r="CNZ2" s="13" t="s">
        <v>313</v>
      </c>
      <c r="COA2" s="13" t="s">
        <v>316</v>
      </c>
      <c r="COB2" s="13" t="s">
        <v>169</v>
      </c>
      <c r="COC2" s="13" t="s">
        <v>113</v>
      </c>
      <c r="COD2" s="13" t="s">
        <v>114</v>
      </c>
      <c r="COE2" s="13" t="s">
        <v>110</v>
      </c>
      <c r="COF2" s="13" t="s">
        <v>111</v>
      </c>
      <c r="COG2" s="13" t="s">
        <v>112</v>
      </c>
      <c r="COH2" s="13" t="s">
        <v>107</v>
      </c>
      <c r="COI2" s="13" t="s">
        <v>175</v>
      </c>
      <c r="COJ2" s="13" t="s">
        <v>108</v>
      </c>
      <c r="COK2" s="13" t="s">
        <v>313</v>
      </c>
      <c r="COL2" s="13" t="s">
        <v>316</v>
      </c>
      <c r="COM2" s="13" t="s">
        <v>113</v>
      </c>
      <c r="CON2" s="13" t="s">
        <v>114</v>
      </c>
      <c r="COO2" s="13" t="s">
        <v>110</v>
      </c>
      <c r="COP2" s="13" t="s">
        <v>111</v>
      </c>
      <c r="COQ2" s="13" t="s">
        <v>112</v>
      </c>
      <c r="COR2" s="13" t="s">
        <v>107</v>
      </c>
      <c r="COS2" s="13" t="s">
        <v>175</v>
      </c>
      <c r="COT2" s="13" t="s">
        <v>108</v>
      </c>
      <c r="COU2" s="13" t="s">
        <v>313</v>
      </c>
      <c r="COV2" s="13" t="s">
        <v>316</v>
      </c>
      <c r="COW2" s="13" t="s">
        <v>429</v>
      </c>
      <c r="COX2" s="13" t="s">
        <v>189</v>
      </c>
      <c r="COY2" s="13" t="s">
        <v>110</v>
      </c>
      <c r="COZ2" s="13" t="s">
        <v>111</v>
      </c>
      <c r="CPA2" s="13" t="s">
        <v>112</v>
      </c>
      <c r="CPB2" s="13" t="s">
        <v>107</v>
      </c>
      <c r="CPC2" s="13" t="s">
        <v>175</v>
      </c>
      <c r="CPD2" s="13" t="s">
        <v>108</v>
      </c>
      <c r="CPE2" s="13" t="s">
        <v>313</v>
      </c>
      <c r="CPF2" s="13" t="s">
        <v>316</v>
      </c>
      <c r="CPG2" s="13" t="s">
        <v>113</v>
      </c>
      <c r="CPH2" s="13" t="s">
        <v>114</v>
      </c>
      <c r="CPI2" s="13" t="s">
        <v>110</v>
      </c>
      <c r="CPJ2" s="13" t="s">
        <v>111</v>
      </c>
      <c r="CPK2" s="13" t="s">
        <v>850</v>
      </c>
      <c r="CPL2" s="13" t="s">
        <v>112</v>
      </c>
      <c r="CPM2" s="13" t="s">
        <v>107</v>
      </c>
      <c r="CPN2" s="13" t="s">
        <v>175</v>
      </c>
      <c r="CPO2" s="13" t="s">
        <v>108</v>
      </c>
      <c r="CPP2" s="13" t="s">
        <v>313</v>
      </c>
      <c r="CPQ2" s="13" t="s">
        <v>316</v>
      </c>
      <c r="CPR2" s="13" t="s">
        <v>113</v>
      </c>
      <c r="CPS2" s="13" t="s">
        <v>189</v>
      </c>
      <c r="CPT2" s="13" t="s">
        <v>110</v>
      </c>
      <c r="CPU2" s="13" t="s">
        <v>111</v>
      </c>
      <c r="CPV2" s="13" t="s">
        <v>112</v>
      </c>
      <c r="CPW2" s="13" t="s">
        <v>107</v>
      </c>
      <c r="CPX2" s="13" t="s">
        <v>175</v>
      </c>
      <c r="CPY2" s="13" t="s">
        <v>108</v>
      </c>
      <c r="CPZ2" s="13" t="s">
        <v>313</v>
      </c>
      <c r="CQA2" s="13" t="s">
        <v>316</v>
      </c>
      <c r="CQB2" s="13" t="s">
        <v>256</v>
      </c>
      <c r="CQC2" s="13" t="s">
        <v>189</v>
      </c>
      <c r="CQD2" s="13" t="s">
        <v>110</v>
      </c>
      <c r="CQE2" s="13" t="s">
        <v>111</v>
      </c>
      <c r="CQF2" s="13" t="s">
        <v>112</v>
      </c>
      <c r="CQG2" s="13" t="s">
        <v>107</v>
      </c>
      <c r="CQH2" s="13" t="s">
        <v>175</v>
      </c>
      <c r="CQI2" s="13" t="s">
        <v>108</v>
      </c>
      <c r="CQJ2" s="13" t="s">
        <v>313</v>
      </c>
      <c r="CQK2" s="13" t="s">
        <v>316</v>
      </c>
      <c r="CQL2" s="13" t="s">
        <v>342</v>
      </c>
      <c r="CQM2" s="13" t="s">
        <v>114</v>
      </c>
      <c r="CQN2" s="13" t="s">
        <v>110</v>
      </c>
      <c r="CQO2" s="13" t="s">
        <v>111</v>
      </c>
      <c r="CQP2" s="13" t="s">
        <v>112</v>
      </c>
      <c r="CQQ2" s="13" t="s">
        <v>107</v>
      </c>
      <c r="CQR2" s="13" t="s">
        <v>175</v>
      </c>
      <c r="CQS2" s="13" t="s">
        <v>108</v>
      </c>
      <c r="CQT2" s="13" t="s">
        <v>313</v>
      </c>
      <c r="CQU2" s="13" t="s">
        <v>316</v>
      </c>
      <c r="CQV2" s="13" t="s">
        <v>113</v>
      </c>
      <c r="CQW2" s="13" t="s">
        <v>114</v>
      </c>
      <c r="CQX2" s="13" t="s">
        <v>110</v>
      </c>
      <c r="CQY2" s="13" t="s">
        <v>111</v>
      </c>
      <c r="CQZ2" s="13" t="s">
        <v>112</v>
      </c>
      <c r="CRA2" s="13" t="s">
        <v>107</v>
      </c>
      <c r="CRB2" s="13" t="s">
        <v>175</v>
      </c>
      <c r="CRC2" s="13" t="s">
        <v>108</v>
      </c>
      <c r="CRD2" s="13" t="s">
        <v>313</v>
      </c>
      <c r="CRE2" s="13" t="s">
        <v>316</v>
      </c>
      <c r="CRF2" s="13" t="s">
        <v>113</v>
      </c>
      <c r="CRG2" s="13" t="s">
        <v>114</v>
      </c>
      <c r="CRH2" s="13" t="s">
        <v>110</v>
      </c>
      <c r="CRI2" s="13" t="s">
        <v>111</v>
      </c>
      <c r="CRJ2" s="13" t="s">
        <v>112</v>
      </c>
      <c r="CRK2" s="13" t="s">
        <v>107</v>
      </c>
      <c r="CRL2" s="13" t="s">
        <v>175</v>
      </c>
      <c r="CRM2" s="13" t="s">
        <v>108</v>
      </c>
      <c r="CRN2" s="13" t="s">
        <v>313</v>
      </c>
      <c r="CRO2" s="13" t="s">
        <v>316</v>
      </c>
      <c r="CRP2" s="13" t="s">
        <v>169</v>
      </c>
      <c r="CRQ2" s="13" t="s">
        <v>113</v>
      </c>
      <c r="CRR2" s="13" t="s">
        <v>114</v>
      </c>
      <c r="CRS2" s="13" t="s">
        <v>110</v>
      </c>
      <c r="CRT2" s="13" t="s">
        <v>111</v>
      </c>
      <c r="CRU2" s="13" t="s">
        <v>112</v>
      </c>
      <c r="CRV2" s="13" t="s">
        <v>107</v>
      </c>
      <c r="CRW2" s="13" t="s">
        <v>175</v>
      </c>
      <c r="CRX2" s="13" t="s">
        <v>108</v>
      </c>
      <c r="CRY2" s="13" t="s">
        <v>313</v>
      </c>
      <c r="CRZ2" s="13" t="s">
        <v>316</v>
      </c>
      <c r="CSA2" s="13" t="s">
        <v>169</v>
      </c>
      <c r="CSB2" s="13" t="s">
        <v>113</v>
      </c>
      <c r="CSC2" s="13" t="s">
        <v>114</v>
      </c>
      <c r="CSD2" s="13" t="s">
        <v>110</v>
      </c>
      <c r="CSE2" s="13" t="s">
        <v>111</v>
      </c>
      <c r="CSF2" s="13" t="s">
        <v>112</v>
      </c>
      <c r="CSG2" s="13" t="s">
        <v>107</v>
      </c>
      <c r="CSH2" s="13" t="s">
        <v>175</v>
      </c>
      <c r="CSI2" s="13" t="s">
        <v>108</v>
      </c>
      <c r="CSJ2" s="13" t="s">
        <v>313</v>
      </c>
      <c r="CSK2" s="13" t="s">
        <v>316</v>
      </c>
      <c r="CSL2" s="13" t="s">
        <v>660</v>
      </c>
      <c r="CSM2" s="13" t="s">
        <v>114</v>
      </c>
      <c r="CSN2" s="13" t="s">
        <v>1217</v>
      </c>
      <c r="CSO2" s="13" t="s">
        <v>111</v>
      </c>
      <c r="CSP2" s="13" t="s">
        <v>112</v>
      </c>
      <c r="CSQ2" s="13" t="s">
        <v>107</v>
      </c>
      <c r="CSR2" s="13" t="s">
        <v>175</v>
      </c>
      <c r="CSS2" s="13" t="s">
        <v>108</v>
      </c>
      <c r="CST2" s="13" t="s">
        <v>313</v>
      </c>
      <c r="CSU2" s="13" t="s">
        <v>316</v>
      </c>
      <c r="CSV2" s="13" t="s">
        <v>261</v>
      </c>
      <c r="CSW2" s="13" t="s">
        <v>114</v>
      </c>
      <c r="CSX2" s="13" t="s">
        <v>835</v>
      </c>
      <c r="CSY2" s="13" t="s">
        <v>111</v>
      </c>
      <c r="CSZ2" s="13" t="s">
        <v>112</v>
      </c>
      <c r="CTA2" s="13" t="s">
        <v>107</v>
      </c>
      <c r="CTB2" s="13" t="s">
        <v>175</v>
      </c>
      <c r="CTC2" s="13" t="s">
        <v>108</v>
      </c>
      <c r="CTD2" s="13" t="s">
        <v>313</v>
      </c>
      <c r="CTE2" s="13" t="s">
        <v>316</v>
      </c>
      <c r="CTF2" s="13" t="s">
        <v>113</v>
      </c>
      <c r="CTG2" s="13" t="s">
        <v>114</v>
      </c>
      <c r="CTH2" s="13" t="s">
        <v>835</v>
      </c>
      <c r="CTI2" s="13" t="s">
        <v>111</v>
      </c>
      <c r="CTJ2" s="13" t="s">
        <v>112</v>
      </c>
      <c r="CTK2" s="13" t="s">
        <v>107</v>
      </c>
      <c r="CTL2" s="13" t="s">
        <v>175</v>
      </c>
      <c r="CTM2" s="13" t="s">
        <v>108</v>
      </c>
      <c r="CTN2" s="13" t="s">
        <v>313</v>
      </c>
      <c r="CTO2" s="13" t="s">
        <v>316</v>
      </c>
      <c r="CTP2" s="13" t="s">
        <v>660</v>
      </c>
      <c r="CTQ2" s="13" t="s">
        <v>114</v>
      </c>
      <c r="CTR2" s="13" t="s">
        <v>835</v>
      </c>
      <c r="CTS2" s="13" t="s">
        <v>111</v>
      </c>
      <c r="CTT2" s="13" t="s">
        <v>112</v>
      </c>
      <c r="CTU2" s="13" t="s">
        <v>107</v>
      </c>
      <c r="CTV2" s="13" t="s">
        <v>175</v>
      </c>
      <c r="CTW2" s="13" t="s">
        <v>108</v>
      </c>
      <c r="CTX2" s="13" t="s">
        <v>313</v>
      </c>
      <c r="CTY2" s="13" t="s">
        <v>316</v>
      </c>
      <c r="CTZ2" s="13" t="s">
        <v>261</v>
      </c>
      <c r="CUA2" s="13" t="s">
        <v>114</v>
      </c>
      <c r="CUB2" s="13" t="s">
        <v>835</v>
      </c>
      <c r="CUC2" s="13" t="s">
        <v>111</v>
      </c>
      <c r="CUD2" s="13" t="s">
        <v>112</v>
      </c>
      <c r="CUE2" s="13" t="s">
        <v>107</v>
      </c>
      <c r="CUF2" s="13" t="s">
        <v>175</v>
      </c>
      <c r="CUG2" s="13" t="s">
        <v>108</v>
      </c>
      <c r="CUH2" s="13" t="s">
        <v>313</v>
      </c>
      <c r="CUI2" s="13" t="s">
        <v>316</v>
      </c>
      <c r="CUJ2" s="13" t="s">
        <v>113</v>
      </c>
      <c r="CUK2" s="13" t="s">
        <v>114</v>
      </c>
      <c r="CUL2" s="13" t="s">
        <v>110</v>
      </c>
      <c r="CUM2" s="13" t="s">
        <v>111</v>
      </c>
      <c r="CUN2" s="13" t="s">
        <v>112</v>
      </c>
      <c r="CUO2" s="13" t="s">
        <v>1217</v>
      </c>
      <c r="CUP2" s="13" t="s">
        <v>107</v>
      </c>
      <c r="CUQ2" s="13" t="s">
        <v>175</v>
      </c>
      <c r="CUR2" s="13" t="s">
        <v>108</v>
      </c>
      <c r="CUS2" s="13" t="s">
        <v>313</v>
      </c>
      <c r="CUT2" s="13" t="s">
        <v>316</v>
      </c>
      <c r="CUU2" s="13" t="s">
        <v>261</v>
      </c>
      <c r="CUV2" s="13" t="s">
        <v>114</v>
      </c>
      <c r="CUW2" s="13" t="s">
        <v>110</v>
      </c>
      <c r="CUX2" s="13" t="s">
        <v>111</v>
      </c>
      <c r="CUY2" s="13" t="s">
        <v>112</v>
      </c>
      <c r="CUZ2" s="13" t="s">
        <v>107</v>
      </c>
      <c r="CVA2" s="13" t="s">
        <v>175</v>
      </c>
      <c r="CVB2" s="13" t="s">
        <v>108</v>
      </c>
      <c r="CVC2" s="13" t="s">
        <v>313</v>
      </c>
      <c r="CVD2" s="13" t="s">
        <v>316</v>
      </c>
      <c r="CVE2" s="13" t="s">
        <v>1239</v>
      </c>
      <c r="CVF2" s="13" t="s">
        <v>114</v>
      </c>
      <c r="CVG2" s="13" t="s">
        <v>110</v>
      </c>
      <c r="CVH2" s="13" t="s">
        <v>111</v>
      </c>
      <c r="CVI2" s="13" t="s">
        <v>112</v>
      </c>
      <c r="CVJ2" s="13" t="s">
        <v>107</v>
      </c>
      <c r="CVK2" s="13" t="s">
        <v>175</v>
      </c>
      <c r="CVL2" s="13" t="s">
        <v>108</v>
      </c>
      <c r="CVM2" s="13" t="s">
        <v>313</v>
      </c>
      <c r="CVN2" s="13" t="s">
        <v>316</v>
      </c>
      <c r="CVO2" s="13" t="s">
        <v>322</v>
      </c>
      <c r="CVP2" s="13" t="s">
        <v>114</v>
      </c>
      <c r="CVQ2" s="13" t="s">
        <v>110</v>
      </c>
      <c r="CVR2" s="13" t="s">
        <v>111</v>
      </c>
      <c r="CVS2" s="13" t="s">
        <v>112</v>
      </c>
      <c r="CVT2" s="13" t="s">
        <v>107</v>
      </c>
      <c r="CVU2" s="13" t="s">
        <v>175</v>
      </c>
      <c r="CVV2" s="13" t="s">
        <v>108</v>
      </c>
      <c r="CVW2" s="13" t="s">
        <v>313</v>
      </c>
      <c r="CVX2" s="13" t="s">
        <v>316</v>
      </c>
      <c r="CVY2" s="13" t="s">
        <v>113</v>
      </c>
      <c r="CVZ2" s="13" t="s">
        <v>114</v>
      </c>
      <c r="CWA2" s="13" t="s">
        <v>110</v>
      </c>
      <c r="CWB2" s="13" t="s">
        <v>111</v>
      </c>
      <c r="CWC2" s="13" t="s">
        <v>112</v>
      </c>
      <c r="CWD2" s="13" t="s">
        <v>107</v>
      </c>
      <c r="CWE2" s="13" t="s">
        <v>175</v>
      </c>
      <c r="CWF2" s="13" t="s">
        <v>108</v>
      </c>
      <c r="CWG2" s="13" t="s">
        <v>313</v>
      </c>
      <c r="CWH2" s="13" t="s">
        <v>316</v>
      </c>
      <c r="CWI2" s="13" t="s">
        <v>169</v>
      </c>
      <c r="CWJ2" s="13" t="s">
        <v>113</v>
      </c>
      <c r="CWK2" s="13" t="s">
        <v>114</v>
      </c>
      <c r="CWL2" s="13" t="s">
        <v>110</v>
      </c>
      <c r="CWM2" s="13" t="s">
        <v>111</v>
      </c>
      <c r="CWN2" s="13" t="s">
        <v>112</v>
      </c>
      <c r="CWO2" s="13" t="s">
        <v>107</v>
      </c>
      <c r="CWP2" s="13" t="s">
        <v>175</v>
      </c>
      <c r="CWQ2" s="13" t="s">
        <v>108</v>
      </c>
      <c r="CWR2" s="13" t="s">
        <v>313</v>
      </c>
      <c r="CWS2" s="13" t="s">
        <v>316</v>
      </c>
      <c r="CWT2" s="13" t="s">
        <v>113</v>
      </c>
      <c r="CWU2" s="13" t="s">
        <v>114</v>
      </c>
      <c r="CWV2" s="13" t="s">
        <v>110</v>
      </c>
      <c r="CWW2" s="13" t="s">
        <v>111</v>
      </c>
      <c r="CWX2" s="13" t="s">
        <v>112</v>
      </c>
      <c r="CWY2" s="13" t="s">
        <v>107</v>
      </c>
      <c r="CWZ2" s="13" t="s">
        <v>175</v>
      </c>
      <c r="CXA2" s="13" t="s">
        <v>108</v>
      </c>
      <c r="CXB2" s="13" t="s">
        <v>313</v>
      </c>
      <c r="CXC2" s="13" t="s">
        <v>316</v>
      </c>
      <c r="CXD2" s="13" t="s">
        <v>303</v>
      </c>
      <c r="CXE2" s="13" t="s">
        <v>114</v>
      </c>
      <c r="CXF2" s="13" t="s">
        <v>110</v>
      </c>
      <c r="CXG2" s="13" t="s">
        <v>111</v>
      </c>
      <c r="CXH2" s="13" t="s">
        <v>112</v>
      </c>
      <c r="CXI2" s="13" t="s">
        <v>107</v>
      </c>
      <c r="CXJ2" s="13" t="s">
        <v>175</v>
      </c>
      <c r="CXK2" s="13" t="s">
        <v>108</v>
      </c>
      <c r="CXL2" s="13" t="s">
        <v>313</v>
      </c>
      <c r="CXM2" s="13" t="s">
        <v>316</v>
      </c>
      <c r="CXN2" s="13" t="s">
        <v>113</v>
      </c>
      <c r="CXO2" s="13" t="s">
        <v>114</v>
      </c>
      <c r="CXP2" s="13" t="s">
        <v>110</v>
      </c>
      <c r="CXQ2" s="13" t="s">
        <v>111</v>
      </c>
      <c r="CXR2" s="13" t="s">
        <v>112</v>
      </c>
      <c r="CXS2" s="13" t="s">
        <v>107</v>
      </c>
      <c r="CXT2" s="13" t="s">
        <v>175</v>
      </c>
      <c r="CXU2" s="13" t="s">
        <v>108</v>
      </c>
      <c r="CXV2" s="13" t="s">
        <v>313</v>
      </c>
      <c r="CXW2" s="13" t="s">
        <v>316</v>
      </c>
      <c r="CXX2" s="13" t="s">
        <v>113</v>
      </c>
      <c r="CXY2" s="13" t="s">
        <v>114</v>
      </c>
      <c r="CXZ2" s="13" t="s">
        <v>110</v>
      </c>
      <c r="CYA2" s="13" t="s">
        <v>111</v>
      </c>
      <c r="CYB2" s="13" t="s">
        <v>112</v>
      </c>
      <c r="CYC2" s="13" t="s">
        <v>107</v>
      </c>
      <c r="CYD2" s="13" t="s">
        <v>175</v>
      </c>
      <c r="CYE2" s="13" t="s">
        <v>108</v>
      </c>
      <c r="CYF2" s="13" t="s">
        <v>313</v>
      </c>
      <c r="CYG2" s="13" t="s">
        <v>316</v>
      </c>
      <c r="CYH2" s="13" t="s">
        <v>113</v>
      </c>
      <c r="CYI2" s="13" t="s">
        <v>114</v>
      </c>
      <c r="CYJ2" s="13" t="s">
        <v>110</v>
      </c>
      <c r="CYK2" s="13" t="s">
        <v>111</v>
      </c>
      <c r="CYL2" s="13" t="s">
        <v>112</v>
      </c>
      <c r="CYM2" s="13" t="s">
        <v>107</v>
      </c>
      <c r="CYN2" s="13" t="s">
        <v>175</v>
      </c>
      <c r="CYO2" s="13" t="s">
        <v>108</v>
      </c>
      <c r="CYP2" s="13" t="s">
        <v>313</v>
      </c>
      <c r="CYQ2" s="13" t="s">
        <v>316</v>
      </c>
      <c r="CYR2" s="13" t="s">
        <v>113</v>
      </c>
      <c r="CYS2" s="13" t="s">
        <v>114</v>
      </c>
      <c r="CYT2" s="13" t="s">
        <v>110</v>
      </c>
      <c r="CYU2" s="13" t="s">
        <v>111</v>
      </c>
      <c r="CYV2" s="13" t="s">
        <v>112</v>
      </c>
      <c r="CYW2" s="13" t="s">
        <v>107</v>
      </c>
      <c r="CYX2" s="13" t="s">
        <v>175</v>
      </c>
      <c r="CYY2" s="13" t="s">
        <v>108</v>
      </c>
      <c r="CYZ2" s="13" t="s">
        <v>313</v>
      </c>
      <c r="CZA2" s="13" t="s">
        <v>316</v>
      </c>
      <c r="CZB2" s="13" t="s">
        <v>113</v>
      </c>
      <c r="CZC2" s="13" t="s">
        <v>114</v>
      </c>
      <c r="CZD2" s="13" t="s">
        <v>110</v>
      </c>
      <c r="CZE2" s="13" t="s">
        <v>111</v>
      </c>
      <c r="CZF2" s="13" t="s">
        <v>112</v>
      </c>
      <c r="CZG2" s="13" t="s">
        <v>107</v>
      </c>
      <c r="CZH2" s="13" t="s">
        <v>175</v>
      </c>
      <c r="CZI2" s="13" t="s">
        <v>108</v>
      </c>
      <c r="CZJ2" s="13" t="s">
        <v>313</v>
      </c>
      <c r="CZK2" s="13" t="s">
        <v>316</v>
      </c>
      <c r="CZL2" s="13" t="s">
        <v>660</v>
      </c>
      <c r="CZM2" s="13" t="s">
        <v>114</v>
      </c>
      <c r="CZN2" s="13" t="s">
        <v>110</v>
      </c>
      <c r="CZO2" s="13" t="s">
        <v>111</v>
      </c>
      <c r="CZP2" s="13" t="s">
        <v>187</v>
      </c>
      <c r="CZQ2" s="13" t="s">
        <v>112</v>
      </c>
      <c r="CZR2" s="13" t="s">
        <v>107</v>
      </c>
      <c r="CZS2" s="13" t="s">
        <v>175</v>
      </c>
      <c r="CZT2" s="13" t="s">
        <v>108</v>
      </c>
      <c r="CZU2" s="13" t="s">
        <v>313</v>
      </c>
      <c r="CZV2" s="13" t="s">
        <v>316</v>
      </c>
      <c r="CZW2" s="13" t="s">
        <v>303</v>
      </c>
      <c r="CZX2" s="13" t="s">
        <v>114</v>
      </c>
      <c r="CZY2" s="13" t="s">
        <v>110</v>
      </c>
      <c r="CZZ2" s="13" t="s">
        <v>111</v>
      </c>
      <c r="DAA2" s="13" t="s">
        <v>112</v>
      </c>
      <c r="DAB2" s="13" t="s">
        <v>107</v>
      </c>
      <c r="DAC2" s="13" t="s">
        <v>175</v>
      </c>
      <c r="DAD2" s="13" t="s">
        <v>108</v>
      </c>
      <c r="DAE2" s="13" t="s">
        <v>313</v>
      </c>
      <c r="DAF2" s="13" t="s">
        <v>316</v>
      </c>
      <c r="DAG2" s="13" t="s">
        <v>303</v>
      </c>
      <c r="DAH2" s="13" t="s">
        <v>114</v>
      </c>
      <c r="DAI2" s="13" t="s">
        <v>110</v>
      </c>
      <c r="DAJ2" s="13" t="s">
        <v>111</v>
      </c>
      <c r="DAK2" s="13" t="s">
        <v>112</v>
      </c>
      <c r="DAL2" s="13" t="s">
        <v>107</v>
      </c>
      <c r="DAM2" s="13" t="s">
        <v>175</v>
      </c>
      <c r="DAN2" s="13" t="s">
        <v>108</v>
      </c>
      <c r="DAO2" s="13" t="s">
        <v>313</v>
      </c>
      <c r="DAP2" s="13" t="s">
        <v>316</v>
      </c>
      <c r="DAQ2" s="13" t="s">
        <v>113</v>
      </c>
      <c r="DAR2" s="13" t="s">
        <v>114</v>
      </c>
      <c r="DAS2" s="13" t="s">
        <v>110</v>
      </c>
      <c r="DAT2" s="13" t="s">
        <v>111</v>
      </c>
      <c r="DAU2" s="13" t="s">
        <v>112</v>
      </c>
      <c r="DAV2" s="13" t="s">
        <v>107</v>
      </c>
      <c r="DAW2" s="13" t="s">
        <v>175</v>
      </c>
      <c r="DAX2" s="13" t="s">
        <v>108</v>
      </c>
      <c r="DAY2" s="13" t="s">
        <v>313</v>
      </c>
      <c r="DAZ2" s="13" t="s">
        <v>316</v>
      </c>
      <c r="DBA2" s="13" t="s">
        <v>303</v>
      </c>
      <c r="DBB2" s="13" t="s">
        <v>114</v>
      </c>
      <c r="DBC2" s="13" t="s">
        <v>110</v>
      </c>
      <c r="DBD2" s="13" t="s">
        <v>111</v>
      </c>
      <c r="DBE2" s="13" t="s">
        <v>112</v>
      </c>
      <c r="DBF2" s="13" t="s">
        <v>107</v>
      </c>
      <c r="DBG2" s="13" t="s">
        <v>175</v>
      </c>
      <c r="DBH2" s="13" t="s">
        <v>108</v>
      </c>
      <c r="DBI2" s="13" t="s">
        <v>313</v>
      </c>
      <c r="DBJ2" s="13" t="s">
        <v>316</v>
      </c>
      <c r="DBK2" s="13" t="s">
        <v>113</v>
      </c>
      <c r="DBL2" s="13" t="s">
        <v>114</v>
      </c>
      <c r="DBM2" s="13" t="s">
        <v>110</v>
      </c>
      <c r="DBN2" s="13" t="s">
        <v>111</v>
      </c>
      <c r="DBO2" s="13" t="s">
        <v>112</v>
      </c>
      <c r="DBP2" s="13" t="s">
        <v>107</v>
      </c>
      <c r="DBQ2" s="13" t="s">
        <v>175</v>
      </c>
      <c r="DBR2" s="13" t="s">
        <v>108</v>
      </c>
      <c r="DBS2" s="13" t="s">
        <v>313</v>
      </c>
      <c r="DBT2" s="13" t="s">
        <v>316</v>
      </c>
      <c r="DBU2" s="13" t="s">
        <v>169</v>
      </c>
      <c r="DBV2" s="13" t="s">
        <v>113</v>
      </c>
      <c r="DBW2" s="13" t="s">
        <v>114</v>
      </c>
      <c r="DBX2" s="13" t="s">
        <v>110</v>
      </c>
      <c r="DBY2" s="13" t="s">
        <v>111</v>
      </c>
      <c r="DBZ2" s="13" t="s">
        <v>112</v>
      </c>
      <c r="DCA2" s="13" t="s">
        <v>107</v>
      </c>
      <c r="DCB2" s="13" t="s">
        <v>175</v>
      </c>
      <c r="DCC2" s="13" t="s">
        <v>108</v>
      </c>
      <c r="DCD2" s="13" t="s">
        <v>313</v>
      </c>
      <c r="DCE2" s="13" t="s">
        <v>316</v>
      </c>
      <c r="DCF2" s="13" t="s">
        <v>113</v>
      </c>
      <c r="DCG2" s="13" t="s">
        <v>114</v>
      </c>
      <c r="DCH2" s="13" t="s">
        <v>110</v>
      </c>
      <c r="DCI2" s="13" t="s">
        <v>111</v>
      </c>
      <c r="DCJ2" s="13" t="s">
        <v>112</v>
      </c>
      <c r="DCK2" s="13" t="s">
        <v>107</v>
      </c>
      <c r="DCL2" s="13" t="s">
        <v>175</v>
      </c>
      <c r="DCM2" s="13" t="s">
        <v>108</v>
      </c>
      <c r="DCN2" s="13" t="s">
        <v>313</v>
      </c>
      <c r="DCO2" s="13" t="s">
        <v>316</v>
      </c>
      <c r="DCP2" s="13" t="s">
        <v>113</v>
      </c>
      <c r="DCQ2" s="13" t="s">
        <v>114</v>
      </c>
      <c r="DCR2" s="13" t="s">
        <v>110</v>
      </c>
      <c r="DCS2" s="13" t="s">
        <v>111</v>
      </c>
      <c r="DCT2" s="13" t="s">
        <v>112</v>
      </c>
      <c r="DCU2" s="13" t="s">
        <v>107</v>
      </c>
      <c r="DCV2" s="13" t="s">
        <v>175</v>
      </c>
      <c r="DCW2" s="13" t="s">
        <v>108</v>
      </c>
      <c r="DCX2" s="13" t="s">
        <v>313</v>
      </c>
      <c r="DCY2" s="13" t="s">
        <v>316</v>
      </c>
      <c r="DCZ2" s="13" t="s">
        <v>113</v>
      </c>
      <c r="DDA2" s="13" t="s">
        <v>114</v>
      </c>
      <c r="DDB2" s="13" t="s">
        <v>110</v>
      </c>
      <c r="DDC2" s="13" t="s">
        <v>111</v>
      </c>
      <c r="DDD2" s="13" t="s">
        <v>112</v>
      </c>
      <c r="DDE2" s="13" t="s">
        <v>107</v>
      </c>
      <c r="DDF2" s="13" t="s">
        <v>175</v>
      </c>
      <c r="DDG2" s="13" t="s">
        <v>108</v>
      </c>
      <c r="DDH2" s="13" t="s">
        <v>313</v>
      </c>
      <c r="DDI2" s="13" t="s">
        <v>316</v>
      </c>
      <c r="DDJ2" s="13" t="s">
        <v>113</v>
      </c>
      <c r="DDK2" s="13" t="s">
        <v>114</v>
      </c>
      <c r="DDL2" s="13" t="s">
        <v>110</v>
      </c>
      <c r="DDM2" s="13" t="s">
        <v>111</v>
      </c>
      <c r="DDN2" s="13" t="s">
        <v>112</v>
      </c>
      <c r="DDO2" s="13" t="s">
        <v>107</v>
      </c>
      <c r="DDP2" s="13" t="s">
        <v>175</v>
      </c>
      <c r="DDQ2" s="13" t="s">
        <v>108</v>
      </c>
      <c r="DDR2" s="13" t="s">
        <v>313</v>
      </c>
      <c r="DDS2" s="13" t="s">
        <v>316</v>
      </c>
      <c r="DDT2" s="13" t="s">
        <v>113</v>
      </c>
      <c r="DDU2" s="13" t="s">
        <v>114</v>
      </c>
      <c r="DDV2" s="13" t="s">
        <v>110</v>
      </c>
      <c r="DDW2" s="13" t="s">
        <v>111</v>
      </c>
      <c r="DDX2" s="13" t="s">
        <v>112</v>
      </c>
      <c r="DDY2" s="13" t="s">
        <v>107</v>
      </c>
      <c r="DDZ2" s="13" t="s">
        <v>175</v>
      </c>
      <c r="DEA2" s="13" t="s">
        <v>108</v>
      </c>
      <c r="DEB2" s="13" t="s">
        <v>313</v>
      </c>
      <c r="DEC2" s="13" t="s">
        <v>316</v>
      </c>
      <c r="DED2" s="13" t="s">
        <v>169</v>
      </c>
      <c r="DEE2" s="13" t="s">
        <v>113</v>
      </c>
      <c r="DEF2" s="13" t="s">
        <v>114</v>
      </c>
      <c r="DEG2" s="13" t="s">
        <v>110</v>
      </c>
      <c r="DEH2" s="13" t="s">
        <v>111</v>
      </c>
      <c r="DEI2" s="13" t="s">
        <v>112</v>
      </c>
      <c r="DEJ2" s="13" t="s">
        <v>107</v>
      </c>
      <c r="DEK2" s="13" t="s">
        <v>175</v>
      </c>
      <c r="DEL2" s="13" t="s">
        <v>108</v>
      </c>
      <c r="DEM2" s="13" t="s">
        <v>313</v>
      </c>
      <c r="DEN2" s="13" t="s">
        <v>316</v>
      </c>
      <c r="DEO2" s="13" t="s">
        <v>113</v>
      </c>
      <c r="DEP2" s="13" t="s">
        <v>114</v>
      </c>
      <c r="DEQ2" s="13" t="s">
        <v>110</v>
      </c>
      <c r="DER2" s="13" t="s">
        <v>111</v>
      </c>
      <c r="DES2" s="13" t="s">
        <v>112</v>
      </c>
      <c r="DET2" s="13" t="s">
        <v>107</v>
      </c>
      <c r="DEU2" s="13" t="s">
        <v>175</v>
      </c>
      <c r="DEV2" s="13" t="s">
        <v>108</v>
      </c>
      <c r="DEW2" s="13" t="s">
        <v>313</v>
      </c>
      <c r="DEX2" s="13" t="s">
        <v>316</v>
      </c>
      <c r="DEY2" s="13" t="s">
        <v>113</v>
      </c>
      <c r="DEZ2" s="13" t="s">
        <v>114</v>
      </c>
      <c r="DFA2" s="13" t="s">
        <v>110</v>
      </c>
      <c r="DFB2" s="13" t="s">
        <v>111</v>
      </c>
      <c r="DFC2" s="13" t="s">
        <v>112</v>
      </c>
      <c r="DFD2" s="13" t="s">
        <v>107</v>
      </c>
      <c r="DFE2" s="13" t="s">
        <v>175</v>
      </c>
      <c r="DFF2" s="13" t="s">
        <v>108</v>
      </c>
      <c r="DFG2" s="13" t="s">
        <v>313</v>
      </c>
      <c r="DFH2" s="13" t="s">
        <v>316</v>
      </c>
      <c r="DFI2" s="13" t="s">
        <v>113</v>
      </c>
      <c r="DFJ2" s="13" t="s">
        <v>114</v>
      </c>
      <c r="DFK2" s="13" t="s">
        <v>110</v>
      </c>
      <c r="DFL2" s="13" t="s">
        <v>111</v>
      </c>
      <c r="DFM2" s="13" t="s">
        <v>112</v>
      </c>
      <c r="DFN2" s="13" t="s">
        <v>107</v>
      </c>
      <c r="DFO2" s="13" t="s">
        <v>175</v>
      </c>
      <c r="DFP2" s="13" t="s">
        <v>108</v>
      </c>
      <c r="DFQ2" s="13" t="s">
        <v>313</v>
      </c>
      <c r="DFR2" s="13" t="s">
        <v>316</v>
      </c>
      <c r="DFS2" s="13" t="s">
        <v>113</v>
      </c>
      <c r="DFT2" s="13" t="s">
        <v>114</v>
      </c>
      <c r="DFU2" s="13" t="s">
        <v>110</v>
      </c>
      <c r="DFV2" s="13" t="s">
        <v>111</v>
      </c>
      <c r="DFW2" s="13" t="s">
        <v>112</v>
      </c>
      <c r="DFX2" s="13" t="s">
        <v>107</v>
      </c>
      <c r="DFY2" s="13" t="s">
        <v>175</v>
      </c>
      <c r="DFZ2" s="13" t="s">
        <v>108</v>
      </c>
      <c r="DGA2" s="13" t="s">
        <v>313</v>
      </c>
      <c r="DGB2" s="13" t="s">
        <v>316</v>
      </c>
      <c r="DGC2" s="13" t="s">
        <v>113</v>
      </c>
      <c r="DGD2" s="13" t="s">
        <v>114</v>
      </c>
      <c r="DGE2" s="13" t="s">
        <v>110</v>
      </c>
      <c r="DGF2" s="13" t="s">
        <v>111</v>
      </c>
      <c r="DGG2" s="13" t="s">
        <v>112</v>
      </c>
      <c r="DGH2" s="13" t="s">
        <v>107</v>
      </c>
      <c r="DGI2" s="13" t="s">
        <v>175</v>
      </c>
      <c r="DGJ2" s="13" t="s">
        <v>108</v>
      </c>
      <c r="DGK2" s="13" t="s">
        <v>313</v>
      </c>
      <c r="DGL2" s="13" t="s">
        <v>316</v>
      </c>
      <c r="DGM2" s="13" t="s">
        <v>113</v>
      </c>
      <c r="DGN2" s="13" t="s">
        <v>114</v>
      </c>
      <c r="DGO2" s="13" t="s">
        <v>110</v>
      </c>
      <c r="DGP2" s="13" t="s">
        <v>111</v>
      </c>
      <c r="DGQ2" s="13" t="s">
        <v>112</v>
      </c>
      <c r="DGR2" s="13" t="s">
        <v>107</v>
      </c>
      <c r="DGS2" s="13" t="s">
        <v>175</v>
      </c>
      <c r="DGT2" s="13" t="s">
        <v>108</v>
      </c>
      <c r="DGU2" s="13" t="s">
        <v>313</v>
      </c>
      <c r="DGV2" s="13" t="s">
        <v>316</v>
      </c>
      <c r="DGW2" s="13" t="s">
        <v>113</v>
      </c>
      <c r="DGX2" s="13" t="s">
        <v>114</v>
      </c>
      <c r="DGY2" s="13" t="s">
        <v>110</v>
      </c>
      <c r="DGZ2" s="13" t="s">
        <v>111</v>
      </c>
      <c r="DHA2" s="13" t="s">
        <v>112</v>
      </c>
      <c r="DHB2" s="13" t="s">
        <v>107</v>
      </c>
      <c r="DHC2" s="13" t="s">
        <v>175</v>
      </c>
      <c r="DHD2" s="13" t="s">
        <v>108</v>
      </c>
      <c r="DHE2" s="13" t="s">
        <v>313</v>
      </c>
      <c r="DHF2" s="13" t="s">
        <v>316</v>
      </c>
      <c r="DHG2" s="13" t="s">
        <v>113</v>
      </c>
      <c r="DHH2" s="13" t="s">
        <v>114</v>
      </c>
      <c r="DHI2" s="13" t="s">
        <v>110</v>
      </c>
      <c r="DHJ2" s="13" t="s">
        <v>111</v>
      </c>
      <c r="DHK2" s="13" t="s">
        <v>112</v>
      </c>
      <c r="DHL2" s="13" t="s">
        <v>107</v>
      </c>
      <c r="DHM2" s="13" t="s">
        <v>175</v>
      </c>
      <c r="DHN2" s="13" t="s">
        <v>108</v>
      </c>
      <c r="DHO2" s="13" t="s">
        <v>313</v>
      </c>
      <c r="DHP2" s="13" t="s">
        <v>316</v>
      </c>
      <c r="DHQ2" s="13" t="s">
        <v>169</v>
      </c>
      <c r="DHR2" s="13" t="s">
        <v>113</v>
      </c>
      <c r="DHS2" s="13" t="s">
        <v>114</v>
      </c>
      <c r="DHT2" s="13" t="s">
        <v>110</v>
      </c>
      <c r="DHU2" s="13" t="s">
        <v>111</v>
      </c>
      <c r="DHV2" s="13" t="s">
        <v>112</v>
      </c>
      <c r="DHW2" s="13" t="s">
        <v>107</v>
      </c>
      <c r="DHX2" s="13" t="s">
        <v>175</v>
      </c>
      <c r="DHY2" s="13" t="s">
        <v>108</v>
      </c>
      <c r="DHZ2" s="13" t="s">
        <v>313</v>
      </c>
      <c r="DIA2" s="13" t="s">
        <v>316</v>
      </c>
      <c r="DIB2" s="13" t="s">
        <v>113</v>
      </c>
      <c r="DIC2" s="13" t="s">
        <v>114</v>
      </c>
      <c r="DID2" s="13" t="s">
        <v>110</v>
      </c>
      <c r="DIE2" s="13" t="s">
        <v>111</v>
      </c>
      <c r="DIF2" s="13" t="s">
        <v>112</v>
      </c>
      <c r="DIG2" s="13" t="s">
        <v>107</v>
      </c>
      <c r="DIH2" s="13" t="s">
        <v>175</v>
      </c>
      <c r="DII2" s="13" t="s">
        <v>108</v>
      </c>
      <c r="DIJ2" s="13" t="s">
        <v>313</v>
      </c>
      <c r="DIK2" s="13" t="s">
        <v>316</v>
      </c>
      <c r="DIL2" s="13" t="s">
        <v>113</v>
      </c>
      <c r="DIM2" s="13" t="s">
        <v>114</v>
      </c>
      <c r="DIN2" s="13" t="s">
        <v>110</v>
      </c>
      <c r="DIO2" s="13" t="s">
        <v>111</v>
      </c>
      <c r="DIP2" s="13" t="s">
        <v>112</v>
      </c>
      <c r="DIQ2" s="13" t="s">
        <v>107</v>
      </c>
      <c r="DIR2" s="13" t="s">
        <v>175</v>
      </c>
      <c r="DIS2" s="13" t="s">
        <v>108</v>
      </c>
      <c r="DIT2" s="13" t="s">
        <v>313</v>
      </c>
      <c r="DIU2" s="13" t="s">
        <v>316</v>
      </c>
      <c r="DIV2" s="13" t="s">
        <v>113</v>
      </c>
      <c r="DIW2" s="13" t="s">
        <v>114</v>
      </c>
      <c r="DIX2" s="13" t="s">
        <v>110</v>
      </c>
      <c r="DIY2" s="13" t="s">
        <v>111</v>
      </c>
      <c r="DIZ2" s="13" t="s">
        <v>112</v>
      </c>
      <c r="DJA2" s="13" t="s">
        <v>107</v>
      </c>
      <c r="DJB2" s="13" t="s">
        <v>175</v>
      </c>
      <c r="DJC2" s="13" t="s">
        <v>108</v>
      </c>
      <c r="DJD2" s="13" t="s">
        <v>313</v>
      </c>
      <c r="DJE2" s="13" t="s">
        <v>316</v>
      </c>
      <c r="DJF2" s="13" t="s">
        <v>113</v>
      </c>
      <c r="DJG2" s="13" t="s">
        <v>114</v>
      </c>
      <c r="DJH2" s="13" t="s">
        <v>110</v>
      </c>
      <c r="DJI2" s="13" t="s">
        <v>111</v>
      </c>
      <c r="DJJ2" s="13" t="s">
        <v>112</v>
      </c>
      <c r="DJK2" s="13" t="s">
        <v>107</v>
      </c>
      <c r="DJL2" s="13" t="s">
        <v>175</v>
      </c>
      <c r="DJM2" s="13" t="s">
        <v>108</v>
      </c>
      <c r="DJN2" s="13" t="s">
        <v>313</v>
      </c>
      <c r="DJO2" s="13" t="s">
        <v>316</v>
      </c>
      <c r="DJP2" s="13" t="s">
        <v>113</v>
      </c>
      <c r="DJQ2" s="13" t="s">
        <v>114</v>
      </c>
      <c r="DJR2" s="13" t="s">
        <v>110</v>
      </c>
      <c r="DJS2" s="13" t="s">
        <v>111</v>
      </c>
      <c r="DJT2" s="13" t="s">
        <v>112</v>
      </c>
      <c r="DJU2" s="13" t="s">
        <v>107</v>
      </c>
      <c r="DJV2" s="13" t="s">
        <v>175</v>
      </c>
      <c r="DJW2" s="13" t="s">
        <v>108</v>
      </c>
      <c r="DJX2" s="13" t="s">
        <v>313</v>
      </c>
      <c r="DJY2" s="13" t="s">
        <v>316</v>
      </c>
      <c r="DJZ2" s="13" t="s">
        <v>113</v>
      </c>
      <c r="DKA2" s="13" t="s">
        <v>114</v>
      </c>
      <c r="DKB2" s="13" t="s">
        <v>110</v>
      </c>
      <c r="DKC2" s="13" t="s">
        <v>111</v>
      </c>
      <c r="DKD2" s="13" t="s">
        <v>112</v>
      </c>
      <c r="DKE2" s="13" t="s">
        <v>107</v>
      </c>
      <c r="DKF2" s="13" t="s">
        <v>175</v>
      </c>
      <c r="DKG2" s="13" t="s">
        <v>108</v>
      </c>
      <c r="DKH2" s="13" t="s">
        <v>313</v>
      </c>
      <c r="DKI2" s="13" t="s">
        <v>316</v>
      </c>
      <c r="DKJ2" s="13" t="s">
        <v>113</v>
      </c>
      <c r="DKK2" s="13" t="s">
        <v>114</v>
      </c>
      <c r="DKL2" s="13" t="s">
        <v>110</v>
      </c>
      <c r="DKM2" s="13" t="s">
        <v>111</v>
      </c>
      <c r="DKN2" s="13" t="s">
        <v>112</v>
      </c>
      <c r="DKO2" s="13" t="s">
        <v>107</v>
      </c>
      <c r="DKP2" s="13" t="s">
        <v>175</v>
      </c>
      <c r="DKQ2" s="13" t="s">
        <v>108</v>
      </c>
      <c r="DKR2" s="13" t="s">
        <v>313</v>
      </c>
      <c r="DKS2" s="13" t="s">
        <v>316</v>
      </c>
      <c r="DKT2" s="13" t="s">
        <v>113</v>
      </c>
      <c r="DKU2" s="13" t="s">
        <v>114</v>
      </c>
      <c r="DKV2" s="13" t="s">
        <v>110</v>
      </c>
      <c r="DKW2" s="13" t="s">
        <v>111</v>
      </c>
      <c r="DKX2" s="13" t="s">
        <v>112</v>
      </c>
      <c r="DKY2" s="13" t="s">
        <v>107</v>
      </c>
      <c r="DKZ2" s="13" t="s">
        <v>175</v>
      </c>
      <c r="DLA2" s="13" t="s">
        <v>108</v>
      </c>
      <c r="DLB2" s="13" t="s">
        <v>313</v>
      </c>
      <c r="DLC2" s="13" t="s">
        <v>316</v>
      </c>
      <c r="DLD2" s="13" t="s">
        <v>113</v>
      </c>
      <c r="DLE2" s="13" t="s">
        <v>114</v>
      </c>
      <c r="DLF2" s="13" t="s">
        <v>110</v>
      </c>
      <c r="DLG2" s="13" t="s">
        <v>111</v>
      </c>
      <c r="DLH2" s="13" t="s">
        <v>112</v>
      </c>
      <c r="DLI2" s="13" t="s">
        <v>107</v>
      </c>
      <c r="DLJ2" s="13" t="s">
        <v>175</v>
      </c>
      <c r="DLK2" s="13" t="s">
        <v>108</v>
      </c>
      <c r="DLL2" s="13" t="s">
        <v>313</v>
      </c>
      <c r="DLM2" s="13" t="s">
        <v>316</v>
      </c>
      <c r="DLN2" s="13" t="s">
        <v>324</v>
      </c>
      <c r="DLO2" s="13" t="s">
        <v>114</v>
      </c>
      <c r="DLP2" s="13" t="s">
        <v>110</v>
      </c>
      <c r="DLQ2" s="13" t="s">
        <v>111</v>
      </c>
      <c r="DLR2" s="13" t="s">
        <v>112</v>
      </c>
      <c r="DLS2" s="13" t="s">
        <v>107</v>
      </c>
      <c r="DLT2" s="13" t="s">
        <v>175</v>
      </c>
      <c r="DLU2" s="13" t="s">
        <v>108</v>
      </c>
      <c r="DLV2" s="13" t="s">
        <v>313</v>
      </c>
      <c r="DLW2" s="13" t="s">
        <v>316</v>
      </c>
      <c r="DLX2" s="13" t="s">
        <v>113</v>
      </c>
      <c r="DLY2" s="13" t="s">
        <v>114</v>
      </c>
      <c r="DLZ2" s="13" t="s">
        <v>110</v>
      </c>
      <c r="DMA2" s="13" t="s">
        <v>111</v>
      </c>
      <c r="DMB2" s="13" t="s">
        <v>112</v>
      </c>
      <c r="DMC2" s="13" t="s">
        <v>107</v>
      </c>
      <c r="DMD2" s="13" t="s">
        <v>175</v>
      </c>
      <c r="DME2" s="13" t="s">
        <v>108</v>
      </c>
      <c r="DMF2" s="13" t="s">
        <v>313</v>
      </c>
      <c r="DMG2" s="13" t="s">
        <v>316</v>
      </c>
      <c r="DMH2" s="13" t="s">
        <v>113</v>
      </c>
      <c r="DMI2" s="13" t="s">
        <v>114</v>
      </c>
      <c r="DMJ2" s="13" t="s">
        <v>110</v>
      </c>
      <c r="DMK2" s="13" t="s">
        <v>111</v>
      </c>
      <c r="DML2" s="13" t="s">
        <v>112</v>
      </c>
      <c r="DMM2" s="13" t="s">
        <v>107</v>
      </c>
      <c r="DMN2" s="13" t="s">
        <v>175</v>
      </c>
      <c r="DMO2" s="13" t="s">
        <v>108</v>
      </c>
      <c r="DMP2" s="13" t="s">
        <v>313</v>
      </c>
      <c r="DMQ2" s="13" t="s">
        <v>316</v>
      </c>
      <c r="DMR2" s="13" t="s">
        <v>113</v>
      </c>
      <c r="DMS2" s="13" t="s">
        <v>114</v>
      </c>
      <c r="DMT2" s="13" t="s">
        <v>110</v>
      </c>
      <c r="DMU2" s="13" t="s">
        <v>111</v>
      </c>
      <c r="DMV2" s="13" t="s">
        <v>112</v>
      </c>
      <c r="DMW2" s="13" t="s">
        <v>107</v>
      </c>
      <c r="DMX2" s="13" t="s">
        <v>175</v>
      </c>
      <c r="DMY2" s="13" t="s">
        <v>108</v>
      </c>
      <c r="DMZ2" s="13" t="s">
        <v>313</v>
      </c>
      <c r="DNA2" s="13" t="s">
        <v>316</v>
      </c>
      <c r="DNB2" s="13" t="s">
        <v>113</v>
      </c>
      <c r="DNC2" s="13" t="s">
        <v>114</v>
      </c>
      <c r="DND2" s="13" t="s">
        <v>110</v>
      </c>
      <c r="DNE2" s="13" t="s">
        <v>111</v>
      </c>
      <c r="DNF2" s="13" t="s">
        <v>112</v>
      </c>
      <c r="DNG2" s="13" t="s">
        <v>107</v>
      </c>
      <c r="DNH2" s="13" t="s">
        <v>175</v>
      </c>
      <c r="DNI2" s="13" t="s">
        <v>108</v>
      </c>
      <c r="DNJ2" s="13" t="s">
        <v>313</v>
      </c>
      <c r="DNK2" s="13" t="s">
        <v>316</v>
      </c>
      <c r="DNL2" s="13" t="s">
        <v>113</v>
      </c>
      <c r="DNM2" s="13" t="s">
        <v>114</v>
      </c>
      <c r="DNN2" s="13" t="s">
        <v>110</v>
      </c>
      <c r="DNO2" s="13" t="s">
        <v>111</v>
      </c>
      <c r="DNP2" s="13" t="s">
        <v>112</v>
      </c>
      <c r="DNQ2" s="13" t="s">
        <v>107</v>
      </c>
      <c r="DNR2" s="13" t="s">
        <v>175</v>
      </c>
      <c r="DNS2" s="13" t="s">
        <v>108</v>
      </c>
      <c r="DNT2" s="13" t="s">
        <v>313</v>
      </c>
      <c r="DNU2" s="13" t="s">
        <v>316</v>
      </c>
      <c r="DNV2" s="13" t="s">
        <v>363</v>
      </c>
      <c r="DNW2" s="13" t="s">
        <v>114</v>
      </c>
      <c r="DNX2" s="13" t="s">
        <v>110</v>
      </c>
      <c r="DNY2" s="13" t="s">
        <v>111</v>
      </c>
      <c r="DNZ2" s="13" t="s">
        <v>112</v>
      </c>
      <c r="DOA2" s="13" t="s">
        <v>107</v>
      </c>
      <c r="DOB2" s="13" t="s">
        <v>175</v>
      </c>
      <c r="DOC2" s="13" t="s">
        <v>108</v>
      </c>
      <c r="DOD2" s="13" t="s">
        <v>313</v>
      </c>
      <c r="DOE2" s="13" t="s">
        <v>316</v>
      </c>
      <c r="DOF2" s="13" t="s">
        <v>113</v>
      </c>
      <c r="DOG2" s="13" t="s">
        <v>114</v>
      </c>
      <c r="DOH2" s="13" t="s">
        <v>110</v>
      </c>
      <c r="DOI2" s="13" t="s">
        <v>111</v>
      </c>
      <c r="DOJ2" s="13" t="s">
        <v>112</v>
      </c>
      <c r="DOK2" s="13" t="s">
        <v>107</v>
      </c>
      <c r="DOL2" s="13" t="s">
        <v>175</v>
      </c>
      <c r="DOM2" s="13" t="s">
        <v>108</v>
      </c>
      <c r="DON2" s="13" t="s">
        <v>313</v>
      </c>
      <c r="DOO2" s="13" t="s">
        <v>316</v>
      </c>
      <c r="DOP2" s="13" t="s">
        <v>113</v>
      </c>
      <c r="DOQ2" s="13" t="s">
        <v>114</v>
      </c>
      <c r="DOR2" s="13" t="s">
        <v>110</v>
      </c>
      <c r="DOS2" s="13" t="s">
        <v>111</v>
      </c>
      <c r="DOT2" s="13" t="s">
        <v>112</v>
      </c>
      <c r="DOU2" s="13" t="s">
        <v>107</v>
      </c>
      <c r="DOV2" s="13" t="s">
        <v>175</v>
      </c>
      <c r="DOW2" s="13" t="s">
        <v>108</v>
      </c>
      <c r="DOX2" s="13" t="s">
        <v>313</v>
      </c>
      <c r="DOY2" s="13" t="s">
        <v>316</v>
      </c>
      <c r="DOZ2" s="13" t="s">
        <v>113</v>
      </c>
      <c r="DPA2" s="13" t="s">
        <v>114</v>
      </c>
      <c r="DPB2" s="13" t="s">
        <v>110</v>
      </c>
      <c r="DPC2" s="13" t="s">
        <v>111</v>
      </c>
      <c r="DPD2" s="13" t="s">
        <v>112</v>
      </c>
      <c r="DPE2" s="13" t="s">
        <v>107</v>
      </c>
      <c r="DPF2" s="13" t="s">
        <v>175</v>
      </c>
      <c r="DPG2" s="13" t="s">
        <v>108</v>
      </c>
      <c r="DPH2" s="13" t="s">
        <v>313</v>
      </c>
      <c r="DPI2" s="13" t="s">
        <v>316</v>
      </c>
      <c r="DPJ2" s="13" t="s">
        <v>361</v>
      </c>
      <c r="DPK2" s="13" t="s">
        <v>114</v>
      </c>
      <c r="DPL2" s="13" t="s">
        <v>850</v>
      </c>
      <c r="DPM2" s="13" t="s">
        <v>107</v>
      </c>
      <c r="DPN2" s="13" t="s">
        <v>175</v>
      </c>
      <c r="DPO2" s="13" t="s">
        <v>108</v>
      </c>
      <c r="DPP2" s="13" t="s">
        <v>313</v>
      </c>
      <c r="DPQ2" s="13" t="s">
        <v>316</v>
      </c>
      <c r="DPR2" s="13" t="s">
        <v>320</v>
      </c>
      <c r="DPS2" s="13" t="s">
        <v>114</v>
      </c>
      <c r="DPT2" s="13" t="s">
        <v>110</v>
      </c>
      <c r="DPU2" s="13" t="s">
        <v>111</v>
      </c>
      <c r="DPV2" s="13" t="s">
        <v>112</v>
      </c>
      <c r="DPW2" s="13" t="s">
        <v>107</v>
      </c>
      <c r="DPX2" s="13" t="s">
        <v>175</v>
      </c>
      <c r="DPY2" s="13" t="s">
        <v>108</v>
      </c>
      <c r="DPZ2" s="13" t="s">
        <v>313</v>
      </c>
      <c r="DQA2" s="13" t="s">
        <v>316</v>
      </c>
      <c r="DQB2" s="13" t="s">
        <v>113</v>
      </c>
      <c r="DQC2" s="13" t="s">
        <v>114</v>
      </c>
      <c r="DQD2" s="13" t="s">
        <v>850</v>
      </c>
      <c r="DQE2" s="13" t="s">
        <v>107</v>
      </c>
      <c r="DQF2" s="13" t="s">
        <v>175</v>
      </c>
      <c r="DQG2" s="13" t="s">
        <v>108</v>
      </c>
      <c r="DQH2" s="13" t="s">
        <v>313</v>
      </c>
      <c r="DQI2" s="13" t="s">
        <v>316</v>
      </c>
      <c r="DQJ2" s="13" t="s">
        <v>113</v>
      </c>
      <c r="DQK2" s="13" t="s">
        <v>114</v>
      </c>
      <c r="DQL2" s="13" t="s">
        <v>110</v>
      </c>
      <c r="DQM2" s="13" t="s">
        <v>111</v>
      </c>
      <c r="DQN2" s="13" t="s">
        <v>112</v>
      </c>
      <c r="DQO2" s="13" t="s">
        <v>107</v>
      </c>
      <c r="DQP2" s="13" t="s">
        <v>175</v>
      </c>
      <c r="DQQ2" s="13" t="s">
        <v>108</v>
      </c>
      <c r="DQR2" s="13" t="s">
        <v>313</v>
      </c>
      <c r="DQS2" s="13" t="s">
        <v>316</v>
      </c>
      <c r="DQT2" s="13" t="s">
        <v>113</v>
      </c>
      <c r="DQU2" s="13" t="s">
        <v>114</v>
      </c>
      <c r="DQV2" s="13" t="s">
        <v>110</v>
      </c>
      <c r="DQW2" s="13" t="s">
        <v>111</v>
      </c>
      <c r="DQX2" s="13" t="s">
        <v>112</v>
      </c>
      <c r="DQY2" s="13" t="s">
        <v>107</v>
      </c>
      <c r="DQZ2" s="13" t="s">
        <v>175</v>
      </c>
      <c r="DRA2" s="13" t="s">
        <v>108</v>
      </c>
      <c r="DRB2" s="13" t="s">
        <v>313</v>
      </c>
      <c r="DRC2" s="13" t="s">
        <v>316</v>
      </c>
      <c r="DRD2" s="13" t="s">
        <v>113</v>
      </c>
      <c r="DRE2" s="13" t="s">
        <v>114</v>
      </c>
      <c r="DRF2" s="13" t="s">
        <v>110</v>
      </c>
      <c r="DRG2" s="13" t="s">
        <v>111</v>
      </c>
      <c r="DRH2" s="13" t="s">
        <v>112</v>
      </c>
      <c r="DRI2" s="13" t="s">
        <v>107</v>
      </c>
      <c r="DRJ2" s="13" t="s">
        <v>175</v>
      </c>
      <c r="DRK2" s="13" t="s">
        <v>108</v>
      </c>
      <c r="DRL2" s="13" t="s">
        <v>313</v>
      </c>
      <c r="DRM2" s="13" t="s">
        <v>316</v>
      </c>
      <c r="DRN2" s="13" t="s">
        <v>113</v>
      </c>
      <c r="DRO2" s="13" t="s">
        <v>114</v>
      </c>
      <c r="DRP2" s="13" t="s">
        <v>110</v>
      </c>
      <c r="DRQ2" s="13" t="s">
        <v>111</v>
      </c>
      <c r="DRR2" s="13" t="s">
        <v>112</v>
      </c>
      <c r="DRS2" s="13" t="s">
        <v>107</v>
      </c>
      <c r="DRT2" s="13" t="s">
        <v>175</v>
      </c>
      <c r="DRU2" s="13" t="s">
        <v>108</v>
      </c>
      <c r="DRV2" s="13" t="s">
        <v>313</v>
      </c>
      <c r="DRW2" s="13" t="s">
        <v>316</v>
      </c>
      <c r="DRX2" s="13" t="s">
        <v>342</v>
      </c>
      <c r="DRY2" s="13" t="s">
        <v>114</v>
      </c>
      <c r="DRZ2" s="13" t="s">
        <v>110</v>
      </c>
      <c r="DSA2" s="13" t="s">
        <v>111</v>
      </c>
      <c r="DSB2" s="13" t="s">
        <v>112</v>
      </c>
      <c r="DSC2" s="13" t="s">
        <v>107</v>
      </c>
      <c r="DSD2" s="13" t="s">
        <v>175</v>
      </c>
      <c r="DSE2" s="13" t="s">
        <v>108</v>
      </c>
      <c r="DSF2" s="13" t="s">
        <v>313</v>
      </c>
      <c r="DSG2" s="13" t="s">
        <v>316</v>
      </c>
      <c r="DSH2" s="13" t="s">
        <v>113</v>
      </c>
      <c r="DSI2" s="13" t="s">
        <v>114</v>
      </c>
      <c r="DSJ2" s="13" t="s">
        <v>110</v>
      </c>
      <c r="DSK2" s="13" t="s">
        <v>111</v>
      </c>
      <c r="DSL2" s="13" t="s">
        <v>112</v>
      </c>
      <c r="DSM2" s="13" t="s">
        <v>1217</v>
      </c>
      <c r="DSN2" s="13" t="s">
        <v>107</v>
      </c>
      <c r="DSO2" s="13" t="s">
        <v>175</v>
      </c>
      <c r="DSP2" s="13" t="s">
        <v>108</v>
      </c>
      <c r="DSQ2" s="13" t="s">
        <v>313</v>
      </c>
      <c r="DSR2" s="13" t="s">
        <v>316</v>
      </c>
      <c r="DSS2" s="13" t="s">
        <v>320</v>
      </c>
      <c r="DST2" s="13" t="s">
        <v>114</v>
      </c>
      <c r="DSU2" s="13" t="s">
        <v>110</v>
      </c>
      <c r="DSV2" s="13" t="s">
        <v>111</v>
      </c>
      <c r="DSW2" s="13" t="s">
        <v>112</v>
      </c>
      <c r="DSX2" s="13" t="s">
        <v>107</v>
      </c>
      <c r="DSY2" s="13" t="s">
        <v>175</v>
      </c>
      <c r="DSZ2" s="13" t="s">
        <v>108</v>
      </c>
      <c r="DTA2" s="13" t="s">
        <v>313</v>
      </c>
      <c r="DTB2" s="13" t="s">
        <v>316</v>
      </c>
      <c r="DTC2" s="13" t="s">
        <v>320</v>
      </c>
      <c r="DTD2" s="13" t="s">
        <v>114</v>
      </c>
      <c r="DTE2" s="13" t="s">
        <v>110</v>
      </c>
      <c r="DTF2" s="13" t="s">
        <v>111</v>
      </c>
      <c r="DTG2" s="13" t="s">
        <v>112</v>
      </c>
      <c r="DTH2" s="13" t="s">
        <v>107</v>
      </c>
      <c r="DTI2" s="13" t="s">
        <v>175</v>
      </c>
      <c r="DTJ2" s="13" t="s">
        <v>108</v>
      </c>
      <c r="DTK2" s="13" t="s">
        <v>313</v>
      </c>
      <c r="DTL2" s="13" t="s">
        <v>316</v>
      </c>
      <c r="DTM2" s="13" t="s">
        <v>113</v>
      </c>
      <c r="DTN2" s="13" t="s">
        <v>114</v>
      </c>
      <c r="DTO2" s="13" t="s">
        <v>110</v>
      </c>
      <c r="DTP2" s="13" t="s">
        <v>111</v>
      </c>
      <c r="DTQ2" s="13" t="s">
        <v>112</v>
      </c>
      <c r="DTR2" s="13" t="s">
        <v>107</v>
      </c>
      <c r="DTS2" s="13" t="s">
        <v>175</v>
      </c>
      <c r="DTT2" s="13" t="s">
        <v>108</v>
      </c>
      <c r="DTU2" s="13" t="s">
        <v>313</v>
      </c>
      <c r="DTV2" s="13" t="s">
        <v>316</v>
      </c>
      <c r="DTW2" s="13" t="s">
        <v>660</v>
      </c>
      <c r="DTX2" s="13" t="s">
        <v>114</v>
      </c>
      <c r="DTY2" s="13" t="s">
        <v>110</v>
      </c>
      <c r="DTZ2" s="13" t="s">
        <v>111</v>
      </c>
      <c r="DUA2" s="13" t="s">
        <v>112</v>
      </c>
      <c r="DUB2" s="13" t="s">
        <v>107</v>
      </c>
      <c r="DUC2" s="13" t="s">
        <v>175</v>
      </c>
      <c r="DUD2" s="13" t="s">
        <v>108</v>
      </c>
      <c r="DUE2" s="13" t="s">
        <v>313</v>
      </c>
      <c r="DUF2" s="13" t="s">
        <v>316</v>
      </c>
      <c r="DUG2" s="13" t="s">
        <v>260</v>
      </c>
      <c r="DUH2" s="13" t="s">
        <v>114</v>
      </c>
      <c r="DUI2" s="13" t="s">
        <v>110</v>
      </c>
      <c r="DUJ2" s="13" t="s">
        <v>111</v>
      </c>
      <c r="DUK2" s="13" t="s">
        <v>112</v>
      </c>
      <c r="DUL2" s="13" t="s">
        <v>107</v>
      </c>
      <c r="DUM2" s="13" t="s">
        <v>175</v>
      </c>
      <c r="DUN2" s="13" t="s">
        <v>108</v>
      </c>
      <c r="DUO2" s="13" t="s">
        <v>313</v>
      </c>
      <c r="DUP2" s="13" t="s">
        <v>316</v>
      </c>
      <c r="DUQ2" s="13" t="s">
        <v>260</v>
      </c>
      <c r="DUR2" s="13" t="s">
        <v>114</v>
      </c>
      <c r="DUS2" s="13" t="s">
        <v>110</v>
      </c>
      <c r="DUT2" s="13" t="s">
        <v>111</v>
      </c>
      <c r="DUU2" s="13" t="s">
        <v>112</v>
      </c>
      <c r="DUV2" s="13" t="s">
        <v>107</v>
      </c>
      <c r="DUW2" s="13" t="s">
        <v>175</v>
      </c>
      <c r="DUX2" s="13" t="s">
        <v>108</v>
      </c>
      <c r="DUY2" s="13" t="s">
        <v>313</v>
      </c>
      <c r="DUZ2" s="13" t="s">
        <v>316</v>
      </c>
      <c r="DVA2" s="13" t="s">
        <v>113</v>
      </c>
      <c r="DVB2" s="13" t="s">
        <v>114</v>
      </c>
      <c r="DVC2" s="13" t="s">
        <v>110</v>
      </c>
      <c r="DVD2" s="13" t="s">
        <v>111</v>
      </c>
      <c r="DVE2" s="13" t="s">
        <v>112</v>
      </c>
      <c r="DVF2" s="13" t="s">
        <v>107</v>
      </c>
      <c r="DVG2" s="13" t="s">
        <v>175</v>
      </c>
      <c r="DVH2" s="13" t="s">
        <v>108</v>
      </c>
      <c r="DVI2" s="13" t="s">
        <v>313</v>
      </c>
      <c r="DVJ2" s="13" t="s">
        <v>316</v>
      </c>
      <c r="DVK2" s="13" t="s">
        <v>169</v>
      </c>
      <c r="DVL2" s="13" t="s">
        <v>1239</v>
      </c>
      <c r="DVM2" s="13" t="s">
        <v>114</v>
      </c>
      <c r="DVN2" s="13" t="s">
        <v>110</v>
      </c>
      <c r="DVO2" s="13" t="s">
        <v>111</v>
      </c>
      <c r="DVP2" s="13" t="s">
        <v>112</v>
      </c>
      <c r="DVQ2" s="13" t="s">
        <v>107</v>
      </c>
      <c r="DVR2" s="13" t="s">
        <v>175</v>
      </c>
      <c r="DVS2" s="13" t="s">
        <v>108</v>
      </c>
      <c r="DVT2" s="13" t="s">
        <v>313</v>
      </c>
      <c r="DVU2" s="13" t="s">
        <v>316</v>
      </c>
      <c r="DVV2" s="13" t="s">
        <v>113</v>
      </c>
      <c r="DVW2" s="13" t="s">
        <v>114</v>
      </c>
      <c r="DVX2" s="13" t="s">
        <v>110</v>
      </c>
      <c r="DVY2" s="13" t="s">
        <v>111</v>
      </c>
      <c r="DVZ2" s="13" t="s">
        <v>112</v>
      </c>
      <c r="DWA2" s="13" t="s">
        <v>107</v>
      </c>
      <c r="DWB2" s="13" t="s">
        <v>175</v>
      </c>
      <c r="DWC2" s="13" t="s">
        <v>108</v>
      </c>
      <c r="DWD2" s="13" t="s">
        <v>313</v>
      </c>
      <c r="DWE2" s="13" t="s">
        <v>316</v>
      </c>
      <c r="DWF2" s="13" t="s">
        <v>113</v>
      </c>
      <c r="DWG2" s="13" t="s">
        <v>114</v>
      </c>
      <c r="DWH2" s="13" t="s">
        <v>110</v>
      </c>
      <c r="DWI2" s="13" t="s">
        <v>111</v>
      </c>
      <c r="DWJ2" s="13" t="s">
        <v>112</v>
      </c>
      <c r="DWK2" s="13" t="s">
        <v>107</v>
      </c>
      <c r="DWL2" s="13" t="s">
        <v>175</v>
      </c>
      <c r="DWM2" s="13" t="s">
        <v>108</v>
      </c>
      <c r="DWN2" s="13" t="s">
        <v>313</v>
      </c>
      <c r="DWO2" s="13" t="s">
        <v>316</v>
      </c>
      <c r="DWP2" s="13" t="s">
        <v>113</v>
      </c>
      <c r="DWQ2" s="13" t="s">
        <v>114</v>
      </c>
      <c r="DWR2" s="13" t="s">
        <v>110</v>
      </c>
      <c r="DWS2" s="13" t="s">
        <v>111</v>
      </c>
      <c r="DWT2" s="13" t="s">
        <v>112</v>
      </c>
      <c r="DWU2" s="13" t="s">
        <v>107</v>
      </c>
      <c r="DWV2" s="13" t="s">
        <v>175</v>
      </c>
      <c r="DWW2" s="13" t="s">
        <v>108</v>
      </c>
      <c r="DWX2" s="13" t="s">
        <v>313</v>
      </c>
      <c r="DWY2" s="13" t="s">
        <v>316</v>
      </c>
      <c r="DWZ2" s="13" t="s">
        <v>113</v>
      </c>
      <c r="DXA2" s="13" t="s">
        <v>114</v>
      </c>
      <c r="DXB2" s="13" t="s">
        <v>110</v>
      </c>
      <c r="DXC2" s="13" t="s">
        <v>111</v>
      </c>
      <c r="DXD2" s="13" t="s">
        <v>112</v>
      </c>
      <c r="DXE2" s="13" t="s">
        <v>107</v>
      </c>
      <c r="DXF2" s="13" t="s">
        <v>175</v>
      </c>
      <c r="DXG2" s="13" t="s">
        <v>108</v>
      </c>
      <c r="DXH2" s="13" t="s">
        <v>313</v>
      </c>
      <c r="DXI2" s="13" t="s">
        <v>316</v>
      </c>
      <c r="DXJ2" s="13" t="s">
        <v>113</v>
      </c>
      <c r="DXK2" s="13" t="s">
        <v>114</v>
      </c>
      <c r="DXL2" s="13" t="s">
        <v>110</v>
      </c>
      <c r="DXM2" s="13" t="s">
        <v>111</v>
      </c>
      <c r="DXN2" s="13" t="s">
        <v>112</v>
      </c>
      <c r="DXO2" s="13" t="s">
        <v>107</v>
      </c>
      <c r="DXP2" s="13" t="s">
        <v>175</v>
      </c>
      <c r="DXQ2" s="13" t="s">
        <v>108</v>
      </c>
      <c r="DXR2" s="13" t="s">
        <v>313</v>
      </c>
      <c r="DXS2" s="13" t="s">
        <v>316</v>
      </c>
      <c r="DXT2" s="13" t="s">
        <v>113</v>
      </c>
      <c r="DXU2" s="13" t="s">
        <v>114</v>
      </c>
      <c r="DXV2" s="13" t="s">
        <v>110</v>
      </c>
      <c r="DXW2" s="13" t="s">
        <v>111</v>
      </c>
      <c r="DXX2" s="13" t="s">
        <v>112</v>
      </c>
      <c r="DXY2" s="13" t="s">
        <v>850</v>
      </c>
      <c r="DXZ2" s="13" t="s">
        <v>107</v>
      </c>
      <c r="DYA2" s="13" t="s">
        <v>175</v>
      </c>
      <c r="DYB2" s="13" t="s">
        <v>108</v>
      </c>
      <c r="DYC2" s="13" t="s">
        <v>313</v>
      </c>
      <c r="DYD2" s="13" t="s">
        <v>316</v>
      </c>
      <c r="DYE2" s="13" t="s">
        <v>260</v>
      </c>
      <c r="DYF2" s="13" t="s">
        <v>114</v>
      </c>
      <c r="DYG2" s="13" t="s">
        <v>110</v>
      </c>
      <c r="DYH2" s="13" t="s">
        <v>111</v>
      </c>
      <c r="DYI2" s="13" t="s">
        <v>112</v>
      </c>
      <c r="DYJ2" s="13" t="s">
        <v>107</v>
      </c>
      <c r="DYK2" s="13" t="s">
        <v>175</v>
      </c>
      <c r="DYL2" s="13" t="s">
        <v>108</v>
      </c>
      <c r="DYM2" s="13" t="s">
        <v>313</v>
      </c>
      <c r="DYN2" s="13" t="s">
        <v>316</v>
      </c>
      <c r="DYO2" s="13" t="s">
        <v>260</v>
      </c>
      <c r="DYP2" s="13" t="s">
        <v>114</v>
      </c>
      <c r="DYQ2" s="13" t="s">
        <v>110</v>
      </c>
      <c r="DYR2" s="13" t="s">
        <v>111</v>
      </c>
      <c r="DYS2" s="13" t="s">
        <v>112</v>
      </c>
      <c r="DYT2" s="13" t="s">
        <v>107</v>
      </c>
      <c r="DYU2" s="13" t="s">
        <v>175</v>
      </c>
      <c r="DYV2" s="13" t="s">
        <v>108</v>
      </c>
      <c r="DYW2" s="13" t="s">
        <v>313</v>
      </c>
      <c r="DYX2" s="13" t="s">
        <v>316</v>
      </c>
      <c r="DYY2" s="13" t="s">
        <v>260</v>
      </c>
      <c r="DYZ2" s="13" t="s">
        <v>114</v>
      </c>
      <c r="DZA2" s="13" t="s">
        <v>110</v>
      </c>
      <c r="DZB2" s="13" t="s">
        <v>111</v>
      </c>
      <c r="DZC2" s="13" t="s">
        <v>112</v>
      </c>
      <c r="DZD2" s="13" t="s">
        <v>850</v>
      </c>
      <c r="DZE2" s="13" t="s">
        <v>107</v>
      </c>
      <c r="DZF2" s="13" t="s">
        <v>175</v>
      </c>
      <c r="DZG2" s="13" t="s">
        <v>108</v>
      </c>
      <c r="DZH2" s="13" t="s">
        <v>313</v>
      </c>
      <c r="DZI2" s="13" t="s">
        <v>316</v>
      </c>
      <c r="DZJ2" s="13" t="s">
        <v>113</v>
      </c>
      <c r="DZK2" s="13" t="s">
        <v>114</v>
      </c>
      <c r="DZL2" s="13" t="s">
        <v>110</v>
      </c>
      <c r="DZM2" s="13" t="s">
        <v>111</v>
      </c>
      <c r="DZN2" s="13" t="s">
        <v>112</v>
      </c>
      <c r="DZO2" s="13" t="s">
        <v>430</v>
      </c>
      <c r="DZP2" s="13" t="s">
        <v>107</v>
      </c>
      <c r="DZQ2" s="13" t="s">
        <v>175</v>
      </c>
      <c r="DZR2" s="13" t="s">
        <v>108</v>
      </c>
      <c r="DZS2" s="13" t="s">
        <v>313</v>
      </c>
      <c r="DZT2" s="13" t="s">
        <v>316</v>
      </c>
      <c r="DZU2" s="13" t="s">
        <v>660</v>
      </c>
      <c r="DZV2" s="13" t="s">
        <v>114</v>
      </c>
      <c r="DZW2" s="13" t="s">
        <v>110</v>
      </c>
      <c r="DZX2" s="13" t="s">
        <v>111</v>
      </c>
      <c r="DZY2" s="13" t="s">
        <v>112</v>
      </c>
      <c r="DZZ2" s="13" t="s">
        <v>1632</v>
      </c>
      <c r="EAA2" s="13" t="s">
        <v>107</v>
      </c>
      <c r="EAB2" s="13" t="s">
        <v>175</v>
      </c>
      <c r="EAC2" s="13" t="s">
        <v>108</v>
      </c>
      <c r="EAD2" s="13" t="s">
        <v>313</v>
      </c>
      <c r="EAE2" s="13" t="s">
        <v>316</v>
      </c>
      <c r="EAF2" s="13" t="s">
        <v>113</v>
      </c>
      <c r="EAG2" s="13" t="s">
        <v>114</v>
      </c>
      <c r="EAH2" s="13" t="s">
        <v>110</v>
      </c>
      <c r="EAI2" s="13" t="s">
        <v>111</v>
      </c>
      <c r="EAJ2" s="13" t="s">
        <v>112</v>
      </c>
      <c r="EAK2" s="13" t="s">
        <v>107</v>
      </c>
      <c r="EAL2" s="13" t="s">
        <v>175</v>
      </c>
      <c r="EAM2" s="13" t="s">
        <v>108</v>
      </c>
      <c r="EAN2" s="13" t="s">
        <v>313</v>
      </c>
      <c r="EAO2" s="13" t="s">
        <v>316</v>
      </c>
      <c r="EAP2" s="13" t="s">
        <v>113</v>
      </c>
      <c r="EAQ2" s="13" t="s">
        <v>114</v>
      </c>
      <c r="EAR2" s="13" t="s">
        <v>110</v>
      </c>
      <c r="EAS2" s="13" t="s">
        <v>111</v>
      </c>
      <c r="EAT2" s="13" t="s">
        <v>112</v>
      </c>
      <c r="EAU2" s="13" t="s">
        <v>107</v>
      </c>
      <c r="EAV2" s="13" t="s">
        <v>175</v>
      </c>
      <c r="EAW2" s="13" t="s">
        <v>108</v>
      </c>
      <c r="EAX2" s="13" t="s">
        <v>313</v>
      </c>
      <c r="EAY2" s="13" t="s">
        <v>316</v>
      </c>
      <c r="EAZ2" s="13" t="s">
        <v>113</v>
      </c>
      <c r="EBA2" s="13" t="s">
        <v>114</v>
      </c>
      <c r="EBB2" s="13" t="s">
        <v>110</v>
      </c>
      <c r="EBC2" s="13" t="s">
        <v>111</v>
      </c>
      <c r="EBD2" s="13" t="s">
        <v>112</v>
      </c>
      <c r="EBE2" s="13" t="s">
        <v>107</v>
      </c>
      <c r="EBF2" s="13" t="s">
        <v>175</v>
      </c>
      <c r="EBG2" s="13" t="s">
        <v>108</v>
      </c>
      <c r="EBH2" s="13" t="s">
        <v>313</v>
      </c>
      <c r="EBI2" s="13" t="s">
        <v>316</v>
      </c>
      <c r="EBJ2" s="13" t="s">
        <v>113</v>
      </c>
      <c r="EBK2" s="13" t="s">
        <v>114</v>
      </c>
      <c r="EBL2" s="13" t="s">
        <v>110</v>
      </c>
      <c r="EBM2" s="13" t="s">
        <v>111</v>
      </c>
      <c r="EBN2" s="13" t="s">
        <v>112</v>
      </c>
      <c r="EBO2" s="13" t="s">
        <v>1217</v>
      </c>
      <c r="EBP2" s="13" t="s">
        <v>107</v>
      </c>
      <c r="EBQ2" s="13" t="s">
        <v>175</v>
      </c>
      <c r="EBR2" s="13" t="s">
        <v>108</v>
      </c>
      <c r="EBS2" s="13" t="s">
        <v>313</v>
      </c>
      <c r="EBT2" s="13" t="s">
        <v>316</v>
      </c>
      <c r="EBU2" s="13" t="s">
        <v>113</v>
      </c>
      <c r="EBV2" s="13" t="s">
        <v>114</v>
      </c>
      <c r="EBW2" s="13" t="s">
        <v>110</v>
      </c>
      <c r="EBX2" s="13" t="s">
        <v>111</v>
      </c>
      <c r="EBY2" s="13" t="s">
        <v>112</v>
      </c>
      <c r="EBZ2" s="13" t="s">
        <v>107</v>
      </c>
      <c r="ECA2" s="13" t="s">
        <v>175</v>
      </c>
      <c r="ECB2" s="13" t="s">
        <v>108</v>
      </c>
      <c r="ECC2" s="13" t="s">
        <v>313</v>
      </c>
      <c r="ECD2" s="13" t="s">
        <v>316</v>
      </c>
      <c r="ECE2" s="13" t="s">
        <v>113</v>
      </c>
      <c r="ECF2" s="13" t="s">
        <v>114</v>
      </c>
      <c r="ECG2" s="13" t="s">
        <v>110</v>
      </c>
      <c r="ECH2" s="13" t="s">
        <v>111</v>
      </c>
      <c r="ECI2" s="13" t="s">
        <v>112</v>
      </c>
      <c r="ECJ2" s="13" t="s">
        <v>107</v>
      </c>
      <c r="ECK2" s="13" t="s">
        <v>175</v>
      </c>
      <c r="ECL2" s="13" t="s">
        <v>108</v>
      </c>
      <c r="ECM2" s="13" t="s">
        <v>313</v>
      </c>
      <c r="ECN2" s="13" t="s">
        <v>316</v>
      </c>
      <c r="ECO2" s="13" t="s">
        <v>113</v>
      </c>
      <c r="ECP2" s="13" t="s">
        <v>114</v>
      </c>
      <c r="ECQ2" s="13" t="s">
        <v>110</v>
      </c>
      <c r="ECR2" s="13" t="s">
        <v>111</v>
      </c>
      <c r="ECS2" s="13" t="s">
        <v>112</v>
      </c>
      <c r="ECT2" s="13" t="s">
        <v>107</v>
      </c>
      <c r="ECU2" s="13" t="s">
        <v>175</v>
      </c>
      <c r="ECV2" s="13" t="s">
        <v>108</v>
      </c>
      <c r="ECW2" s="13" t="s">
        <v>313</v>
      </c>
      <c r="ECX2" s="13" t="s">
        <v>316</v>
      </c>
      <c r="ECY2" s="13" t="s">
        <v>113</v>
      </c>
      <c r="ECZ2" s="13" t="s">
        <v>114</v>
      </c>
      <c r="EDA2" s="13" t="s">
        <v>110</v>
      </c>
      <c r="EDB2" s="13" t="s">
        <v>111</v>
      </c>
      <c r="EDC2" s="13" t="s">
        <v>112</v>
      </c>
      <c r="EDD2" s="13" t="s">
        <v>107</v>
      </c>
      <c r="EDE2" s="13" t="s">
        <v>175</v>
      </c>
      <c r="EDF2" s="13" t="s">
        <v>108</v>
      </c>
      <c r="EDG2" s="13" t="s">
        <v>313</v>
      </c>
      <c r="EDH2" s="13" t="s">
        <v>316</v>
      </c>
      <c r="EDI2" s="13" t="s">
        <v>113</v>
      </c>
      <c r="EDJ2" s="13" t="s">
        <v>114</v>
      </c>
      <c r="EDK2" s="13" t="s">
        <v>110</v>
      </c>
      <c r="EDL2" s="13" t="s">
        <v>111</v>
      </c>
      <c r="EDM2" s="13" t="s">
        <v>112</v>
      </c>
      <c r="EDN2" s="13" t="s">
        <v>107</v>
      </c>
      <c r="EDO2" s="13" t="s">
        <v>175</v>
      </c>
      <c r="EDP2" s="13" t="s">
        <v>108</v>
      </c>
      <c r="EDQ2" s="13" t="s">
        <v>313</v>
      </c>
      <c r="EDR2" s="13" t="s">
        <v>316</v>
      </c>
      <c r="EDS2" s="13" t="s">
        <v>325</v>
      </c>
      <c r="EDT2" s="13" t="s">
        <v>114</v>
      </c>
      <c r="EDU2" s="13" t="s">
        <v>110</v>
      </c>
      <c r="EDV2" s="13" t="s">
        <v>111</v>
      </c>
      <c r="EDW2" s="13" t="s">
        <v>112</v>
      </c>
      <c r="EDX2" s="13" t="s">
        <v>107</v>
      </c>
      <c r="EDY2" s="13" t="s">
        <v>175</v>
      </c>
      <c r="EDZ2" s="13" t="s">
        <v>108</v>
      </c>
      <c r="EEA2" s="13" t="s">
        <v>313</v>
      </c>
      <c r="EEB2" s="13" t="s">
        <v>316</v>
      </c>
      <c r="EEC2" s="13" t="s">
        <v>463</v>
      </c>
      <c r="EED2" s="13" t="s">
        <v>114</v>
      </c>
      <c r="EEE2" s="13" t="s">
        <v>110</v>
      </c>
      <c r="EEF2" s="13" t="s">
        <v>111</v>
      </c>
      <c r="EEG2" s="13" t="s">
        <v>112</v>
      </c>
      <c r="EEH2" s="13" t="s">
        <v>107</v>
      </c>
      <c r="EEI2" s="13" t="s">
        <v>175</v>
      </c>
      <c r="EEJ2" s="13" t="s">
        <v>108</v>
      </c>
      <c r="EEK2" s="13" t="s">
        <v>313</v>
      </c>
      <c r="EEL2" s="13" t="s">
        <v>316</v>
      </c>
      <c r="EEM2" s="13" t="s">
        <v>463</v>
      </c>
      <c r="EEN2" s="13" t="s">
        <v>114</v>
      </c>
      <c r="EEO2" s="13" t="s">
        <v>110</v>
      </c>
      <c r="EEP2" s="13" t="s">
        <v>111</v>
      </c>
      <c r="EEQ2" s="13" t="s">
        <v>112</v>
      </c>
      <c r="EER2" s="13" t="s">
        <v>107</v>
      </c>
      <c r="EES2" s="13" t="s">
        <v>175</v>
      </c>
      <c r="EET2" s="13" t="s">
        <v>108</v>
      </c>
      <c r="EEU2" s="13" t="s">
        <v>313</v>
      </c>
      <c r="EEV2" s="13" t="s">
        <v>316</v>
      </c>
      <c r="EEW2" s="13" t="s">
        <v>463</v>
      </c>
      <c r="EEX2" s="13" t="s">
        <v>114</v>
      </c>
      <c r="EEY2" s="13" t="s">
        <v>110</v>
      </c>
      <c r="EEZ2" s="13" t="s">
        <v>111</v>
      </c>
      <c r="EFA2" s="13" t="s">
        <v>112</v>
      </c>
      <c r="EFB2" s="13" t="s">
        <v>107</v>
      </c>
      <c r="EFC2" s="13" t="s">
        <v>175</v>
      </c>
      <c r="EFD2" s="13" t="s">
        <v>108</v>
      </c>
      <c r="EFE2" s="13" t="s">
        <v>313</v>
      </c>
      <c r="EFF2" s="13" t="s">
        <v>316</v>
      </c>
      <c r="EFG2" s="13" t="s">
        <v>463</v>
      </c>
      <c r="EFH2" s="13" t="s">
        <v>114</v>
      </c>
      <c r="EFI2" s="13" t="s">
        <v>110</v>
      </c>
      <c r="EFJ2" s="13" t="s">
        <v>111</v>
      </c>
      <c r="EFK2" s="13" t="s">
        <v>112</v>
      </c>
      <c r="EFL2" s="13" t="s">
        <v>107</v>
      </c>
      <c r="EFM2" s="13" t="s">
        <v>175</v>
      </c>
      <c r="EFN2" s="13" t="s">
        <v>108</v>
      </c>
      <c r="EFO2" s="13" t="s">
        <v>313</v>
      </c>
      <c r="EFP2" s="13" t="s">
        <v>316</v>
      </c>
      <c r="EFQ2" s="13" t="s">
        <v>463</v>
      </c>
      <c r="EFR2" s="13" t="s">
        <v>114</v>
      </c>
      <c r="EFS2" s="13" t="s">
        <v>110</v>
      </c>
      <c r="EFT2" s="13" t="s">
        <v>111</v>
      </c>
      <c r="EFU2" s="13" t="s">
        <v>112</v>
      </c>
      <c r="EFV2" s="13" t="s">
        <v>107</v>
      </c>
      <c r="EFW2" s="13" t="s">
        <v>175</v>
      </c>
      <c r="EFX2" s="13" t="s">
        <v>108</v>
      </c>
      <c r="EFY2" s="13" t="s">
        <v>313</v>
      </c>
      <c r="EFZ2" s="13" t="s">
        <v>316</v>
      </c>
      <c r="EGA2" s="13" t="s">
        <v>463</v>
      </c>
      <c r="EGB2" s="13" t="s">
        <v>114</v>
      </c>
      <c r="EGC2" s="13" t="s">
        <v>110</v>
      </c>
      <c r="EGD2" s="13" t="s">
        <v>111</v>
      </c>
      <c r="EGE2" s="13" t="s">
        <v>112</v>
      </c>
      <c r="EGF2" s="13" t="s">
        <v>107</v>
      </c>
      <c r="EGG2" s="13" t="s">
        <v>175</v>
      </c>
      <c r="EGH2" s="13" t="s">
        <v>108</v>
      </c>
      <c r="EGI2" s="13" t="s">
        <v>313</v>
      </c>
      <c r="EGJ2" s="13" t="s">
        <v>316</v>
      </c>
      <c r="EGK2" s="13" t="s">
        <v>463</v>
      </c>
      <c r="EGL2" s="13" t="s">
        <v>114</v>
      </c>
      <c r="EGM2" s="13" t="s">
        <v>110</v>
      </c>
      <c r="EGN2" s="13" t="s">
        <v>111</v>
      </c>
      <c r="EGO2" s="13" t="s">
        <v>112</v>
      </c>
      <c r="EGP2" s="13" t="s">
        <v>107</v>
      </c>
      <c r="EGQ2" s="13" t="s">
        <v>175</v>
      </c>
      <c r="EGR2" s="13" t="s">
        <v>108</v>
      </c>
      <c r="EGS2" s="13" t="s">
        <v>313</v>
      </c>
      <c r="EGT2" s="13" t="s">
        <v>316</v>
      </c>
      <c r="EGU2" s="13" t="s">
        <v>169</v>
      </c>
      <c r="EGV2" s="13" t="s">
        <v>463</v>
      </c>
      <c r="EGW2" s="13" t="s">
        <v>114</v>
      </c>
      <c r="EGX2" s="13" t="s">
        <v>110</v>
      </c>
      <c r="EGY2" s="13" t="s">
        <v>111</v>
      </c>
      <c r="EGZ2" s="13" t="s">
        <v>112</v>
      </c>
      <c r="EHA2" s="13" t="s">
        <v>107</v>
      </c>
      <c r="EHB2" s="13" t="s">
        <v>175</v>
      </c>
      <c r="EHC2" s="13" t="s">
        <v>108</v>
      </c>
      <c r="EHD2" s="13" t="s">
        <v>313</v>
      </c>
      <c r="EHE2" s="13" t="s">
        <v>316</v>
      </c>
      <c r="EHF2" s="13" t="s">
        <v>463</v>
      </c>
      <c r="EHG2" s="13" t="s">
        <v>114</v>
      </c>
      <c r="EHH2" s="13" t="s">
        <v>110</v>
      </c>
      <c r="EHI2" s="13" t="s">
        <v>111</v>
      </c>
      <c r="EHJ2" s="13" t="s">
        <v>112</v>
      </c>
      <c r="EHK2" s="13" t="s">
        <v>107</v>
      </c>
      <c r="EHL2" s="13" t="s">
        <v>175</v>
      </c>
      <c r="EHM2" s="13" t="s">
        <v>108</v>
      </c>
      <c r="EHN2" s="13" t="s">
        <v>313</v>
      </c>
      <c r="EHO2" s="13" t="s">
        <v>316</v>
      </c>
      <c r="EHP2" s="13" t="s">
        <v>463</v>
      </c>
      <c r="EHQ2" s="13" t="s">
        <v>114</v>
      </c>
      <c r="EHR2" s="13" t="s">
        <v>110</v>
      </c>
      <c r="EHS2" s="13" t="s">
        <v>111</v>
      </c>
      <c r="EHT2" s="13" t="s">
        <v>112</v>
      </c>
      <c r="EHU2" s="13" t="s">
        <v>107</v>
      </c>
      <c r="EHV2" s="13" t="s">
        <v>175</v>
      </c>
      <c r="EHW2" s="13" t="s">
        <v>108</v>
      </c>
      <c r="EHX2" s="13" t="s">
        <v>313</v>
      </c>
      <c r="EHY2" s="13" t="s">
        <v>316</v>
      </c>
      <c r="EHZ2" s="13" t="s">
        <v>463</v>
      </c>
      <c r="EIA2" s="13" t="s">
        <v>114</v>
      </c>
      <c r="EIB2" s="13" t="s">
        <v>110</v>
      </c>
      <c r="EIC2" s="13" t="s">
        <v>111</v>
      </c>
      <c r="EID2" s="13" t="s">
        <v>112</v>
      </c>
      <c r="EIE2" s="13" t="s">
        <v>107</v>
      </c>
      <c r="EIF2" s="13" t="s">
        <v>175</v>
      </c>
      <c r="EIG2" s="13" t="s">
        <v>108</v>
      </c>
      <c r="EIH2" s="13" t="s">
        <v>313</v>
      </c>
      <c r="EII2" s="13" t="s">
        <v>316</v>
      </c>
      <c r="EIJ2" s="13" t="s">
        <v>463</v>
      </c>
      <c r="EIK2" s="13" t="s">
        <v>114</v>
      </c>
      <c r="EIL2" s="13" t="s">
        <v>110</v>
      </c>
      <c r="EIM2" s="13" t="s">
        <v>111</v>
      </c>
      <c r="EIN2" s="13" t="s">
        <v>112</v>
      </c>
      <c r="EIO2" s="13" t="s">
        <v>107</v>
      </c>
      <c r="EIP2" s="13" t="s">
        <v>175</v>
      </c>
      <c r="EIQ2" s="13" t="s">
        <v>108</v>
      </c>
      <c r="EIR2" s="13" t="s">
        <v>313</v>
      </c>
      <c r="EIS2" s="13" t="s">
        <v>316</v>
      </c>
      <c r="EIT2" s="13" t="s">
        <v>169</v>
      </c>
      <c r="EIU2" s="13" t="s">
        <v>463</v>
      </c>
      <c r="EIV2" s="13" t="s">
        <v>114</v>
      </c>
      <c r="EIW2" s="13" t="s">
        <v>110</v>
      </c>
      <c r="EIX2" s="13" t="s">
        <v>111</v>
      </c>
      <c r="EIY2" s="13" t="s">
        <v>112</v>
      </c>
      <c r="EIZ2" s="13" t="s">
        <v>107</v>
      </c>
      <c r="EJA2" s="13" t="s">
        <v>175</v>
      </c>
      <c r="EJB2" s="13" t="s">
        <v>108</v>
      </c>
      <c r="EJC2" s="13" t="s">
        <v>313</v>
      </c>
      <c r="EJD2" s="13" t="s">
        <v>316</v>
      </c>
      <c r="EJE2" s="13" t="s">
        <v>463</v>
      </c>
      <c r="EJF2" s="13" t="s">
        <v>114</v>
      </c>
      <c r="EJG2" s="13" t="s">
        <v>110</v>
      </c>
      <c r="EJH2" s="13" t="s">
        <v>187</v>
      </c>
      <c r="EJI2" s="13" t="s">
        <v>111</v>
      </c>
      <c r="EJJ2" s="13" t="s">
        <v>112</v>
      </c>
      <c r="EJK2" s="13" t="s">
        <v>107</v>
      </c>
      <c r="EJL2" s="13" t="s">
        <v>175</v>
      </c>
      <c r="EJM2" s="13" t="s">
        <v>108</v>
      </c>
      <c r="EJN2" s="13" t="s">
        <v>313</v>
      </c>
      <c r="EJO2" s="13" t="s">
        <v>316</v>
      </c>
      <c r="EJP2" s="13" t="s">
        <v>463</v>
      </c>
      <c r="EJQ2" s="13" t="s">
        <v>114</v>
      </c>
      <c r="EJR2" s="13" t="s">
        <v>110</v>
      </c>
      <c r="EJS2" s="13" t="s">
        <v>111</v>
      </c>
      <c r="EJT2" s="13" t="s">
        <v>112</v>
      </c>
      <c r="EJU2" s="13" t="s">
        <v>107</v>
      </c>
      <c r="EJV2" s="13" t="s">
        <v>175</v>
      </c>
      <c r="EJW2" s="13" t="s">
        <v>108</v>
      </c>
      <c r="EJX2" s="13" t="s">
        <v>313</v>
      </c>
      <c r="EJY2" s="13" t="s">
        <v>316</v>
      </c>
      <c r="EJZ2" s="13" t="s">
        <v>169</v>
      </c>
      <c r="EKA2" s="13" t="s">
        <v>463</v>
      </c>
      <c r="EKB2" s="13" t="s">
        <v>114</v>
      </c>
      <c r="EKC2" s="13" t="s">
        <v>110</v>
      </c>
      <c r="EKD2" s="13" t="s">
        <v>111</v>
      </c>
      <c r="EKE2" s="13" t="s">
        <v>112</v>
      </c>
      <c r="EKF2" s="13" t="s">
        <v>107</v>
      </c>
      <c r="EKG2" s="13" t="s">
        <v>175</v>
      </c>
      <c r="EKH2" s="13" t="s">
        <v>108</v>
      </c>
      <c r="EKI2" s="13" t="s">
        <v>313</v>
      </c>
      <c r="EKJ2" s="13" t="s">
        <v>316</v>
      </c>
      <c r="EKK2" s="13" t="s">
        <v>1825</v>
      </c>
      <c r="EKL2" s="13" t="s">
        <v>463</v>
      </c>
      <c r="EKM2" s="13" t="s">
        <v>114</v>
      </c>
      <c r="EKN2" s="13" t="s">
        <v>110</v>
      </c>
      <c r="EKO2" s="13" t="s">
        <v>111</v>
      </c>
      <c r="EKP2" s="13" t="s">
        <v>112</v>
      </c>
      <c r="EKQ2" s="13" t="s">
        <v>107</v>
      </c>
      <c r="EKR2" s="13" t="s">
        <v>175</v>
      </c>
      <c r="EKS2" s="13" t="s">
        <v>108</v>
      </c>
      <c r="EKT2" s="13" t="s">
        <v>313</v>
      </c>
      <c r="EKU2" s="13" t="s">
        <v>316</v>
      </c>
      <c r="EKV2" s="13" t="s">
        <v>325</v>
      </c>
      <c r="EKW2" s="13" t="s">
        <v>114</v>
      </c>
      <c r="EKX2" s="13" t="s">
        <v>110</v>
      </c>
      <c r="EKY2" s="13" t="s">
        <v>111</v>
      </c>
      <c r="EKZ2" s="13" t="s">
        <v>112</v>
      </c>
      <c r="ELA2" s="13" t="s">
        <v>107</v>
      </c>
      <c r="ELB2" s="13" t="s">
        <v>175</v>
      </c>
      <c r="ELC2" s="13" t="s">
        <v>108</v>
      </c>
      <c r="ELD2" s="13" t="s">
        <v>313</v>
      </c>
      <c r="ELE2" s="13" t="s">
        <v>316</v>
      </c>
      <c r="ELF2" s="13" t="s">
        <v>169</v>
      </c>
      <c r="ELG2" s="13" t="s">
        <v>463</v>
      </c>
      <c r="ELH2" s="13" t="s">
        <v>114</v>
      </c>
      <c r="ELI2" s="13" t="s">
        <v>110</v>
      </c>
      <c r="ELJ2" s="13" t="s">
        <v>111</v>
      </c>
      <c r="ELK2" s="13" t="s">
        <v>112</v>
      </c>
      <c r="ELL2" s="13" t="s">
        <v>107</v>
      </c>
      <c r="ELM2" s="13" t="s">
        <v>175</v>
      </c>
      <c r="ELN2" s="13" t="s">
        <v>108</v>
      </c>
      <c r="ELO2" s="13" t="s">
        <v>313</v>
      </c>
      <c r="ELP2" s="13" t="s">
        <v>316</v>
      </c>
      <c r="ELQ2" s="13" t="s">
        <v>169</v>
      </c>
      <c r="ELR2" s="13" t="s">
        <v>463</v>
      </c>
      <c r="ELS2" s="13" t="s">
        <v>114</v>
      </c>
      <c r="ELT2" s="13" t="s">
        <v>110</v>
      </c>
      <c r="ELU2" s="13" t="s">
        <v>111</v>
      </c>
      <c r="ELV2" s="13" t="s">
        <v>112</v>
      </c>
      <c r="ELW2" s="13" t="s">
        <v>107</v>
      </c>
      <c r="ELX2" s="13" t="s">
        <v>175</v>
      </c>
      <c r="ELY2" s="13" t="s">
        <v>108</v>
      </c>
      <c r="ELZ2" s="13" t="s">
        <v>313</v>
      </c>
      <c r="EMA2" s="13" t="s">
        <v>316</v>
      </c>
      <c r="EMB2" s="13" t="s">
        <v>1457</v>
      </c>
      <c r="EMC2" s="13" t="s">
        <v>114</v>
      </c>
      <c r="EMD2" s="13" t="s">
        <v>110</v>
      </c>
      <c r="EME2" s="13" t="s">
        <v>187</v>
      </c>
      <c r="EMF2" s="13" t="s">
        <v>111</v>
      </c>
      <c r="EMG2" s="13" t="s">
        <v>112</v>
      </c>
      <c r="EMH2" s="13" t="s">
        <v>107</v>
      </c>
      <c r="EMI2" s="13" t="s">
        <v>175</v>
      </c>
      <c r="EMJ2" s="13" t="s">
        <v>108</v>
      </c>
      <c r="EMK2" s="13" t="s">
        <v>313</v>
      </c>
      <c r="EML2" s="13" t="s">
        <v>316</v>
      </c>
      <c r="EMM2" s="13" t="s">
        <v>463</v>
      </c>
      <c r="EMN2" s="13" t="s">
        <v>114</v>
      </c>
      <c r="EMO2" s="13" t="s">
        <v>110</v>
      </c>
      <c r="EMP2" s="13" t="s">
        <v>111</v>
      </c>
      <c r="EMQ2" s="13" t="s">
        <v>112</v>
      </c>
      <c r="EMR2" s="13" t="s">
        <v>107</v>
      </c>
      <c r="EMS2" s="13" t="s">
        <v>175</v>
      </c>
      <c r="EMT2" s="13" t="s">
        <v>108</v>
      </c>
      <c r="EMU2" s="13" t="s">
        <v>313</v>
      </c>
      <c r="EMV2" s="13" t="s">
        <v>316</v>
      </c>
      <c r="EMW2" s="13" t="s">
        <v>228</v>
      </c>
      <c r="EMX2" s="13" t="s">
        <v>114</v>
      </c>
      <c r="EMY2" s="13" t="s">
        <v>110</v>
      </c>
      <c r="EMZ2" s="13" t="s">
        <v>111</v>
      </c>
      <c r="ENA2" s="13" t="s">
        <v>112</v>
      </c>
      <c r="ENB2" s="13" t="s">
        <v>107</v>
      </c>
      <c r="ENC2" s="13" t="s">
        <v>175</v>
      </c>
      <c r="END2" s="13" t="s">
        <v>108</v>
      </c>
      <c r="ENE2" s="13" t="s">
        <v>313</v>
      </c>
      <c r="ENF2" s="13" t="s">
        <v>316</v>
      </c>
      <c r="ENG2" s="13" t="s">
        <v>228</v>
      </c>
      <c r="ENH2" s="13" t="s">
        <v>114</v>
      </c>
      <c r="ENI2" s="13" t="s">
        <v>110</v>
      </c>
      <c r="ENJ2" s="13" t="s">
        <v>111</v>
      </c>
      <c r="ENK2" s="13" t="s">
        <v>112</v>
      </c>
      <c r="ENL2" s="13" t="s">
        <v>107</v>
      </c>
      <c r="ENM2" s="13" t="s">
        <v>175</v>
      </c>
      <c r="ENN2" s="13" t="s">
        <v>108</v>
      </c>
      <c r="ENO2" s="13" t="s">
        <v>313</v>
      </c>
      <c r="ENP2" s="13" t="s">
        <v>316</v>
      </c>
      <c r="ENQ2" s="13" t="s">
        <v>113</v>
      </c>
      <c r="ENR2" s="13" t="s">
        <v>114</v>
      </c>
      <c r="ENS2" s="13" t="s">
        <v>110</v>
      </c>
      <c r="ENT2" s="13" t="s">
        <v>111</v>
      </c>
      <c r="ENU2" s="13" t="s">
        <v>112</v>
      </c>
      <c r="ENV2" s="13" t="s">
        <v>107</v>
      </c>
      <c r="ENW2" s="13" t="s">
        <v>175</v>
      </c>
      <c r="ENX2" s="13" t="s">
        <v>108</v>
      </c>
      <c r="ENY2" s="13" t="s">
        <v>313</v>
      </c>
      <c r="ENZ2" s="13" t="s">
        <v>316</v>
      </c>
      <c r="EOA2" s="13" t="s">
        <v>113</v>
      </c>
      <c r="EOB2" s="13" t="s">
        <v>114</v>
      </c>
      <c r="EOC2" s="13" t="s">
        <v>110</v>
      </c>
      <c r="EOD2" s="13" t="s">
        <v>111</v>
      </c>
      <c r="EOE2" s="13" t="s">
        <v>112</v>
      </c>
      <c r="EOF2" s="13" t="s">
        <v>107</v>
      </c>
      <c r="EOG2" s="13" t="s">
        <v>175</v>
      </c>
      <c r="EOH2" s="13" t="s">
        <v>108</v>
      </c>
      <c r="EOI2" s="13" t="s">
        <v>313</v>
      </c>
      <c r="EOJ2" s="13" t="s">
        <v>316</v>
      </c>
      <c r="EOK2" s="13" t="s">
        <v>113</v>
      </c>
      <c r="EOL2" s="13" t="s">
        <v>114</v>
      </c>
      <c r="EOM2" s="13" t="s">
        <v>110</v>
      </c>
      <c r="EON2" s="13" t="s">
        <v>111</v>
      </c>
      <c r="EOO2" s="13" t="s">
        <v>112</v>
      </c>
      <c r="EOP2" s="13" t="s">
        <v>1643</v>
      </c>
      <c r="EOQ2" s="13" t="s">
        <v>107</v>
      </c>
      <c r="EOR2" s="13" t="s">
        <v>175</v>
      </c>
      <c r="EOS2" s="13" t="s">
        <v>108</v>
      </c>
      <c r="EOT2" s="13" t="s">
        <v>313</v>
      </c>
      <c r="EOU2" s="13" t="s">
        <v>316</v>
      </c>
      <c r="EOV2" s="13" t="s">
        <v>342</v>
      </c>
      <c r="EOW2" s="13" t="s">
        <v>114</v>
      </c>
      <c r="EOX2" s="13" t="s">
        <v>110</v>
      </c>
      <c r="EOY2" s="13" t="s">
        <v>111</v>
      </c>
      <c r="EOZ2" s="13" t="s">
        <v>112</v>
      </c>
      <c r="EPA2" s="13" t="s">
        <v>107</v>
      </c>
      <c r="EPB2" s="13" t="s">
        <v>175</v>
      </c>
      <c r="EPC2" s="13" t="s">
        <v>108</v>
      </c>
      <c r="EPD2" s="13" t="s">
        <v>313</v>
      </c>
      <c r="EPE2" s="13" t="s">
        <v>316</v>
      </c>
      <c r="EPF2" s="13" t="s">
        <v>300</v>
      </c>
      <c r="EPG2" s="13" t="s">
        <v>114</v>
      </c>
      <c r="EPH2" s="13" t="s">
        <v>110</v>
      </c>
      <c r="EPI2" s="13" t="s">
        <v>111</v>
      </c>
      <c r="EPJ2" s="13" t="s">
        <v>112</v>
      </c>
      <c r="EPK2" s="13" t="s">
        <v>107</v>
      </c>
      <c r="EPL2" s="13" t="s">
        <v>175</v>
      </c>
      <c r="EPM2" s="13" t="s">
        <v>108</v>
      </c>
      <c r="EPN2" s="13" t="s">
        <v>313</v>
      </c>
      <c r="EPO2" s="13" t="s">
        <v>316</v>
      </c>
      <c r="EPP2" s="13" t="s">
        <v>169</v>
      </c>
      <c r="EPQ2" s="13" t="s">
        <v>113</v>
      </c>
      <c r="EPR2" s="13" t="s">
        <v>114</v>
      </c>
      <c r="EPS2" s="13" t="s">
        <v>110</v>
      </c>
      <c r="EPT2" s="13" t="s">
        <v>111</v>
      </c>
      <c r="EPU2" s="13" t="s">
        <v>112</v>
      </c>
      <c r="EPV2" s="13" t="s">
        <v>107</v>
      </c>
      <c r="EPW2" s="13" t="s">
        <v>175</v>
      </c>
      <c r="EPX2" s="13" t="s">
        <v>108</v>
      </c>
      <c r="EPY2" s="13" t="s">
        <v>313</v>
      </c>
      <c r="EPZ2" s="13" t="s">
        <v>316</v>
      </c>
      <c r="EQA2" s="13" t="s">
        <v>169</v>
      </c>
      <c r="EQB2" s="13" t="s">
        <v>113</v>
      </c>
      <c r="EQC2" s="13" t="s">
        <v>114</v>
      </c>
      <c r="EQD2" s="13" t="s">
        <v>110</v>
      </c>
      <c r="EQE2" s="13" t="s">
        <v>111</v>
      </c>
      <c r="EQF2" s="13" t="s">
        <v>112</v>
      </c>
      <c r="EQG2" s="13" t="s">
        <v>107</v>
      </c>
      <c r="EQH2" s="13" t="s">
        <v>175</v>
      </c>
      <c r="EQI2" s="13" t="s">
        <v>108</v>
      </c>
      <c r="EQJ2" s="13" t="s">
        <v>313</v>
      </c>
      <c r="EQK2" s="13" t="s">
        <v>316</v>
      </c>
      <c r="EQL2" s="13" t="s">
        <v>113</v>
      </c>
      <c r="EQM2" s="13" t="s">
        <v>114</v>
      </c>
      <c r="EQN2" s="13" t="s">
        <v>110</v>
      </c>
      <c r="EQO2" s="13" t="s">
        <v>111</v>
      </c>
      <c r="EQP2" s="13" t="s">
        <v>112</v>
      </c>
      <c r="EQQ2" s="13" t="s">
        <v>107</v>
      </c>
      <c r="EQR2" s="13" t="s">
        <v>175</v>
      </c>
      <c r="EQS2" s="13" t="s">
        <v>108</v>
      </c>
      <c r="EQT2" s="13" t="s">
        <v>313</v>
      </c>
      <c r="EQU2" s="13" t="s">
        <v>316</v>
      </c>
      <c r="EQV2" s="13" t="s">
        <v>315</v>
      </c>
      <c r="EQW2" s="13" t="s">
        <v>114</v>
      </c>
      <c r="EQX2" s="13" t="s">
        <v>110</v>
      </c>
      <c r="EQY2" s="13" t="s">
        <v>111</v>
      </c>
      <c r="EQZ2" s="13" t="s">
        <v>112</v>
      </c>
      <c r="ERA2" s="13" t="s">
        <v>107</v>
      </c>
      <c r="ERB2" s="13" t="s">
        <v>175</v>
      </c>
      <c r="ERC2" s="13" t="s">
        <v>108</v>
      </c>
      <c r="ERD2" s="13" t="s">
        <v>313</v>
      </c>
      <c r="ERE2" s="13" t="s">
        <v>316</v>
      </c>
      <c r="ERF2" s="13" t="s">
        <v>169</v>
      </c>
      <c r="ERG2" s="13" t="s">
        <v>169</v>
      </c>
      <c r="ERH2" s="13" t="s">
        <v>169</v>
      </c>
      <c r="ERI2" s="13" t="s">
        <v>169</v>
      </c>
      <c r="ERJ2" s="13" t="s">
        <v>169</v>
      </c>
      <c r="ERK2" s="13" t="s">
        <v>492</v>
      </c>
      <c r="ERL2" s="13" t="s">
        <v>169</v>
      </c>
      <c r="ERM2" s="13" t="s">
        <v>169</v>
      </c>
      <c r="ERN2" s="13" t="s">
        <v>169</v>
      </c>
      <c r="ERO2" s="13" t="s">
        <v>169</v>
      </c>
      <c r="ERP2" s="13" t="s">
        <v>169</v>
      </c>
      <c r="ERQ2" s="19" t="s">
        <v>1282</v>
      </c>
      <c r="ERR2" s="19" t="s">
        <v>87</v>
      </c>
      <c r="ERS2" s="19" t="s">
        <v>1653</v>
      </c>
      <c r="ERT2" s="19" t="s">
        <v>683</v>
      </c>
      <c r="ERU2" s="19" t="s">
        <v>732</v>
      </c>
      <c r="ERV2" s="19" t="s">
        <v>1656</v>
      </c>
      <c r="ERW2" s="19" t="s">
        <v>1477</v>
      </c>
      <c r="ERX2" s="19" t="s">
        <v>159</v>
      </c>
      <c r="ERY2" s="19" t="s">
        <v>731</v>
      </c>
      <c r="ERZ2" s="19" t="s">
        <v>1247</v>
      </c>
      <c r="ESA2" s="19" t="s">
        <v>418</v>
      </c>
      <c r="ESB2" s="19" t="s">
        <v>1696</v>
      </c>
      <c r="ESC2" s="19" t="s">
        <v>1700</v>
      </c>
      <c r="ESD2" s="19" t="s">
        <v>748</v>
      </c>
      <c r="ESE2" s="19" t="s">
        <v>1848</v>
      </c>
      <c r="ESF2" s="19" t="s">
        <v>1660</v>
      </c>
      <c r="ESG2" s="19" t="s">
        <v>595</v>
      </c>
      <c r="ESH2" s="19" t="s">
        <v>415</v>
      </c>
      <c r="ESI2" s="19" t="s">
        <v>1221</v>
      </c>
      <c r="ESJ2" s="19" t="s">
        <v>1657</v>
      </c>
      <c r="ESK2" s="19" t="s">
        <v>1224</v>
      </c>
      <c r="ESL2" s="19" t="s">
        <v>417</v>
      </c>
      <c r="ESM2" s="19" t="s">
        <v>1290</v>
      </c>
      <c r="ESN2" s="19" t="s">
        <v>591</v>
      </c>
      <c r="ESO2" s="19" t="s">
        <v>751</v>
      </c>
      <c r="ESP2" s="19" t="s">
        <v>1701</v>
      </c>
      <c r="ESQ2" s="19" t="s">
        <v>1476</v>
      </c>
      <c r="ESR2" s="19" t="s">
        <v>753</v>
      </c>
      <c r="ESS2" s="19" t="s">
        <v>752</v>
      </c>
      <c r="EST2" s="19" t="s">
        <v>425</v>
      </c>
      <c r="ESU2" s="19" t="s">
        <v>1245</v>
      </c>
      <c r="ESV2" s="19" t="s">
        <v>1250</v>
      </c>
      <c r="ESW2" s="19" t="s">
        <v>265</v>
      </c>
      <c r="ESX2" s="19" t="s">
        <v>1242</v>
      </c>
      <c r="ESY2" s="19" t="s">
        <v>1494</v>
      </c>
      <c r="ESZ2" s="19" t="s">
        <v>620</v>
      </c>
      <c r="ETA2" s="19" t="s">
        <v>597</v>
      </c>
      <c r="ETB2" s="19" t="s">
        <v>640</v>
      </c>
      <c r="ETC2" s="19" t="s">
        <v>1483</v>
      </c>
      <c r="ETD2" s="19" t="s">
        <v>1309</v>
      </c>
      <c r="ETE2" s="19" t="s">
        <v>682</v>
      </c>
      <c r="ETF2" s="19" t="s">
        <v>450</v>
      </c>
      <c r="ETG2" s="19" t="s">
        <v>416</v>
      </c>
      <c r="ETH2" s="19" t="s">
        <v>616</v>
      </c>
      <c r="ETI2" s="19" t="s">
        <v>670</v>
      </c>
      <c r="ETJ2" s="19" t="s">
        <v>1225</v>
      </c>
      <c r="ETK2" s="19" t="s">
        <v>117</v>
      </c>
      <c r="ETL2" s="19" t="s">
        <v>119</v>
      </c>
      <c r="ETM2" s="19" t="s">
        <v>479</v>
      </c>
      <c r="ETN2" s="19" t="s">
        <v>1655</v>
      </c>
      <c r="ETO2" s="19" t="s">
        <v>1659</v>
      </c>
      <c r="ETP2" s="19" t="s">
        <v>1658</v>
      </c>
      <c r="ETQ2" s="19" t="s">
        <v>158</v>
      </c>
      <c r="ETR2" s="19" t="s">
        <v>387</v>
      </c>
      <c r="ETS2" s="19" t="s">
        <v>1699</v>
      </c>
      <c r="ETT2" s="19" t="s">
        <v>103</v>
      </c>
      <c r="ETU2" s="19" t="s">
        <v>36</v>
      </c>
      <c r="ETV2" s="19" t="s">
        <v>1654</v>
      </c>
      <c r="ETW2" s="19" t="s">
        <v>293</v>
      </c>
      <c r="ETX2" s="19" t="s">
        <v>291</v>
      </c>
      <c r="ETY2" s="19" t="s">
        <v>588</v>
      </c>
      <c r="ETZ2" s="19" t="s">
        <v>630</v>
      </c>
      <c r="EUA2" s="19" t="s">
        <v>207</v>
      </c>
      <c r="EUB2" s="19" t="s">
        <v>1674</v>
      </c>
      <c r="EUC2" s="19" t="s">
        <v>1484</v>
      </c>
      <c r="EUD2" s="19" t="s">
        <v>1298</v>
      </c>
      <c r="EUE2" s="19" t="s">
        <v>1248</v>
      </c>
      <c r="EUF2" s="19" t="s">
        <v>632</v>
      </c>
      <c r="EUG2" s="19" t="s">
        <v>749</v>
      </c>
      <c r="EUH2" s="19" t="s">
        <v>741</v>
      </c>
      <c r="EUI2" s="19" t="s">
        <v>157</v>
      </c>
      <c r="EUJ2" s="19" t="s">
        <v>618</v>
      </c>
      <c r="EUK2" s="19" t="s">
        <v>161</v>
      </c>
      <c r="EUL2" s="19" t="s">
        <v>1296</v>
      </c>
      <c r="EUM2" s="19" t="s">
        <v>401</v>
      </c>
      <c r="EUN2" s="19" t="s">
        <v>349</v>
      </c>
      <c r="EUO2" s="19" t="s">
        <v>1486</v>
      </c>
      <c r="EUP2" s="19" t="s">
        <v>449</v>
      </c>
      <c r="EUQ2" s="19" t="s">
        <v>1661</v>
      </c>
      <c r="EUR2" s="19" t="s">
        <v>1222</v>
      </c>
      <c r="EUS2" s="19" t="s">
        <v>750</v>
      </c>
      <c r="EUT2" s="19" t="s">
        <v>426</v>
      </c>
      <c r="EUU2" s="19" t="s">
        <v>1832</v>
      </c>
      <c r="EUV2" s="19" t="s">
        <v>433</v>
      </c>
      <c r="EUW2" s="19" t="s">
        <v>681</v>
      </c>
      <c r="EUX2" s="19" t="s">
        <v>1253</v>
      </c>
      <c r="EUY2" s="19" t="s">
        <v>1831</v>
      </c>
      <c r="EUZ2" s="19" t="s">
        <v>354</v>
      </c>
      <c r="EVA2" s="19" t="s">
        <v>600</v>
      </c>
      <c r="EVB2" s="19" t="s">
        <v>1285</v>
      </c>
      <c r="EVC2" s="19" t="s">
        <v>594</v>
      </c>
      <c r="EVD2" s="19" t="s">
        <v>592</v>
      </c>
      <c r="EVE2" s="19" t="s">
        <v>1492</v>
      </c>
      <c r="EVF2" s="19" t="s">
        <v>1493</v>
      </c>
      <c r="EVG2" s="19" t="s">
        <v>85</v>
      </c>
      <c r="EVH2" s="19" t="s">
        <v>402</v>
      </c>
      <c r="EVI2" s="19" t="s">
        <v>1292</v>
      </c>
      <c r="EVJ2" s="19" t="s">
        <v>406</v>
      </c>
      <c r="EVK2" s="19" t="s">
        <v>590</v>
      </c>
      <c r="EVL2" s="19" t="s">
        <v>593</v>
      </c>
      <c r="EVM2" s="19" t="s">
        <v>1283</v>
      </c>
      <c r="EVN2" s="19" t="s">
        <v>1219</v>
      </c>
      <c r="EVO2" s="19" t="s">
        <v>1830</v>
      </c>
      <c r="EVP2" s="19" t="s">
        <v>1284</v>
      </c>
      <c r="EVQ2" s="19" t="s">
        <v>1495</v>
      </c>
      <c r="EVR2" s="19" t="s">
        <v>1220</v>
      </c>
      <c r="EVS2" s="19" t="s">
        <v>1293</v>
      </c>
      <c r="EVT2" s="19" t="s">
        <v>596</v>
      </c>
      <c r="EVU2" s="19" t="s">
        <v>1506</v>
      </c>
      <c r="EVV2" s="19" t="s">
        <v>1291</v>
      </c>
      <c r="EVW2" s="19" t="s">
        <v>669</v>
      </c>
      <c r="EVX2" s="19" t="s">
        <v>1252</v>
      </c>
      <c r="EVY2" s="19" t="s">
        <v>1672</v>
      </c>
      <c r="EVZ2" s="19" t="s">
        <v>697</v>
      </c>
      <c r="EWA2" s="19" t="s">
        <v>589</v>
      </c>
      <c r="EWB2" s="19" t="s">
        <v>601</v>
      </c>
      <c r="EWC2" s="19" t="s">
        <v>1846</v>
      </c>
      <c r="EWD2" s="19" t="s">
        <v>754</v>
      </c>
      <c r="EWE2" s="19" t="s">
        <v>163</v>
      </c>
      <c r="EWF2" s="19" t="s">
        <v>488</v>
      </c>
      <c r="EWG2" s="19" t="s">
        <v>88</v>
      </c>
      <c r="EWH2" s="19" t="s">
        <v>86</v>
      </c>
      <c r="EWI2" s="19" t="s">
        <v>638</v>
      </c>
      <c r="EWJ2" s="19" t="s">
        <v>744</v>
      </c>
      <c r="EWK2" s="19" t="s">
        <v>699</v>
      </c>
      <c r="EWL2" s="19" t="s">
        <v>1487</v>
      </c>
      <c r="EWM2" s="19" t="s">
        <v>747</v>
      </c>
      <c r="EWN2" s="19" t="s">
        <v>1502</v>
      </c>
      <c r="EWO2" s="19" t="s">
        <v>1223</v>
      </c>
      <c r="EWP2" s="19" t="s">
        <v>89</v>
      </c>
      <c r="EWQ2" s="19" t="s">
        <v>1623</v>
      </c>
      <c r="EWR2" s="19" t="s">
        <v>637</v>
      </c>
      <c r="EWS2" s="19" t="s">
        <v>434</v>
      </c>
      <c r="EWT2" s="19" t="s">
        <v>435</v>
      </c>
      <c r="EWU2" s="19" t="s">
        <v>144</v>
      </c>
      <c r="EWV2" s="19" t="s">
        <v>142</v>
      </c>
      <c r="EWW2" s="19" t="s">
        <v>141</v>
      </c>
      <c r="EWX2" s="19" t="s">
        <v>143</v>
      </c>
      <c r="EWY2" s="19" t="s">
        <v>146</v>
      </c>
      <c r="EWZ2" s="19" t="s">
        <v>140</v>
      </c>
      <c r="EXA2" s="19" t="s">
        <v>134</v>
      </c>
      <c r="EXB2" s="19" t="s">
        <v>1491</v>
      </c>
      <c r="EXC2" s="19" t="s">
        <v>703</v>
      </c>
      <c r="EXD2" s="19" t="s">
        <v>476</v>
      </c>
      <c r="EXE2" s="19" t="s">
        <v>1829</v>
      </c>
      <c r="EXF2" s="19" t="s">
        <v>694</v>
      </c>
      <c r="EXG2" s="19" t="s">
        <v>685</v>
      </c>
      <c r="EXH2" s="19" t="s">
        <v>1690</v>
      </c>
      <c r="EXI2" s="19" t="s">
        <v>728</v>
      </c>
      <c r="EXJ2" s="19" t="s">
        <v>1828</v>
      </c>
      <c r="EXK2" s="19" t="s">
        <v>1287</v>
      </c>
      <c r="EXL2" s="19" t="s">
        <v>1671</v>
      </c>
      <c r="EXM2" s="19" t="s">
        <v>481</v>
      </c>
      <c r="EXN2" s="19" t="s">
        <v>1312</v>
      </c>
      <c r="EXO2" s="19" t="s">
        <v>730</v>
      </c>
      <c r="EXP2" s="19" t="s">
        <v>1684</v>
      </c>
      <c r="EXQ2" s="19" t="s">
        <v>1286</v>
      </c>
      <c r="EXR2" s="19" t="s">
        <v>1304</v>
      </c>
      <c r="EXS2" s="19" t="s">
        <v>487</v>
      </c>
      <c r="EXT2" s="19" t="s">
        <v>1833</v>
      </c>
      <c r="EXU2" s="19" t="s">
        <v>1834</v>
      </c>
      <c r="EXV2" s="19" t="s">
        <v>742</v>
      </c>
      <c r="EXW2" s="19" t="s">
        <v>599</v>
      </c>
      <c r="EXX2" s="19" t="s">
        <v>755</v>
      </c>
      <c r="EXY2" s="19" t="s">
        <v>1673</v>
      </c>
      <c r="EXZ2" s="19" t="s">
        <v>422</v>
      </c>
      <c r="EYA2" s="19" t="s">
        <v>672</v>
      </c>
      <c r="EYB2" s="19" t="s">
        <v>1295</v>
      </c>
      <c r="EYC2" s="19" t="s">
        <v>686</v>
      </c>
      <c r="EYD2" s="19" t="s">
        <v>1316</v>
      </c>
      <c r="EYE2" s="19" t="s">
        <v>695</v>
      </c>
      <c r="EYF2" s="19" t="s">
        <v>729</v>
      </c>
      <c r="EYG2" s="19" t="s">
        <v>743</v>
      </c>
      <c r="EYH2" s="19" t="s">
        <v>684</v>
      </c>
      <c r="EYI2" s="19" t="s">
        <v>641</v>
      </c>
      <c r="EYJ2" s="19" t="s">
        <v>138</v>
      </c>
      <c r="EYK2" s="19" t="s">
        <v>224</v>
      </c>
      <c r="EYL2" s="19" t="s">
        <v>1685</v>
      </c>
      <c r="EYM2" s="19" t="s">
        <v>696</v>
      </c>
      <c r="EYN2" s="19" t="s">
        <v>598</v>
      </c>
      <c r="EYO2" s="19" t="s">
        <v>745</v>
      </c>
      <c r="EYP2" s="19" t="s">
        <v>746</v>
      </c>
      <c r="EYQ2" s="19" t="s">
        <v>1669</v>
      </c>
      <c r="EYR2" s="19" t="s">
        <v>735</v>
      </c>
      <c r="EYS2" s="44" t="s">
        <v>610</v>
      </c>
      <c r="EYT2" s="44" t="s">
        <v>611</v>
      </c>
      <c r="EYU2" s="19" t="s">
        <v>507</v>
      </c>
      <c r="EYV2" s="19" t="s">
        <v>104</v>
      </c>
      <c r="EYW2" s="19" t="s">
        <v>295</v>
      </c>
      <c r="EYX2" s="19"/>
      <c r="EYY2" s="19"/>
      <c r="EYZ2" s="20" t="s">
        <v>102</v>
      </c>
      <c r="EZA2" s="20" t="s">
        <v>92</v>
      </c>
      <c r="EZB2" s="20" t="s">
        <v>148</v>
      </c>
      <c r="EZC2" s="20" t="s">
        <v>619</v>
      </c>
      <c r="EZD2" s="20" t="s">
        <v>622</v>
      </c>
      <c r="EZE2" s="20" t="s">
        <v>145</v>
      </c>
      <c r="EZF2" s="20" t="s">
        <v>151</v>
      </c>
      <c r="EZG2" s="20" t="s">
        <v>132</v>
      </c>
      <c r="EZH2" s="20" t="s">
        <v>152</v>
      </c>
      <c r="EZI2" s="20" t="s">
        <v>131</v>
      </c>
      <c r="EZJ2" s="20" t="s">
        <v>298</v>
      </c>
      <c r="EZK2" s="20" t="s">
        <v>162</v>
      </c>
      <c r="EZL2" s="20" t="s">
        <v>647</v>
      </c>
      <c r="EZM2" s="20" t="s">
        <v>168</v>
      </c>
      <c r="EZN2" s="31" t="s">
        <v>407</v>
      </c>
      <c r="EZO2" s="20" t="s">
        <v>693</v>
      </c>
      <c r="EZP2" s="31" t="s">
        <v>602</v>
      </c>
      <c r="EZQ2" s="31" t="s">
        <v>663</v>
      </c>
      <c r="EZR2" s="31" t="s">
        <v>651</v>
      </c>
      <c r="EZS2" s="20" t="s">
        <v>606</v>
      </c>
      <c r="EZT2" s="20" t="s">
        <v>607</v>
      </c>
      <c r="EZU2" s="20" t="s">
        <v>631</v>
      </c>
      <c r="EZV2" s="20" t="s">
        <v>164</v>
      </c>
      <c r="EZW2" s="20" t="s">
        <v>608</v>
      </c>
      <c r="EZX2" s="20" t="s">
        <v>639</v>
      </c>
      <c r="EZY2" s="20" t="s">
        <v>609</v>
      </c>
      <c r="EZZ2" s="20" t="s">
        <v>1697</v>
      </c>
      <c r="FAA2" s="20" t="s">
        <v>633</v>
      </c>
      <c r="FAB2" s="20" t="s">
        <v>625</v>
      </c>
      <c r="FAC2" s="20" t="s">
        <v>664</v>
      </c>
      <c r="FAD2" s="20" t="s">
        <v>634</v>
      </c>
      <c r="FAE2" s="20" t="s">
        <v>648</v>
      </c>
      <c r="FAF2" s="20" t="s">
        <v>103</v>
      </c>
      <c r="FAG2" s="20" t="s">
        <v>98</v>
      </c>
      <c r="FAH2" s="31" t="s">
        <v>97</v>
      </c>
      <c r="FAI2" s="31" t="s">
        <v>403</v>
      </c>
      <c r="FAJ2" s="20" t="s">
        <v>404</v>
      </c>
      <c r="FAK2" s="20" t="s">
        <v>408</v>
      </c>
      <c r="FAL2" s="20" t="s">
        <v>409</v>
      </c>
      <c r="FAM2" s="20" t="s">
        <v>410</v>
      </c>
      <c r="FAN2" s="20" t="s">
        <v>705</v>
      </c>
      <c r="FAO2" s="20" t="s">
        <v>405</v>
      </c>
      <c r="FAP2" s="20" t="s">
        <v>103</v>
      </c>
      <c r="FAQ2" s="20" t="s">
        <v>201</v>
      </c>
      <c r="FAR2" s="20" t="s">
        <v>97</v>
      </c>
      <c r="FAS2" s="20" t="s">
        <v>405</v>
      </c>
      <c r="FAT2" s="20" t="s">
        <v>289</v>
      </c>
      <c r="FAU2" s="20" t="s">
        <v>621</v>
      </c>
      <c r="FAV2" s="20" t="s">
        <v>101</v>
      </c>
      <c r="FAW2" s="20" t="s">
        <v>290</v>
      </c>
      <c r="FAX2" s="20" t="s">
        <v>104</v>
      </c>
      <c r="FAY2" s="20"/>
      <c r="FAZ2" s="20" t="s">
        <v>103</v>
      </c>
      <c r="FBA2" s="20" t="s">
        <v>621</v>
      </c>
      <c r="FBB2" s="20"/>
      <c r="FBC2" s="20"/>
      <c r="FBD2" s="20"/>
      <c r="FBE2" s="20"/>
      <c r="FBF2" s="20"/>
      <c r="FBG2" s="20"/>
      <c r="FBH2" s="20" t="s">
        <v>155</v>
      </c>
      <c r="FBI2" s="20" t="s">
        <v>104</v>
      </c>
      <c r="FBJ2" s="20" t="s">
        <v>295</v>
      </c>
      <c r="FBK2" s="20" t="s">
        <v>222</v>
      </c>
      <c r="FBL2" s="20" t="s">
        <v>408</v>
      </c>
      <c r="FBM2" s="20" t="s">
        <v>288</v>
      </c>
      <c r="FBN2" s="20" t="s">
        <v>501</v>
      </c>
      <c r="FBO2" s="20" t="s">
        <v>477</v>
      </c>
      <c r="FBP2" s="20" t="s">
        <v>98</v>
      </c>
      <c r="FBQ2" s="20" t="s">
        <v>101</v>
      </c>
      <c r="FBR2" s="20" t="s">
        <v>150</v>
      </c>
      <c r="FBS2" s="20" t="s">
        <v>201</v>
      </c>
      <c r="FBT2" s="20" t="s">
        <v>289</v>
      </c>
      <c r="FBU2" s="20" t="s">
        <v>202</v>
      </c>
      <c r="FBV2" s="20" t="s">
        <v>103</v>
      </c>
      <c r="FBW2" s="20" t="s">
        <v>97</v>
      </c>
      <c r="FBX2" s="20" t="s">
        <v>100</v>
      </c>
      <c r="FBY2" s="20" t="s">
        <v>105</v>
      </c>
      <c r="FBZ2" s="20" t="s">
        <v>101</v>
      </c>
      <c r="FCA2" s="20" t="s">
        <v>477</v>
      </c>
      <c r="FCB2" s="20" t="s">
        <v>98</v>
      </c>
      <c r="FCC2" s="20" t="s">
        <v>478</v>
      </c>
      <c r="FCD2" s="20" t="s">
        <v>201</v>
      </c>
      <c r="FCE2" s="20" t="s">
        <v>150</v>
      </c>
      <c r="FCF2" s="20" t="s">
        <v>120</v>
      </c>
      <c r="FCG2" s="20" t="s">
        <v>160</v>
      </c>
      <c r="FCH2" s="20" t="s">
        <v>295</v>
      </c>
      <c r="FCI2" s="20" t="s">
        <v>103</v>
      </c>
      <c r="FCJ2" s="20" t="s">
        <v>201</v>
      </c>
      <c r="FCK2" s="20" t="s">
        <v>645</v>
      </c>
      <c r="FCL2" s="20" t="s">
        <v>646</v>
      </c>
      <c r="FCM2" s="20" t="s">
        <v>103</v>
      </c>
      <c r="FCN2" s="20" t="s">
        <v>98</v>
      </c>
      <c r="FCO2" s="20" t="s">
        <v>104</v>
      </c>
      <c r="FCP2" s="20" t="s">
        <v>295</v>
      </c>
      <c r="FCQ2" s="20" t="s">
        <v>408</v>
      </c>
      <c r="FCR2" s="20" t="s">
        <v>103</v>
      </c>
      <c r="FCS2" s="20" t="s">
        <v>408</v>
      </c>
      <c r="FCT2" s="20"/>
      <c r="FCU2" s="20"/>
      <c r="FCV2" s="20"/>
      <c r="FCW2" s="20" t="s">
        <v>98</v>
      </c>
      <c r="FCX2" s="20" t="s">
        <v>649</v>
      </c>
      <c r="FCY2" s="20" t="s">
        <v>650</v>
      </c>
      <c r="FCZ2" s="20" t="s">
        <v>201</v>
      </c>
      <c r="FDA2" s="20"/>
      <c r="FDB2" s="20" t="s">
        <v>103</v>
      </c>
      <c r="FDC2" s="20"/>
      <c r="FDD2" s="20" t="s">
        <v>103</v>
      </c>
      <c r="FDE2" s="20" t="s">
        <v>101</v>
      </c>
      <c r="FDF2" s="20"/>
      <c r="FDG2" s="20" t="s">
        <v>103</v>
      </c>
      <c r="FDH2" s="20" t="s">
        <v>201</v>
      </c>
      <c r="FDI2" s="20" t="s">
        <v>98</v>
      </c>
      <c r="FDJ2" s="20" t="s">
        <v>97</v>
      </c>
      <c r="FDK2" s="20" t="s">
        <v>288</v>
      </c>
      <c r="FDL2" s="20" t="s">
        <v>412</v>
      </c>
      <c r="FDM2" s="20" t="s">
        <v>103</v>
      </c>
      <c r="FDN2" s="20" t="s">
        <v>410</v>
      </c>
      <c r="FDO2" s="20" t="s">
        <v>621</v>
      </c>
      <c r="FDP2" s="20" t="s">
        <v>1485</v>
      </c>
      <c r="FDQ2" s="20"/>
      <c r="FDR2" s="20" t="s">
        <v>103</v>
      </c>
      <c r="FDS2" s="20" t="s">
        <v>98</v>
      </c>
      <c r="FDT2" s="20" t="s">
        <v>97</v>
      </c>
      <c r="FDU2" s="20" t="s">
        <v>288</v>
      </c>
      <c r="FDV2" s="20" t="s">
        <v>412</v>
      </c>
      <c r="FDW2" s="20"/>
      <c r="FDX2" s="20" t="s">
        <v>103</v>
      </c>
      <c r="FDY2" s="20" t="s">
        <v>94</v>
      </c>
      <c r="FDZ2" s="20" t="s">
        <v>95</v>
      </c>
      <c r="FEA2" s="20" t="s">
        <v>101</v>
      </c>
      <c r="FEB2" s="20" t="s">
        <v>98</v>
      </c>
      <c r="FEC2" s="20" t="s">
        <v>94</v>
      </c>
      <c r="FED2" s="20" t="s">
        <v>95</v>
      </c>
      <c r="FEE2" s="20"/>
      <c r="FEF2" s="20" t="s">
        <v>103</v>
      </c>
      <c r="FEG2" s="20" t="s">
        <v>201</v>
      </c>
      <c r="FEH2" s="20" t="s">
        <v>97</v>
      </c>
      <c r="FEI2" s="31" t="s">
        <v>615</v>
      </c>
      <c r="FEJ2" s="20" t="s">
        <v>289</v>
      </c>
      <c r="FEK2" s="20" t="s">
        <v>621</v>
      </c>
      <c r="FEL2" s="31" t="s">
        <v>98</v>
      </c>
      <c r="FEM2" s="31" t="s">
        <v>101</v>
      </c>
      <c r="FEN2" s="31" t="s">
        <v>104</v>
      </c>
      <c r="FEO2" s="31" t="s">
        <v>103</v>
      </c>
      <c r="FEP2" s="31" t="s">
        <v>621</v>
      </c>
      <c r="FEQ2" s="31"/>
      <c r="FER2" s="31"/>
      <c r="FES2" s="31"/>
      <c r="FET2" s="31"/>
      <c r="FEU2" s="20" t="s">
        <v>623</v>
      </c>
      <c r="FEV2" s="20" t="s">
        <v>1670</v>
      </c>
      <c r="FEW2" s="20" t="s">
        <v>98</v>
      </c>
      <c r="FEX2" s="20" t="s">
        <v>150</v>
      </c>
      <c r="FEY2" s="20" t="s">
        <v>398</v>
      </c>
      <c r="FEZ2" s="20" t="s">
        <v>399</v>
      </c>
      <c r="FFA2" s="20" t="s">
        <v>103</v>
      </c>
      <c r="FFB2" s="20" t="s">
        <v>153</v>
      </c>
      <c r="FFC2" s="20" t="s">
        <v>98</v>
      </c>
      <c r="FFD2" s="20" t="s">
        <v>624</v>
      </c>
      <c r="FFE2" s="20" t="s">
        <v>103</v>
      </c>
      <c r="FFF2" s="20" t="s">
        <v>414</v>
      </c>
      <c r="FFG2" s="20"/>
      <c r="FFH2" s="20" t="s">
        <v>93</v>
      </c>
      <c r="FFI2" s="20" t="s">
        <v>636</v>
      </c>
      <c r="FFJ2" s="20"/>
      <c r="FFK2" s="20"/>
      <c r="FFL2" s="20"/>
      <c r="FFM2" s="20" t="s">
        <v>409</v>
      </c>
      <c r="FFN2" s="20"/>
      <c r="FFO2" s="20"/>
      <c r="FFP2" s="20"/>
      <c r="FFQ2" s="20" t="s">
        <v>90</v>
      </c>
      <c r="FFR2" s="20" t="s">
        <v>156</v>
      </c>
      <c r="FFS2" s="20"/>
      <c r="FFT2" s="20"/>
      <c r="FFU2" s="20"/>
      <c r="FFV2" s="20"/>
      <c r="FFW2" s="20"/>
      <c r="FFX2" s="20"/>
      <c r="FFY2" s="20"/>
      <c r="FFZ2" s="20"/>
      <c r="FGA2" s="20"/>
      <c r="FGB2" s="20"/>
      <c r="FGC2" s="20"/>
      <c r="FGD2" s="20"/>
      <c r="FGE2" s="20"/>
      <c r="FGF2" s="20"/>
      <c r="FGG2" s="20"/>
      <c r="FGH2" s="20"/>
      <c r="FGI2" s="20"/>
      <c r="FGJ2" s="20"/>
      <c r="FGK2" s="20"/>
      <c r="FGL2" s="20"/>
      <c r="FGM2" s="20"/>
      <c r="FGN2" s="20"/>
      <c r="FGO2" s="20"/>
      <c r="FGP2" s="20"/>
      <c r="FGQ2" s="20"/>
      <c r="FGR2" s="20"/>
      <c r="FGS2" s="20"/>
      <c r="FGT2" s="20"/>
      <c r="FGU2" s="20"/>
      <c r="FGV2" s="20"/>
      <c r="FGW2" s="20"/>
      <c r="FGX2" s="20"/>
      <c r="FGY2" s="20"/>
      <c r="FGZ2" s="20"/>
      <c r="FHA2" s="20"/>
      <c r="FHB2" s="20"/>
      <c r="FHC2" s="20"/>
      <c r="FHD2" s="20"/>
      <c r="FHE2" s="20"/>
      <c r="FHF2" s="20"/>
      <c r="FHG2" s="20"/>
      <c r="FHH2" s="20"/>
      <c r="FHI2" s="20"/>
      <c r="FHJ2" s="20"/>
      <c r="FHK2" s="20"/>
      <c r="FHL2" s="20"/>
      <c r="FHM2" s="20"/>
      <c r="FHN2" s="20"/>
      <c r="FHO2" s="34" t="s">
        <v>312</v>
      </c>
      <c r="FHP2" s="34" t="s">
        <v>482</v>
      </c>
      <c r="FHQ2" s="34" t="s">
        <v>489</v>
      </c>
      <c r="FHR2" s="34" t="s">
        <v>1692</v>
      </c>
      <c r="FHS2" s="34" t="s">
        <v>641</v>
      </c>
      <c r="FHT2" s="34" t="s">
        <v>483</v>
      </c>
      <c r="FHU2" s="34" t="s">
        <v>484</v>
      </c>
      <c r="FHV2" s="34" t="s">
        <v>703</v>
      </c>
      <c r="FHW2" s="34" t="s">
        <v>1685</v>
      </c>
      <c r="FHX2" s="34" t="s">
        <v>1689</v>
      </c>
      <c r="FHY2" s="34" t="s">
        <v>138</v>
      </c>
      <c r="FHZ2" s="34" t="s">
        <v>485</v>
      </c>
      <c r="FIA2" s="34" t="s">
        <v>486</v>
      </c>
      <c r="FIB2" s="34"/>
      <c r="FIC2" s="34"/>
      <c r="FID2" s="34"/>
      <c r="FIE2" s="34"/>
      <c r="FIF2" s="34"/>
      <c r="FIG2" s="34"/>
      <c r="FIH2" s="34"/>
      <c r="FII2" s="34"/>
      <c r="FIJ2" s="33" t="s">
        <v>309</v>
      </c>
      <c r="FIK2" s="33" t="s">
        <v>306</v>
      </c>
      <c r="FIL2" s="33" t="s">
        <v>307</v>
      </c>
      <c r="FIM2" s="33" t="s">
        <v>308</v>
      </c>
      <c r="FIN2" s="33" t="s">
        <v>304</v>
      </c>
      <c r="FIO2" s="33" t="s">
        <v>215</v>
      </c>
      <c r="FIP2" s="33" t="s">
        <v>216</v>
      </c>
      <c r="FIQ2" s="33" t="s">
        <v>217</v>
      </c>
      <c r="FIR2" s="33" t="s">
        <v>587</v>
      </c>
      <c r="FIS2" s="33" t="s">
        <v>218</v>
      </c>
      <c r="FIT2" s="33" t="s">
        <v>305</v>
      </c>
      <c r="FIU2" s="33" t="s">
        <v>219</v>
      </c>
      <c r="FIV2" s="33" t="s">
        <v>667</v>
      </c>
      <c r="FIW2" s="33" t="s">
        <v>668</v>
      </c>
      <c r="FIX2" s="33" t="s">
        <v>168</v>
      </c>
      <c r="FIY2" s="33" t="s">
        <v>311</v>
      </c>
      <c r="FIZ2" s="33" t="s">
        <v>310</v>
      </c>
      <c r="FJA2" s="33" t="s">
        <v>614</v>
      </c>
      <c r="FJB2" s="33" t="s">
        <v>666</v>
      </c>
      <c r="FJC2" s="33" t="s">
        <v>1680</v>
      </c>
      <c r="FJD2" s="33"/>
      <c r="FJE2" s="33"/>
      <c r="FJF2" s="33"/>
      <c r="FJG2" s="33"/>
      <c r="FJH2" s="33"/>
      <c r="FJI2" s="33"/>
      <c r="FJJ2" s="33"/>
      <c r="FJK2" s="33"/>
      <c r="FJL2" s="33"/>
    </row>
    <row r="3" spans="1:4328" x14ac:dyDescent="0.25">
      <c r="A3" s="40" t="s">
        <v>512</v>
      </c>
    </row>
    <row r="4" spans="1:4328" x14ac:dyDescent="0.25">
      <c r="A4" s="10" t="s">
        <v>1868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DZK4">
        <v>1</v>
      </c>
      <c r="DZP4">
        <v>29</v>
      </c>
      <c r="DZQ4">
        <v>999</v>
      </c>
      <c r="DZR4">
        <v>0</v>
      </c>
      <c r="DZS4">
        <v>999</v>
      </c>
      <c r="DZT4">
        <v>6</v>
      </c>
      <c r="EVC4">
        <v>1</v>
      </c>
      <c r="EVG4">
        <v>1</v>
      </c>
    </row>
    <row r="5" spans="1:4328" x14ac:dyDescent="0.25">
      <c r="A5" s="48">
        <v>7072184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KE5">
        <v>39</v>
      </c>
      <c r="KF5">
        <v>1</v>
      </c>
      <c r="KI5">
        <v>1</v>
      </c>
      <c r="KP5">
        <v>1</v>
      </c>
      <c r="TR5">
        <v>75</v>
      </c>
      <c r="TS5">
        <v>1</v>
      </c>
      <c r="TU5">
        <v>1</v>
      </c>
      <c r="TY5">
        <v>1</v>
      </c>
      <c r="UA5">
        <v>0</v>
      </c>
      <c r="ERR5">
        <v>1</v>
      </c>
      <c r="EVG5">
        <v>1</v>
      </c>
      <c r="EWG5">
        <v>1</v>
      </c>
      <c r="EWH5">
        <v>1</v>
      </c>
      <c r="EWP5">
        <v>1</v>
      </c>
      <c r="EYZ5">
        <v>45</v>
      </c>
      <c r="EZA5">
        <v>1</v>
      </c>
      <c r="FAP5">
        <v>1</v>
      </c>
      <c r="FBI5">
        <v>1</v>
      </c>
      <c r="FBW5">
        <v>1</v>
      </c>
      <c r="FBX5">
        <v>1</v>
      </c>
      <c r="FBY5">
        <v>1</v>
      </c>
      <c r="FBZ5">
        <v>1</v>
      </c>
      <c r="FCB5">
        <v>1</v>
      </c>
      <c r="FCD5">
        <v>1</v>
      </c>
      <c r="FDY5">
        <v>1</v>
      </c>
      <c r="FDZ5">
        <v>1</v>
      </c>
      <c r="FEC5">
        <v>1</v>
      </c>
      <c r="FED5">
        <v>1</v>
      </c>
      <c r="FFH5">
        <v>1</v>
      </c>
      <c r="FFQ5">
        <v>1</v>
      </c>
      <c r="FHO5">
        <v>1</v>
      </c>
      <c r="FIJ5">
        <v>1</v>
      </c>
      <c r="FIL5">
        <v>1</v>
      </c>
      <c r="FIS5">
        <v>1</v>
      </c>
      <c r="FIY5">
        <v>1</v>
      </c>
      <c r="FIZ5">
        <v>1</v>
      </c>
    </row>
    <row r="6" spans="1:4328" x14ac:dyDescent="0.25">
      <c r="A6" s="48">
        <v>9108231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KE6">
        <v>24</v>
      </c>
      <c r="KG6">
        <v>1</v>
      </c>
      <c r="KJ6">
        <v>1</v>
      </c>
      <c r="KP6">
        <v>1</v>
      </c>
      <c r="LM6">
        <v>1</v>
      </c>
      <c r="PQ6">
        <v>1</v>
      </c>
      <c r="PT6">
        <v>1</v>
      </c>
      <c r="TR6">
        <v>50</v>
      </c>
      <c r="TS6">
        <v>3</v>
      </c>
      <c r="TV6">
        <v>1</v>
      </c>
      <c r="UI6">
        <v>1</v>
      </c>
      <c r="UK6">
        <v>3</v>
      </c>
      <c r="UU6">
        <v>1</v>
      </c>
      <c r="UW6">
        <v>3</v>
      </c>
      <c r="VG6">
        <v>1</v>
      </c>
      <c r="VH6">
        <v>3</v>
      </c>
      <c r="AHK6">
        <v>1000</v>
      </c>
      <c r="AHL6">
        <v>3</v>
      </c>
      <c r="AHO6">
        <v>1</v>
      </c>
      <c r="ETE6">
        <v>1</v>
      </c>
      <c r="ETK6">
        <v>1</v>
      </c>
      <c r="ETL6">
        <v>1</v>
      </c>
      <c r="EUK6">
        <v>1</v>
      </c>
      <c r="EZI6">
        <v>1</v>
      </c>
      <c r="EZK6">
        <v>1</v>
      </c>
      <c r="FAV6">
        <v>1</v>
      </c>
      <c r="FCB6">
        <v>1</v>
      </c>
      <c r="FCF6">
        <v>1</v>
      </c>
      <c r="FCG6">
        <v>1</v>
      </c>
      <c r="FEA6">
        <v>1</v>
      </c>
    </row>
    <row r="7" spans="1:4328" x14ac:dyDescent="0.25">
      <c r="A7" s="48">
        <v>12061933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N7" t="s">
        <v>0</v>
      </c>
      <c r="AO7">
        <v>1</v>
      </c>
      <c r="AP7">
        <v>0</v>
      </c>
      <c r="AQ7">
        <v>1</v>
      </c>
      <c r="AR7">
        <v>1</v>
      </c>
      <c r="KE7">
        <v>31</v>
      </c>
      <c r="KG7">
        <v>1</v>
      </c>
      <c r="KJ7">
        <v>1</v>
      </c>
      <c r="OZ7">
        <v>1</v>
      </c>
      <c r="PC7">
        <v>1</v>
      </c>
      <c r="PG7">
        <v>1</v>
      </c>
      <c r="PI7">
        <v>1</v>
      </c>
      <c r="PP7">
        <v>1</v>
      </c>
      <c r="TQ7">
        <v>1</v>
      </c>
      <c r="XW7">
        <v>1</v>
      </c>
      <c r="BZD7">
        <v>1</v>
      </c>
      <c r="BZO7">
        <v>1</v>
      </c>
      <c r="EZB7">
        <v>1</v>
      </c>
      <c r="EZF7">
        <v>1</v>
      </c>
      <c r="EZH7">
        <v>1</v>
      </c>
      <c r="EZM7">
        <v>1</v>
      </c>
      <c r="FAP7">
        <v>1</v>
      </c>
      <c r="FBH7">
        <v>1</v>
      </c>
      <c r="FBO7">
        <v>1</v>
      </c>
      <c r="FBP7">
        <v>1</v>
      </c>
      <c r="FBQ7">
        <v>1</v>
      </c>
      <c r="FBR7">
        <v>1</v>
      </c>
      <c r="FBV7">
        <v>1</v>
      </c>
      <c r="FBZ7">
        <v>1</v>
      </c>
      <c r="FCA7">
        <v>1</v>
      </c>
      <c r="FCE7">
        <v>1</v>
      </c>
      <c r="FEW7">
        <v>1</v>
      </c>
      <c r="FEX7">
        <v>1</v>
      </c>
      <c r="FFB7">
        <v>1</v>
      </c>
      <c r="FFR7">
        <v>1</v>
      </c>
      <c r="FIJ7">
        <v>1</v>
      </c>
      <c r="FIL7">
        <v>1</v>
      </c>
      <c r="FIM7">
        <v>1</v>
      </c>
      <c r="FIX7">
        <v>1</v>
      </c>
    </row>
    <row r="8" spans="1:4328" x14ac:dyDescent="0.25">
      <c r="A8" s="48">
        <v>95005911</v>
      </c>
      <c r="KE8">
        <v>56</v>
      </c>
      <c r="KG8">
        <v>1</v>
      </c>
      <c r="KH8">
        <v>26</v>
      </c>
      <c r="KK8">
        <v>26</v>
      </c>
      <c r="KL8">
        <v>1</v>
      </c>
      <c r="NR8">
        <v>1</v>
      </c>
      <c r="OH8">
        <v>1</v>
      </c>
      <c r="QK8">
        <v>1</v>
      </c>
      <c r="TQ8">
        <v>1</v>
      </c>
      <c r="TT8">
        <v>1</v>
      </c>
      <c r="TY8">
        <v>3</v>
      </c>
      <c r="TZ8">
        <v>18</v>
      </c>
      <c r="UA8">
        <v>15</v>
      </c>
      <c r="UB8">
        <v>0</v>
      </c>
      <c r="UC8">
        <v>3</v>
      </c>
      <c r="VC8">
        <v>100</v>
      </c>
      <c r="VG8">
        <v>1</v>
      </c>
      <c r="VH8">
        <v>22</v>
      </c>
      <c r="VI8">
        <v>18</v>
      </c>
      <c r="VJ8">
        <v>0</v>
      </c>
      <c r="VK8">
        <v>3</v>
      </c>
      <c r="VL8">
        <v>4</v>
      </c>
      <c r="VM8">
        <v>1</v>
      </c>
      <c r="VP8">
        <v>1</v>
      </c>
      <c r="VS8">
        <v>3</v>
      </c>
      <c r="VT8">
        <v>18</v>
      </c>
      <c r="VU8">
        <v>15</v>
      </c>
      <c r="VV8">
        <v>0</v>
      </c>
      <c r="VW8">
        <v>5</v>
      </c>
      <c r="ACH8">
        <v>1</v>
      </c>
      <c r="ACK8">
        <v>1</v>
      </c>
      <c r="ACN8">
        <v>3</v>
      </c>
      <c r="ACO8">
        <v>18</v>
      </c>
      <c r="ACP8">
        <v>15</v>
      </c>
      <c r="ACQ8">
        <v>0</v>
      </c>
      <c r="ACR8">
        <v>5</v>
      </c>
      <c r="AUI8">
        <v>1</v>
      </c>
      <c r="AUN8">
        <v>1</v>
      </c>
      <c r="AUO8" s="15">
        <v>27</v>
      </c>
      <c r="AUP8">
        <v>999</v>
      </c>
      <c r="AUQ8">
        <v>0</v>
      </c>
      <c r="AUR8">
        <v>2</v>
      </c>
      <c r="AUS8">
        <v>5</v>
      </c>
      <c r="COB8">
        <v>1</v>
      </c>
      <c r="COE8">
        <v>1</v>
      </c>
      <c r="CSA8">
        <v>1</v>
      </c>
      <c r="CSF8">
        <v>1</v>
      </c>
      <c r="CSG8" s="35">
        <v>24</v>
      </c>
      <c r="CSH8">
        <v>18</v>
      </c>
      <c r="CSI8">
        <v>0</v>
      </c>
      <c r="CSJ8">
        <v>999</v>
      </c>
      <c r="CSK8">
        <v>6</v>
      </c>
      <c r="DBU8">
        <v>1</v>
      </c>
      <c r="DBZ8">
        <v>1</v>
      </c>
      <c r="DCA8">
        <v>22</v>
      </c>
      <c r="DCB8">
        <v>18</v>
      </c>
      <c r="DCC8">
        <v>0</v>
      </c>
      <c r="DCD8">
        <v>3</v>
      </c>
      <c r="DCE8">
        <v>4</v>
      </c>
      <c r="EPP8">
        <v>1</v>
      </c>
      <c r="EPU8">
        <v>1</v>
      </c>
      <c r="EPV8" s="15">
        <v>29</v>
      </c>
      <c r="EPW8">
        <v>999</v>
      </c>
      <c r="EPX8">
        <v>0</v>
      </c>
      <c r="EPY8">
        <v>999</v>
      </c>
      <c r="EPZ8">
        <v>6</v>
      </c>
      <c r="EQA8">
        <v>1</v>
      </c>
      <c r="EQD8">
        <v>1</v>
      </c>
      <c r="EQG8">
        <v>3</v>
      </c>
      <c r="EQH8">
        <v>18</v>
      </c>
      <c r="EQI8">
        <v>15</v>
      </c>
      <c r="EQJ8">
        <v>0</v>
      </c>
      <c r="EQK8">
        <v>6</v>
      </c>
    </row>
    <row r="9" spans="1:4328" x14ac:dyDescent="0.25">
      <c r="A9" s="48">
        <v>99001908</v>
      </c>
      <c r="KE9">
        <v>81</v>
      </c>
      <c r="KG9">
        <v>1</v>
      </c>
      <c r="KH9">
        <v>24.6</v>
      </c>
      <c r="KJ9">
        <v>1</v>
      </c>
      <c r="KK9">
        <v>46</v>
      </c>
      <c r="LD9">
        <v>1</v>
      </c>
      <c r="LI9">
        <v>1</v>
      </c>
      <c r="LY9">
        <v>1</v>
      </c>
      <c r="QH9">
        <v>1</v>
      </c>
      <c r="QI9">
        <v>1</v>
      </c>
      <c r="TS9">
        <v>1</v>
      </c>
      <c r="TV9">
        <v>1</v>
      </c>
      <c r="TY9" s="15">
        <v>19</v>
      </c>
      <c r="TZ9">
        <v>999</v>
      </c>
      <c r="UA9">
        <v>9</v>
      </c>
      <c r="UB9">
        <v>0</v>
      </c>
      <c r="UC9">
        <v>4</v>
      </c>
      <c r="AGJ9">
        <v>1</v>
      </c>
      <c r="AGL9">
        <v>4</v>
      </c>
      <c r="AGM9">
        <v>19</v>
      </c>
      <c r="AGN9">
        <v>11</v>
      </c>
      <c r="AGO9">
        <v>0</v>
      </c>
      <c r="AGP9">
        <v>5</v>
      </c>
      <c r="AXZ9">
        <v>1</v>
      </c>
      <c r="AYC9">
        <v>1</v>
      </c>
      <c r="AYD9" s="36">
        <v>29</v>
      </c>
      <c r="AYE9">
        <v>999</v>
      </c>
      <c r="AYF9">
        <v>0</v>
      </c>
      <c r="AYG9">
        <v>999</v>
      </c>
      <c r="AYH9">
        <v>5</v>
      </c>
      <c r="BBB9">
        <v>5</v>
      </c>
      <c r="BBC9">
        <v>2</v>
      </c>
      <c r="BBF9">
        <v>1</v>
      </c>
      <c r="BBG9" s="36">
        <v>29</v>
      </c>
      <c r="BBH9">
        <v>999</v>
      </c>
      <c r="BBI9">
        <v>0</v>
      </c>
      <c r="BBJ9">
        <v>999</v>
      </c>
      <c r="BBK9">
        <v>6</v>
      </c>
      <c r="EDC9">
        <v>1</v>
      </c>
      <c r="EDD9" s="35">
        <v>9</v>
      </c>
      <c r="EDE9">
        <v>7</v>
      </c>
      <c r="EDF9">
        <v>0</v>
      </c>
      <c r="EDG9">
        <v>999</v>
      </c>
      <c r="EDH9">
        <v>6</v>
      </c>
      <c r="EQM9">
        <v>2</v>
      </c>
      <c r="EQP9">
        <v>1</v>
      </c>
      <c r="EQQ9" s="35">
        <v>9</v>
      </c>
      <c r="EQR9">
        <v>7</v>
      </c>
      <c r="EQS9">
        <v>0</v>
      </c>
      <c r="EQT9">
        <v>999</v>
      </c>
      <c r="EQU9">
        <v>6</v>
      </c>
      <c r="EQV9">
        <v>1</v>
      </c>
      <c r="EQW9">
        <v>2</v>
      </c>
      <c r="ERA9" s="36">
        <v>29</v>
      </c>
      <c r="ERB9">
        <v>999</v>
      </c>
      <c r="ERC9">
        <v>0</v>
      </c>
      <c r="ERD9">
        <v>999</v>
      </c>
      <c r="ERE9">
        <v>6</v>
      </c>
      <c r="ETE9">
        <v>1</v>
      </c>
      <c r="ETL9">
        <v>1</v>
      </c>
      <c r="EUP9">
        <v>1</v>
      </c>
      <c r="FAF9">
        <v>1</v>
      </c>
      <c r="FCD9">
        <v>1</v>
      </c>
      <c r="FCE9">
        <v>1</v>
      </c>
    </row>
    <row r="10" spans="1:4328" x14ac:dyDescent="0.25">
      <c r="A10" s="48">
        <v>99004067</v>
      </c>
      <c r="KE10">
        <v>68</v>
      </c>
      <c r="KG10">
        <v>1</v>
      </c>
      <c r="KH10">
        <v>25.1</v>
      </c>
      <c r="KJ10">
        <v>1</v>
      </c>
      <c r="KK10">
        <v>24</v>
      </c>
      <c r="KP10">
        <v>1</v>
      </c>
      <c r="KS10">
        <v>1</v>
      </c>
      <c r="LH10">
        <v>1</v>
      </c>
      <c r="LY10">
        <v>1</v>
      </c>
      <c r="OA10">
        <v>1</v>
      </c>
      <c r="OS10">
        <v>1</v>
      </c>
      <c r="TR10">
        <v>46.5</v>
      </c>
      <c r="TS10" t="s">
        <v>185</v>
      </c>
      <c r="TV10">
        <v>1</v>
      </c>
      <c r="TY10" s="36">
        <v>29</v>
      </c>
      <c r="TZ10">
        <v>999</v>
      </c>
      <c r="UA10">
        <v>0</v>
      </c>
      <c r="UB10">
        <v>999</v>
      </c>
      <c r="UC10">
        <v>4</v>
      </c>
      <c r="VC10">
        <v>500</v>
      </c>
      <c r="VD10">
        <v>0.25</v>
      </c>
      <c r="VG10">
        <v>1</v>
      </c>
      <c r="VH10">
        <v>29</v>
      </c>
      <c r="VI10">
        <v>999</v>
      </c>
      <c r="VJ10">
        <v>0</v>
      </c>
      <c r="VK10">
        <v>999</v>
      </c>
      <c r="VL10">
        <v>5</v>
      </c>
      <c r="ALH10">
        <v>500</v>
      </c>
      <c r="ALI10">
        <v>2</v>
      </c>
      <c r="ALL10">
        <v>1</v>
      </c>
      <c r="ALM10">
        <v>14</v>
      </c>
      <c r="ALN10">
        <v>11</v>
      </c>
      <c r="ALO10">
        <v>0</v>
      </c>
      <c r="ALP10">
        <v>2</v>
      </c>
      <c r="ALQ10">
        <v>4</v>
      </c>
      <c r="ATY10">
        <v>10</v>
      </c>
      <c r="ATZ10">
        <v>1</v>
      </c>
      <c r="AUC10">
        <v>1</v>
      </c>
      <c r="AUD10">
        <v>29</v>
      </c>
      <c r="AUE10">
        <v>999</v>
      </c>
      <c r="AUF10">
        <v>0</v>
      </c>
      <c r="AUG10">
        <v>999</v>
      </c>
      <c r="AUH10">
        <v>5</v>
      </c>
      <c r="AYJ10">
        <v>60</v>
      </c>
      <c r="AYK10">
        <v>1</v>
      </c>
      <c r="AYN10">
        <v>1</v>
      </c>
      <c r="AYO10" s="36">
        <v>29</v>
      </c>
      <c r="AYP10">
        <v>999</v>
      </c>
      <c r="AYQ10">
        <v>0</v>
      </c>
      <c r="AYR10">
        <v>999</v>
      </c>
      <c r="AYS10">
        <v>5</v>
      </c>
      <c r="BJZ10">
        <v>3</v>
      </c>
      <c r="BKC10">
        <v>1</v>
      </c>
      <c r="BKE10" s="35">
        <v>15</v>
      </c>
      <c r="BKF10">
        <v>11</v>
      </c>
      <c r="BKG10">
        <v>0</v>
      </c>
      <c r="BKH10">
        <v>999</v>
      </c>
      <c r="BKI10">
        <v>5</v>
      </c>
      <c r="BOI10">
        <v>1</v>
      </c>
      <c r="BOL10">
        <v>1</v>
      </c>
      <c r="BOM10" s="36">
        <v>29</v>
      </c>
      <c r="BON10">
        <v>999</v>
      </c>
      <c r="BOO10">
        <v>0</v>
      </c>
      <c r="BOP10">
        <v>999</v>
      </c>
      <c r="BOQ10">
        <v>6</v>
      </c>
      <c r="CAM10">
        <v>96</v>
      </c>
      <c r="CAQ10">
        <v>1</v>
      </c>
      <c r="CAS10" s="36">
        <v>29</v>
      </c>
      <c r="CAT10">
        <v>999</v>
      </c>
      <c r="CAU10">
        <v>0</v>
      </c>
      <c r="CAV10">
        <v>999</v>
      </c>
      <c r="CAW10">
        <v>6</v>
      </c>
      <c r="CAX10">
        <v>2</v>
      </c>
      <c r="CAY10">
        <v>1</v>
      </c>
      <c r="CBB10">
        <v>1</v>
      </c>
      <c r="CBC10" s="36">
        <v>29</v>
      </c>
      <c r="CBD10">
        <v>999</v>
      </c>
      <c r="CBE10">
        <v>0</v>
      </c>
      <c r="CBF10">
        <v>999</v>
      </c>
      <c r="CBG10">
        <v>6</v>
      </c>
      <c r="CCB10">
        <v>1.25</v>
      </c>
      <c r="CCC10">
        <v>3</v>
      </c>
      <c r="CCF10">
        <v>1</v>
      </c>
      <c r="CCG10" s="35">
        <v>15</v>
      </c>
      <c r="CCH10">
        <v>11</v>
      </c>
      <c r="CCI10">
        <v>0</v>
      </c>
      <c r="CCJ10">
        <v>999</v>
      </c>
      <c r="CCK10">
        <v>5</v>
      </c>
      <c r="CPR10">
        <v>200</v>
      </c>
      <c r="CPS10">
        <v>3</v>
      </c>
      <c r="CPV10">
        <v>1</v>
      </c>
      <c r="CPW10">
        <v>14</v>
      </c>
      <c r="CPX10">
        <v>11</v>
      </c>
      <c r="CPY10">
        <v>0</v>
      </c>
      <c r="CPZ10">
        <v>2</v>
      </c>
      <c r="CQA10">
        <v>5</v>
      </c>
      <c r="DPA10" s="2">
        <v>3</v>
      </c>
      <c r="DPD10">
        <v>1</v>
      </c>
      <c r="DPE10" s="35">
        <v>15</v>
      </c>
      <c r="DPF10">
        <v>11</v>
      </c>
      <c r="DPG10">
        <v>0</v>
      </c>
      <c r="DPH10">
        <v>999</v>
      </c>
      <c r="DPI10">
        <v>5</v>
      </c>
      <c r="FAF10">
        <v>1</v>
      </c>
      <c r="FCB10">
        <v>1</v>
      </c>
    </row>
    <row r="11" spans="1:4328" x14ac:dyDescent="0.25">
      <c r="A11" s="48">
        <v>97002136</v>
      </c>
      <c r="AJ11">
        <v>1</v>
      </c>
      <c r="AK11">
        <v>1</v>
      </c>
      <c r="KE11">
        <v>71</v>
      </c>
      <c r="KG11">
        <v>1</v>
      </c>
      <c r="KH11">
        <v>24.4</v>
      </c>
      <c r="KK11">
        <v>45</v>
      </c>
      <c r="KP11">
        <v>1</v>
      </c>
      <c r="NS11">
        <v>1</v>
      </c>
      <c r="QX11">
        <v>1</v>
      </c>
      <c r="TX11">
        <v>1</v>
      </c>
      <c r="TY11" s="35">
        <v>22</v>
      </c>
      <c r="TZ11">
        <v>17</v>
      </c>
      <c r="UA11">
        <v>0</v>
      </c>
      <c r="UB11">
        <v>999</v>
      </c>
      <c r="UC11">
        <v>6</v>
      </c>
      <c r="AZD11">
        <v>1</v>
      </c>
      <c r="AZE11">
        <v>1</v>
      </c>
      <c r="AZH11">
        <v>1</v>
      </c>
      <c r="AZI11" s="15">
        <v>28</v>
      </c>
      <c r="AZJ11">
        <v>24</v>
      </c>
      <c r="AZK11">
        <v>0</v>
      </c>
      <c r="AZL11">
        <v>3</v>
      </c>
      <c r="AZM11">
        <v>6</v>
      </c>
      <c r="BAI11">
        <v>1</v>
      </c>
      <c r="BAL11">
        <v>1</v>
      </c>
      <c r="BAM11" s="35">
        <v>21</v>
      </c>
      <c r="BAN11">
        <v>17</v>
      </c>
      <c r="BAO11">
        <v>0</v>
      </c>
      <c r="BAP11">
        <v>999</v>
      </c>
      <c r="BAQ11">
        <v>2</v>
      </c>
      <c r="ETL11">
        <v>1</v>
      </c>
      <c r="FBP11">
        <v>1</v>
      </c>
      <c r="FCB11">
        <v>1</v>
      </c>
      <c r="FCM11">
        <v>1</v>
      </c>
      <c r="FDB11">
        <v>1</v>
      </c>
    </row>
    <row r="12" spans="1:4328" x14ac:dyDescent="0.25">
      <c r="A12" s="48">
        <v>1502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KE12">
        <v>79</v>
      </c>
      <c r="KG12">
        <v>1</v>
      </c>
      <c r="KH12">
        <v>25.9</v>
      </c>
      <c r="KK12">
        <v>48</v>
      </c>
      <c r="NZ12">
        <v>1</v>
      </c>
      <c r="OA12">
        <v>1</v>
      </c>
      <c r="PM12">
        <v>1</v>
      </c>
      <c r="RH12">
        <v>1</v>
      </c>
      <c r="TS12">
        <v>2</v>
      </c>
      <c r="TV12">
        <v>1</v>
      </c>
      <c r="TY12">
        <v>10</v>
      </c>
      <c r="TZ12">
        <v>21</v>
      </c>
      <c r="UA12">
        <v>12</v>
      </c>
      <c r="UB12" s="2">
        <v>0</v>
      </c>
      <c r="UC12">
        <v>3</v>
      </c>
      <c r="WI12">
        <v>40</v>
      </c>
      <c r="WJ12">
        <v>4</v>
      </c>
      <c r="WM12">
        <v>1</v>
      </c>
      <c r="WN12">
        <v>22</v>
      </c>
      <c r="WO12">
        <v>21</v>
      </c>
      <c r="WP12">
        <v>0</v>
      </c>
      <c r="WQ12" s="2">
        <v>0</v>
      </c>
      <c r="WR12">
        <v>3</v>
      </c>
      <c r="ABX12">
        <v>30</v>
      </c>
      <c r="ABY12">
        <v>2</v>
      </c>
      <c r="ACB12">
        <v>1</v>
      </c>
      <c r="ACC12">
        <v>7</v>
      </c>
      <c r="ACD12">
        <v>14</v>
      </c>
      <c r="ACE12">
        <v>8</v>
      </c>
      <c r="ACF12" s="2">
        <v>0</v>
      </c>
      <c r="ACG12">
        <v>5</v>
      </c>
      <c r="AEB12">
        <v>1</v>
      </c>
      <c r="AEC12">
        <v>8</v>
      </c>
      <c r="AED12">
        <v>21</v>
      </c>
      <c r="AEE12">
        <v>14</v>
      </c>
      <c r="AEF12" s="2">
        <v>0</v>
      </c>
      <c r="AEG12">
        <v>6</v>
      </c>
      <c r="ANP12">
        <v>200</v>
      </c>
      <c r="ANQ12">
        <v>2</v>
      </c>
      <c r="ANT12">
        <v>1</v>
      </c>
      <c r="ANU12" s="35">
        <v>7</v>
      </c>
      <c r="ANV12">
        <v>27</v>
      </c>
      <c r="ANW12">
        <v>23</v>
      </c>
      <c r="ANY12">
        <v>4</v>
      </c>
      <c r="AOE12">
        <v>1</v>
      </c>
      <c r="AOF12">
        <v>4</v>
      </c>
      <c r="AOG12">
        <v>24</v>
      </c>
      <c r="AOH12">
        <v>21</v>
      </c>
      <c r="AOJ12">
        <v>7</v>
      </c>
      <c r="AOL12">
        <v>2000</v>
      </c>
      <c r="AOM12">
        <v>2</v>
      </c>
      <c r="AON12">
        <v>1</v>
      </c>
      <c r="AOQ12">
        <v>3</v>
      </c>
      <c r="AOR12">
        <v>3</v>
      </c>
      <c r="AOS12">
        <v>1</v>
      </c>
      <c r="AOU12">
        <v>4</v>
      </c>
      <c r="AOV12">
        <v>500</v>
      </c>
      <c r="AOW12">
        <v>2</v>
      </c>
      <c r="AOX12">
        <v>1</v>
      </c>
      <c r="APA12">
        <v>1</v>
      </c>
      <c r="APB12">
        <v>0</v>
      </c>
      <c r="APC12">
        <v>0</v>
      </c>
      <c r="APD12" s="2">
        <v>0</v>
      </c>
      <c r="APE12">
        <v>7</v>
      </c>
      <c r="AZH12">
        <v>1</v>
      </c>
      <c r="AZI12">
        <v>29</v>
      </c>
      <c r="AZJ12">
        <v>28</v>
      </c>
      <c r="AZK12">
        <v>0</v>
      </c>
      <c r="AZL12" s="2">
        <v>0</v>
      </c>
      <c r="AZM12">
        <v>6</v>
      </c>
      <c r="BIB12">
        <v>1</v>
      </c>
      <c r="BIE12">
        <v>1</v>
      </c>
      <c r="BIF12" s="35">
        <v>22</v>
      </c>
      <c r="BIG12">
        <v>21</v>
      </c>
      <c r="BIH12">
        <v>0</v>
      </c>
      <c r="BIJ12">
        <v>5</v>
      </c>
      <c r="BMT12">
        <v>0.2</v>
      </c>
      <c r="BMX12">
        <v>1</v>
      </c>
      <c r="BMY12">
        <v>29</v>
      </c>
      <c r="BMZ12">
        <v>28</v>
      </c>
      <c r="BNA12">
        <v>0</v>
      </c>
      <c r="BNB12" s="2">
        <v>0</v>
      </c>
      <c r="BNC12">
        <v>6</v>
      </c>
      <c r="BNR12">
        <v>1</v>
      </c>
      <c r="BNS12">
        <v>29</v>
      </c>
      <c r="BNT12">
        <v>28</v>
      </c>
      <c r="BNU12">
        <v>0</v>
      </c>
      <c r="BNV12" s="2">
        <v>0</v>
      </c>
      <c r="BNW12">
        <v>6</v>
      </c>
      <c r="BOC12">
        <v>29</v>
      </c>
      <c r="BOD12">
        <v>28</v>
      </c>
      <c r="BOE12">
        <v>0</v>
      </c>
      <c r="BOF12" s="2">
        <v>0</v>
      </c>
      <c r="BOG12">
        <v>5</v>
      </c>
      <c r="DCP12">
        <v>200</v>
      </c>
      <c r="DCQ12">
        <v>2</v>
      </c>
      <c r="DCT12">
        <v>1</v>
      </c>
      <c r="DCU12">
        <v>21</v>
      </c>
      <c r="DCV12">
        <v>20</v>
      </c>
      <c r="DCW12">
        <v>0</v>
      </c>
      <c r="DCX12" s="2">
        <v>0</v>
      </c>
      <c r="DCY12">
        <v>3</v>
      </c>
      <c r="DOF12" t="s">
        <v>439</v>
      </c>
      <c r="DOG12">
        <v>1</v>
      </c>
      <c r="DOJ12">
        <v>1</v>
      </c>
      <c r="DOK12">
        <v>4</v>
      </c>
      <c r="DOL12">
        <v>24</v>
      </c>
      <c r="DOM12">
        <v>21</v>
      </c>
      <c r="DON12" s="2">
        <v>0</v>
      </c>
      <c r="DOO12">
        <v>7</v>
      </c>
      <c r="DTC12">
        <v>2</v>
      </c>
      <c r="DTD12">
        <v>3</v>
      </c>
      <c r="DTG12">
        <v>1</v>
      </c>
      <c r="DTH12">
        <v>1</v>
      </c>
      <c r="DTI12">
        <v>0</v>
      </c>
      <c r="DTJ12">
        <v>0</v>
      </c>
      <c r="DTK12" s="2">
        <v>0</v>
      </c>
      <c r="DTL12">
        <v>7</v>
      </c>
      <c r="ECF12">
        <v>2</v>
      </c>
      <c r="ECG12">
        <v>1</v>
      </c>
      <c r="ECJ12">
        <v>22</v>
      </c>
      <c r="ECK12">
        <v>21</v>
      </c>
      <c r="ECL12">
        <v>0</v>
      </c>
      <c r="ECM12" s="2">
        <v>0</v>
      </c>
      <c r="ECN12">
        <v>5</v>
      </c>
      <c r="ERO12">
        <v>1</v>
      </c>
      <c r="ETE12">
        <v>1</v>
      </c>
      <c r="EUP12">
        <v>1</v>
      </c>
      <c r="FAF12">
        <v>1</v>
      </c>
      <c r="FAX12">
        <v>1</v>
      </c>
      <c r="FBH12">
        <v>1</v>
      </c>
      <c r="FCB12">
        <v>1</v>
      </c>
      <c r="FCD12">
        <v>1</v>
      </c>
      <c r="FEN12">
        <v>1</v>
      </c>
    </row>
    <row r="13" spans="1:4328" x14ac:dyDescent="0.25">
      <c r="A13" s="48">
        <v>4003543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KE13">
        <v>62</v>
      </c>
      <c r="KG13">
        <v>1</v>
      </c>
      <c r="KJ13">
        <v>1</v>
      </c>
      <c r="KK13">
        <v>14</v>
      </c>
      <c r="NZ13">
        <v>1</v>
      </c>
      <c r="PF13">
        <v>1</v>
      </c>
      <c r="QB13">
        <v>1</v>
      </c>
      <c r="TS13">
        <v>2</v>
      </c>
      <c r="TV13">
        <v>1</v>
      </c>
      <c r="TY13">
        <v>1</v>
      </c>
      <c r="TZ13">
        <v>10</v>
      </c>
      <c r="UA13">
        <v>10</v>
      </c>
      <c r="UB13">
        <v>0</v>
      </c>
      <c r="UU13">
        <v>1</v>
      </c>
      <c r="UW13">
        <v>4</v>
      </c>
      <c r="UX13">
        <v>11</v>
      </c>
      <c r="UY13">
        <v>5</v>
      </c>
      <c r="UZ13" s="2">
        <v>0</v>
      </c>
      <c r="BEN13">
        <v>1</v>
      </c>
      <c r="BZP13" s="2">
        <v>250</v>
      </c>
      <c r="BZQ13">
        <v>1</v>
      </c>
      <c r="BZT13">
        <v>1</v>
      </c>
      <c r="BZU13">
        <v>12</v>
      </c>
      <c r="BZV13">
        <v>7</v>
      </c>
      <c r="BZW13">
        <v>0</v>
      </c>
      <c r="BZX13">
        <v>4</v>
      </c>
      <c r="DTN13">
        <v>1</v>
      </c>
      <c r="DTO13">
        <v>1</v>
      </c>
      <c r="DTR13">
        <v>1</v>
      </c>
      <c r="DTS13">
        <v>7</v>
      </c>
      <c r="DTT13">
        <v>7</v>
      </c>
      <c r="DTU13">
        <v>0</v>
      </c>
      <c r="ETE13">
        <v>1</v>
      </c>
      <c r="ETF13">
        <v>1</v>
      </c>
      <c r="ETK13">
        <v>1</v>
      </c>
      <c r="ETL13">
        <v>1</v>
      </c>
      <c r="EUP13">
        <v>1</v>
      </c>
      <c r="FAF13">
        <v>1</v>
      </c>
      <c r="FCB13">
        <v>1</v>
      </c>
      <c r="FDG13">
        <v>1</v>
      </c>
      <c r="FEM13">
        <v>1</v>
      </c>
      <c r="FFA13">
        <v>1</v>
      </c>
    </row>
    <row r="14" spans="1:4328" x14ac:dyDescent="0.25">
      <c r="A14" s="48">
        <v>4900261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KE14">
        <v>78</v>
      </c>
      <c r="KF14">
        <v>1</v>
      </c>
      <c r="KH14">
        <v>23</v>
      </c>
      <c r="KJ14">
        <v>1</v>
      </c>
      <c r="NZ14">
        <v>1</v>
      </c>
      <c r="RD14">
        <v>1</v>
      </c>
      <c r="TV14">
        <v>1</v>
      </c>
      <c r="TZ14">
        <v>4</v>
      </c>
      <c r="UC14">
        <v>3</v>
      </c>
      <c r="VC14">
        <v>100</v>
      </c>
      <c r="VH14">
        <v>999</v>
      </c>
      <c r="VI14">
        <v>999</v>
      </c>
      <c r="VJ14">
        <v>0</v>
      </c>
      <c r="VK14">
        <v>999</v>
      </c>
      <c r="EJZ14">
        <v>1</v>
      </c>
      <c r="ERH14">
        <v>1</v>
      </c>
      <c r="ESA14">
        <v>1</v>
      </c>
      <c r="ETG14">
        <v>1</v>
      </c>
      <c r="ETV14">
        <v>1</v>
      </c>
      <c r="EVG14">
        <v>1</v>
      </c>
      <c r="FDN14">
        <v>1</v>
      </c>
    </row>
    <row r="15" spans="1:4328" x14ac:dyDescent="0.25">
      <c r="A15" s="48"/>
      <c r="TY15" s="35"/>
      <c r="AZI15" s="15"/>
      <c r="BAM15" s="35"/>
    </row>
    <row r="16" spans="1:4328" x14ac:dyDescent="0.25">
      <c r="A16" s="50" t="s">
        <v>1869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1014 1273:1873 2055:3039 3074:4095 4097:4311" x14ac:dyDescent="0.25">
      <c r="A17" s="48">
        <v>14242856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KE17">
        <v>21</v>
      </c>
      <c r="KG17">
        <v>1</v>
      </c>
      <c r="KJ17">
        <v>1</v>
      </c>
      <c r="KK17">
        <v>28</v>
      </c>
      <c r="KP17">
        <v>1</v>
      </c>
      <c r="KS17">
        <v>1</v>
      </c>
      <c r="SA17">
        <v>1</v>
      </c>
      <c r="UD17">
        <v>1</v>
      </c>
      <c r="EYZ17">
        <v>80</v>
      </c>
      <c r="EZA17">
        <v>1</v>
      </c>
      <c r="EZB17">
        <v>1</v>
      </c>
      <c r="FAP17">
        <v>1</v>
      </c>
      <c r="FBH17">
        <v>1</v>
      </c>
      <c r="FBP17">
        <v>1</v>
      </c>
      <c r="FBS17">
        <v>1</v>
      </c>
      <c r="FBU17">
        <v>1</v>
      </c>
    </row>
    <row r="18" spans="1:1014 1273:1873 2055:3039 3074:4095 4097:4311" x14ac:dyDescent="0.25">
      <c r="A18" s="48">
        <v>99001183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KE18">
        <v>69</v>
      </c>
      <c r="KG18">
        <v>1</v>
      </c>
      <c r="KH18">
        <v>20.100000000000001</v>
      </c>
      <c r="KJ18">
        <v>1</v>
      </c>
      <c r="KK18">
        <v>16</v>
      </c>
      <c r="NH18">
        <v>1</v>
      </c>
      <c r="NZ18">
        <v>1</v>
      </c>
      <c r="OE18">
        <v>1</v>
      </c>
      <c r="UE18">
        <v>500</v>
      </c>
      <c r="UF18">
        <v>1</v>
      </c>
      <c r="UI18">
        <v>1</v>
      </c>
      <c r="UK18" s="35">
        <v>10</v>
      </c>
      <c r="UL18">
        <v>2</v>
      </c>
      <c r="UM18">
        <v>0</v>
      </c>
      <c r="UN18">
        <v>999</v>
      </c>
      <c r="UO18">
        <v>2</v>
      </c>
      <c r="BHH18">
        <v>1</v>
      </c>
      <c r="BHK18">
        <v>1</v>
      </c>
      <c r="BHL18" s="36">
        <v>29</v>
      </c>
      <c r="BHM18">
        <v>999</v>
      </c>
      <c r="BHN18">
        <v>0</v>
      </c>
      <c r="BHO18">
        <v>999</v>
      </c>
      <c r="BHP18">
        <v>6</v>
      </c>
      <c r="DTX18">
        <v>1</v>
      </c>
      <c r="DUA18">
        <v>1</v>
      </c>
      <c r="DUB18" s="36">
        <v>29</v>
      </c>
      <c r="DUC18">
        <v>999</v>
      </c>
      <c r="DUD18">
        <v>0</v>
      </c>
      <c r="DUE18">
        <v>999</v>
      </c>
      <c r="DUF18">
        <v>6</v>
      </c>
      <c r="ETL18">
        <v>1</v>
      </c>
      <c r="EUA18">
        <v>1</v>
      </c>
      <c r="FAF18">
        <v>1</v>
      </c>
      <c r="FBH18">
        <v>1</v>
      </c>
    </row>
    <row r="19" spans="1:1014 1273:1873 2055:3039 3074:4095 4097:4311" x14ac:dyDescent="0.25">
      <c r="A19" s="48">
        <v>3000983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KE19">
        <v>21</v>
      </c>
      <c r="KG19">
        <v>1</v>
      </c>
      <c r="KH19">
        <v>26.73</v>
      </c>
      <c r="KJ19">
        <v>1</v>
      </c>
      <c r="KQ19">
        <v>1</v>
      </c>
      <c r="PL19">
        <v>1</v>
      </c>
      <c r="PY19">
        <v>1</v>
      </c>
      <c r="QB19">
        <v>1</v>
      </c>
      <c r="QC19">
        <v>1</v>
      </c>
      <c r="UE19">
        <v>800</v>
      </c>
      <c r="UF19">
        <v>1</v>
      </c>
      <c r="UI19">
        <v>1</v>
      </c>
      <c r="UK19">
        <v>2</v>
      </c>
      <c r="UL19">
        <v>2</v>
      </c>
      <c r="UM19">
        <v>1</v>
      </c>
      <c r="UN19" s="2">
        <v>0</v>
      </c>
      <c r="VB19">
        <v>1</v>
      </c>
      <c r="EAZ19">
        <v>1000</v>
      </c>
      <c r="EBA19">
        <v>1</v>
      </c>
      <c r="EBD19">
        <v>1</v>
      </c>
      <c r="EBE19">
        <v>2</v>
      </c>
      <c r="EBF19">
        <v>2</v>
      </c>
      <c r="EBG19">
        <v>1</v>
      </c>
      <c r="EBH19" s="2">
        <v>0</v>
      </c>
      <c r="ECT19">
        <v>2</v>
      </c>
      <c r="ECU19">
        <v>3</v>
      </c>
      <c r="ECV19">
        <v>2</v>
      </c>
      <c r="ECW19" s="2">
        <v>0</v>
      </c>
      <c r="EDS19">
        <v>1000</v>
      </c>
      <c r="EDT19">
        <v>1</v>
      </c>
      <c r="EDW19">
        <v>1</v>
      </c>
      <c r="EDX19">
        <v>2</v>
      </c>
      <c r="EDY19">
        <v>2</v>
      </c>
      <c r="EDZ19">
        <v>1</v>
      </c>
      <c r="EEA19" s="2">
        <v>0</v>
      </c>
      <c r="ESA19">
        <v>1</v>
      </c>
      <c r="ESH19">
        <v>1</v>
      </c>
      <c r="ESL19">
        <v>1</v>
      </c>
      <c r="ESP19">
        <v>1</v>
      </c>
      <c r="ETE19">
        <v>1</v>
      </c>
      <c r="ETG19">
        <v>1</v>
      </c>
      <c r="ETT19">
        <v>1</v>
      </c>
      <c r="EUM19">
        <v>1</v>
      </c>
      <c r="EVH19">
        <v>1</v>
      </c>
      <c r="EVJ19">
        <v>1</v>
      </c>
      <c r="EYZ19">
        <v>50</v>
      </c>
      <c r="EZI19">
        <v>1</v>
      </c>
      <c r="EZN19">
        <v>1</v>
      </c>
      <c r="FAF19">
        <v>1</v>
      </c>
      <c r="FAG19">
        <v>1</v>
      </c>
      <c r="FAH19">
        <v>1</v>
      </c>
      <c r="FAI19">
        <v>1</v>
      </c>
      <c r="FAJ19">
        <v>1</v>
      </c>
      <c r="FAK19">
        <v>1</v>
      </c>
      <c r="FAL19">
        <v>1</v>
      </c>
      <c r="FAM19">
        <v>1</v>
      </c>
      <c r="FAO19">
        <v>1</v>
      </c>
      <c r="FBH19">
        <v>1</v>
      </c>
      <c r="FDI19">
        <v>1</v>
      </c>
      <c r="FDJ19">
        <v>1</v>
      </c>
      <c r="FDK19">
        <v>1</v>
      </c>
      <c r="FDL19">
        <v>1</v>
      </c>
      <c r="FDS19">
        <v>1</v>
      </c>
      <c r="FDT19">
        <v>1</v>
      </c>
      <c r="FDU19">
        <v>1</v>
      </c>
      <c r="FDV19">
        <v>1</v>
      </c>
      <c r="FEW19">
        <v>1</v>
      </c>
      <c r="FEY19">
        <v>1</v>
      </c>
      <c r="FEZ19">
        <v>1</v>
      </c>
      <c r="FFF19">
        <v>1</v>
      </c>
    </row>
    <row r="20" spans="1:1014 1273:1873 2055:3039 3074:4095 4097:4311" x14ac:dyDescent="0.25">
      <c r="A20" s="48">
        <v>10064335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KE20">
        <v>86</v>
      </c>
      <c r="KF20">
        <v>1</v>
      </c>
      <c r="KI20">
        <v>1</v>
      </c>
      <c r="KL20">
        <v>1</v>
      </c>
      <c r="KM20">
        <v>1</v>
      </c>
      <c r="LC20">
        <v>1</v>
      </c>
      <c r="MT20">
        <v>1</v>
      </c>
      <c r="MU20">
        <v>1</v>
      </c>
      <c r="MZ20">
        <v>1</v>
      </c>
      <c r="NZ20">
        <v>1</v>
      </c>
      <c r="OA20">
        <v>1</v>
      </c>
      <c r="OL20">
        <v>1</v>
      </c>
      <c r="OM20">
        <v>1</v>
      </c>
      <c r="ON20">
        <v>1</v>
      </c>
      <c r="PA20">
        <v>1</v>
      </c>
      <c r="PB20">
        <v>1</v>
      </c>
      <c r="UI20">
        <v>1</v>
      </c>
      <c r="UL20">
        <v>22</v>
      </c>
      <c r="UO20">
        <v>5</v>
      </c>
      <c r="VC20">
        <v>100</v>
      </c>
      <c r="VD20">
        <v>1</v>
      </c>
      <c r="VG20">
        <v>1</v>
      </c>
      <c r="VI20">
        <v>22</v>
      </c>
      <c r="VL20">
        <v>5</v>
      </c>
      <c r="BAH20">
        <v>300</v>
      </c>
      <c r="BAI20">
        <v>1</v>
      </c>
      <c r="BAL20">
        <v>1</v>
      </c>
      <c r="BAN20">
        <v>25</v>
      </c>
      <c r="BAQ20">
        <v>2</v>
      </c>
      <c r="BMM20">
        <v>1</v>
      </c>
      <c r="BMO20">
        <v>21</v>
      </c>
      <c r="BMR20">
        <v>5</v>
      </c>
      <c r="BMT20">
        <v>0.2</v>
      </c>
      <c r="BMU20">
        <v>1</v>
      </c>
      <c r="BMX20">
        <v>1</v>
      </c>
      <c r="BMZ20">
        <v>22</v>
      </c>
      <c r="BNC20">
        <v>5</v>
      </c>
      <c r="BRL20">
        <v>10</v>
      </c>
      <c r="BRP20">
        <v>1</v>
      </c>
      <c r="BRR20">
        <v>999</v>
      </c>
      <c r="BSW20">
        <v>2</v>
      </c>
      <c r="BSX20">
        <v>30</v>
      </c>
      <c r="BSY20">
        <v>29</v>
      </c>
      <c r="BSZ20" s="2">
        <v>0</v>
      </c>
      <c r="CAF20">
        <v>1</v>
      </c>
      <c r="CAH20">
        <v>25</v>
      </c>
      <c r="CAJ20" s="2"/>
      <c r="COW20">
        <v>2</v>
      </c>
      <c r="CPA20">
        <v>1</v>
      </c>
      <c r="CPC20">
        <v>22</v>
      </c>
      <c r="CPF20">
        <v>5</v>
      </c>
      <c r="ERG20">
        <v>1</v>
      </c>
      <c r="ERJ20">
        <v>1</v>
      </c>
      <c r="ETL20">
        <v>1</v>
      </c>
      <c r="EUT20">
        <v>1</v>
      </c>
      <c r="EUV20">
        <v>1</v>
      </c>
      <c r="EVC20">
        <v>1</v>
      </c>
      <c r="EWS20">
        <v>1</v>
      </c>
      <c r="EWT20">
        <v>1</v>
      </c>
      <c r="EWV20">
        <v>1</v>
      </c>
      <c r="FBH20">
        <v>1</v>
      </c>
      <c r="FBZ20">
        <v>1</v>
      </c>
      <c r="FCB20">
        <v>1</v>
      </c>
    </row>
    <row r="21" spans="1:1014 1273:1873 2055:3039 3074:4095 4097:4311" x14ac:dyDescent="0.25">
      <c r="A21" s="49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1014 1273:1873 2055:3039 3074:4095 4097:4311" x14ac:dyDescent="0.25">
      <c r="A22" s="50" t="s">
        <v>1870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1014 1273:1873 2055:3039 3074:4095 4097:4311" x14ac:dyDescent="0.25">
      <c r="A23" s="48">
        <v>1480</v>
      </c>
      <c r="KE23">
        <v>57</v>
      </c>
      <c r="KG23">
        <v>1</v>
      </c>
      <c r="KH23">
        <v>28.9</v>
      </c>
      <c r="KK23">
        <v>14</v>
      </c>
      <c r="MK23">
        <v>1</v>
      </c>
      <c r="SB23">
        <v>1</v>
      </c>
      <c r="UQ23">
        <v>500</v>
      </c>
      <c r="UR23">
        <v>1</v>
      </c>
      <c r="UU23">
        <v>1</v>
      </c>
      <c r="UW23">
        <v>2</v>
      </c>
      <c r="UX23">
        <v>1</v>
      </c>
      <c r="UY23">
        <v>1</v>
      </c>
      <c r="UZ23">
        <v>2</v>
      </c>
      <c r="VA23">
        <v>3</v>
      </c>
      <c r="BOT23">
        <v>1</v>
      </c>
      <c r="FBI23">
        <v>1</v>
      </c>
      <c r="FBZ23">
        <v>1</v>
      </c>
      <c r="FCB23">
        <v>1</v>
      </c>
      <c r="FCD23">
        <v>1</v>
      </c>
    </row>
    <row r="24" spans="1:1014 1273:1873 2055:3039 3074:4095 4097:4311" x14ac:dyDescent="0.25">
      <c r="A24" s="48">
        <v>7063959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KE24">
        <v>43</v>
      </c>
      <c r="KG24">
        <v>1</v>
      </c>
      <c r="KJ24">
        <v>1</v>
      </c>
      <c r="KK24">
        <v>20</v>
      </c>
      <c r="LY24">
        <v>1</v>
      </c>
      <c r="RK24">
        <v>1</v>
      </c>
      <c r="UP24">
        <v>1</v>
      </c>
      <c r="VB24">
        <v>1</v>
      </c>
      <c r="DNF24">
        <v>1</v>
      </c>
      <c r="DNG24">
        <v>1</v>
      </c>
      <c r="EZA24">
        <v>1</v>
      </c>
      <c r="FAQ24">
        <v>1</v>
      </c>
      <c r="FBH24">
        <v>1</v>
      </c>
      <c r="FBV24">
        <v>1</v>
      </c>
      <c r="FBZ24">
        <v>1</v>
      </c>
      <c r="FCD24">
        <v>1</v>
      </c>
      <c r="FCM24">
        <v>1</v>
      </c>
      <c r="FDB24">
        <v>1</v>
      </c>
      <c r="FDE24">
        <v>1</v>
      </c>
      <c r="FDH24">
        <v>1</v>
      </c>
      <c r="FEG24">
        <v>1</v>
      </c>
      <c r="FIJ24">
        <v>1</v>
      </c>
      <c r="FIO24">
        <v>1</v>
      </c>
      <c r="FIP24">
        <v>1</v>
      </c>
      <c r="FIQ24">
        <v>1</v>
      </c>
      <c r="FIS24">
        <v>1</v>
      </c>
      <c r="FIU24">
        <v>1</v>
      </c>
    </row>
    <row r="25" spans="1:1014 1273:1873 2055:3039 3074:4095 4097:4311" x14ac:dyDescent="0.25">
      <c r="A25" s="48">
        <v>1003215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v>11</v>
      </c>
      <c r="AH25" s="6"/>
      <c r="AI25" s="6"/>
      <c r="AJ25" s="6"/>
      <c r="AK25" s="6"/>
      <c r="AS25">
        <v>0</v>
      </c>
      <c r="AT25">
        <v>0</v>
      </c>
      <c r="AU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E25">
        <v>0</v>
      </c>
      <c r="IX25">
        <v>13000</v>
      </c>
      <c r="KE25">
        <v>28</v>
      </c>
      <c r="KG25">
        <v>1</v>
      </c>
      <c r="KJ25">
        <v>1</v>
      </c>
      <c r="KK25">
        <v>22</v>
      </c>
      <c r="PK25">
        <v>1</v>
      </c>
      <c r="SE25">
        <v>1</v>
      </c>
      <c r="SX25">
        <v>1</v>
      </c>
      <c r="TA25">
        <v>1</v>
      </c>
      <c r="UR25">
        <v>1</v>
      </c>
      <c r="UU25">
        <v>1</v>
      </c>
      <c r="UW25" s="15">
        <v>29</v>
      </c>
      <c r="UX25">
        <v>999</v>
      </c>
      <c r="UY25">
        <v>0</v>
      </c>
      <c r="UZ25">
        <v>3</v>
      </c>
      <c r="VA25">
        <v>5</v>
      </c>
      <c r="DCP25">
        <v>200</v>
      </c>
      <c r="DCQ25">
        <v>1</v>
      </c>
      <c r="DCT25">
        <v>1</v>
      </c>
      <c r="DCU25">
        <v>210</v>
      </c>
      <c r="DCV25">
        <v>11</v>
      </c>
      <c r="DCW25">
        <v>0</v>
      </c>
      <c r="DCX25">
        <v>3</v>
      </c>
      <c r="DCY25">
        <v>2</v>
      </c>
      <c r="ETE25">
        <v>1</v>
      </c>
      <c r="ETL25">
        <v>1</v>
      </c>
      <c r="EZF25">
        <v>1</v>
      </c>
      <c r="FAF25">
        <v>1</v>
      </c>
      <c r="FBK25">
        <v>1</v>
      </c>
      <c r="FBO25">
        <v>1</v>
      </c>
      <c r="FBS25">
        <v>1</v>
      </c>
      <c r="FBU25">
        <v>1</v>
      </c>
      <c r="FBZ25">
        <v>1</v>
      </c>
      <c r="FCB25">
        <v>1</v>
      </c>
      <c r="FCD25">
        <v>1</v>
      </c>
      <c r="FDG25">
        <v>1</v>
      </c>
      <c r="FDX25">
        <v>1</v>
      </c>
    </row>
    <row r="26" spans="1:1014 1273:1873 2055:3039 3074:4095 4097:4311" x14ac:dyDescent="0.25">
      <c r="A26" s="48">
        <v>99000802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KE26">
        <v>47</v>
      </c>
      <c r="KF26">
        <v>1</v>
      </c>
      <c r="KH26">
        <v>29.1</v>
      </c>
      <c r="KJ26">
        <v>1</v>
      </c>
      <c r="KK26">
        <v>28</v>
      </c>
      <c r="NV26">
        <v>1</v>
      </c>
      <c r="NZ26">
        <v>1</v>
      </c>
      <c r="OX26">
        <v>1</v>
      </c>
      <c r="TR26">
        <v>150</v>
      </c>
      <c r="TS26">
        <v>1</v>
      </c>
      <c r="TV26">
        <v>1</v>
      </c>
      <c r="TY26">
        <v>13</v>
      </c>
      <c r="TZ26">
        <v>12</v>
      </c>
      <c r="UA26">
        <v>0</v>
      </c>
      <c r="UB26">
        <v>0</v>
      </c>
      <c r="UC26">
        <v>3</v>
      </c>
      <c r="UQ26">
        <v>500</v>
      </c>
      <c r="UR26">
        <v>3</v>
      </c>
      <c r="UU26">
        <v>1</v>
      </c>
      <c r="UW26" s="35">
        <v>2</v>
      </c>
      <c r="UX26">
        <v>0</v>
      </c>
      <c r="UY26">
        <v>0</v>
      </c>
      <c r="UZ26">
        <v>999</v>
      </c>
      <c r="VA26">
        <v>4</v>
      </c>
      <c r="VC26">
        <v>100</v>
      </c>
      <c r="VD26">
        <v>1</v>
      </c>
      <c r="VG26">
        <v>1</v>
      </c>
      <c r="VH26" s="15">
        <v>28</v>
      </c>
      <c r="VI26">
        <v>999</v>
      </c>
      <c r="VJ26">
        <v>0</v>
      </c>
      <c r="VK26">
        <v>0</v>
      </c>
      <c r="VL26">
        <v>5</v>
      </c>
      <c r="BAH26">
        <v>300</v>
      </c>
      <c r="BAI26">
        <v>1</v>
      </c>
      <c r="BAL26">
        <v>1</v>
      </c>
      <c r="BAM26">
        <v>13</v>
      </c>
      <c r="BAN26">
        <v>12</v>
      </c>
      <c r="BAO26">
        <v>0</v>
      </c>
      <c r="BAP26">
        <v>0</v>
      </c>
      <c r="BAQ26">
        <v>3</v>
      </c>
      <c r="BEO26">
        <v>10</v>
      </c>
      <c r="BEP26">
        <v>0.5</v>
      </c>
      <c r="BES26">
        <v>1</v>
      </c>
      <c r="BET26" s="15">
        <v>28</v>
      </c>
      <c r="BEU26">
        <v>999</v>
      </c>
      <c r="BEV26">
        <v>0</v>
      </c>
      <c r="BEW26">
        <v>0</v>
      </c>
      <c r="BEX26">
        <v>6</v>
      </c>
      <c r="EDI26">
        <v>10</v>
      </c>
      <c r="EDJ26">
        <v>4</v>
      </c>
      <c r="EDM26">
        <v>1</v>
      </c>
      <c r="EDN26">
        <v>2</v>
      </c>
      <c r="EDO26">
        <v>26</v>
      </c>
      <c r="EDP26">
        <v>0</v>
      </c>
      <c r="EDQ26">
        <v>0</v>
      </c>
      <c r="EDR26">
        <v>5</v>
      </c>
      <c r="ETE26">
        <v>1</v>
      </c>
      <c r="ETL26">
        <v>1</v>
      </c>
      <c r="EZF26">
        <v>1</v>
      </c>
      <c r="FAF26">
        <v>1</v>
      </c>
      <c r="FBH26">
        <v>1</v>
      </c>
      <c r="FBZ26">
        <v>1</v>
      </c>
      <c r="FCB26">
        <v>1</v>
      </c>
    </row>
    <row r="27" spans="1:1014 1273:1873 2055:3039 3074:4095 4097:4311" x14ac:dyDescent="0.25">
      <c r="A27" s="48">
        <v>99000892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KE27">
        <v>56</v>
      </c>
      <c r="KF27">
        <v>1</v>
      </c>
      <c r="KH27">
        <v>27</v>
      </c>
      <c r="KJ27">
        <v>1</v>
      </c>
      <c r="KK27">
        <v>16</v>
      </c>
      <c r="KP27">
        <v>1</v>
      </c>
      <c r="LJ27">
        <v>1</v>
      </c>
      <c r="ML27">
        <v>1</v>
      </c>
      <c r="RM27">
        <v>1</v>
      </c>
      <c r="RQ27">
        <v>1</v>
      </c>
      <c r="UR27">
        <v>3</v>
      </c>
      <c r="UU27">
        <v>1</v>
      </c>
      <c r="UW27" s="35">
        <v>8</v>
      </c>
      <c r="UX27">
        <v>6</v>
      </c>
      <c r="UY27">
        <v>0</v>
      </c>
      <c r="UZ27">
        <v>999</v>
      </c>
      <c r="VA27">
        <v>4</v>
      </c>
      <c r="VC27">
        <v>300</v>
      </c>
      <c r="VD27">
        <v>3</v>
      </c>
      <c r="VG27">
        <v>1</v>
      </c>
      <c r="VH27" s="35">
        <v>8</v>
      </c>
      <c r="VI27">
        <v>6</v>
      </c>
      <c r="VJ27">
        <v>0</v>
      </c>
      <c r="VK27">
        <v>999</v>
      </c>
      <c r="VL27">
        <v>4</v>
      </c>
      <c r="CAA27" s="2">
        <v>6</v>
      </c>
      <c r="CAB27">
        <v>1</v>
      </c>
      <c r="CAE27">
        <v>1</v>
      </c>
      <c r="CAG27" s="36">
        <v>29</v>
      </c>
      <c r="CAH27">
        <v>999</v>
      </c>
      <c r="CAI27">
        <v>0</v>
      </c>
      <c r="CAJ27">
        <v>999</v>
      </c>
      <c r="CAK27">
        <v>6</v>
      </c>
      <c r="CCV27">
        <v>1</v>
      </c>
      <c r="CCW27">
        <v>3</v>
      </c>
      <c r="CCZ27">
        <v>1</v>
      </c>
      <c r="CDA27" s="15">
        <v>9</v>
      </c>
      <c r="CDB27">
        <v>999</v>
      </c>
      <c r="CDC27">
        <v>19</v>
      </c>
      <c r="CDD27">
        <v>0</v>
      </c>
      <c r="CDE27">
        <v>8</v>
      </c>
      <c r="CDP27">
        <v>25</v>
      </c>
      <c r="CDQ27">
        <v>3</v>
      </c>
      <c r="CDT27">
        <v>1</v>
      </c>
      <c r="CDU27" s="36">
        <v>29</v>
      </c>
      <c r="CDV27">
        <v>999</v>
      </c>
      <c r="CDW27">
        <v>0</v>
      </c>
      <c r="CDX27">
        <v>999</v>
      </c>
      <c r="CDY27">
        <v>6</v>
      </c>
      <c r="CUU27">
        <v>1</v>
      </c>
      <c r="CUV27">
        <v>2</v>
      </c>
      <c r="CUZ27" s="35">
        <v>8</v>
      </c>
      <c r="CVA27">
        <v>6</v>
      </c>
      <c r="CVB27">
        <v>0</v>
      </c>
      <c r="CVC27">
        <v>999</v>
      </c>
      <c r="CVD27">
        <v>5</v>
      </c>
      <c r="CVO27" s="2">
        <v>1</v>
      </c>
      <c r="CVS27">
        <v>1</v>
      </c>
      <c r="CVT27" s="35">
        <v>4</v>
      </c>
      <c r="CVU27">
        <v>2</v>
      </c>
      <c r="CVV27">
        <v>0</v>
      </c>
      <c r="CVW27">
        <v>999</v>
      </c>
      <c r="CVX27">
        <v>5</v>
      </c>
      <c r="DCP27">
        <v>400</v>
      </c>
      <c r="DCQ27">
        <v>2</v>
      </c>
      <c r="DCT27">
        <v>1</v>
      </c>
      <c r="DCU27" s="36">
        <v>29</v>
      </c>
      <c r="DCV27">
        <v>35</v>
      </c>
      <c r="DCW27">
        <v>0</v>
      </c>
      <c r="DCX27">
        <v>999</v>
      </c>
      <c r="DCY27">
        <v>3</v>
      </c>
      <c r="EMW27">
        <v>24</v>
      </c>
      <c r="EMX27">
        <v>1</v>
      </c>
      <c r="EMY27">
        <v>1</v>
      </c>
      <c r="ENB27" s="15">
        <v>9</v>
      </c>
      <c r="ENC27">
        <v>999</v>
      </c>
      <c r="END27">
        <v>19</v>
      </c>
      <c r="ENE27">
        <v>0</v>
      </c>
      <c r="ENF27">
        <v>6</v>
      </c>
      <c r="FAF27">
        <v>1</v>
      </c>
      <c r="FBH27">
        <v>1</v>
      </c>
      <c r="FCB27">
        <v>1</v>
      </c>
    </row>
    <row r="28" spans="1:1014 1273:1873 2055:3039 3074:4095 4097:4311" x14ac:dyDescent="0.25">
      <c r="A28" s="48">
        <v>1000192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KE28">
        <v>60</v>
      </c>
      <c r="KG28">
        <v>1</v>
      </c>
      <c r="KH28">
        <v>26.6</v>
      </c>
      <c r="KJ28">
        <v>1</v>
      </c>
      <c r="KK28">
        <v>20</v>
      </c>
      <c r="KT28">
        <v>1</v>
      </c>
      <c r="KU28">
        <v>1</v>
      </c>
      <c r="LD28">
        <v>1</v>
      </c>
      <c r="LN28">
        <v>1</v>
      </c>
      <c r="MF28">
        <v>1</v>
      </c>
      <c r="MK28">
        <v>1</v>
      </c>
      <c r="ML28">
        <v>1</v>
      </c>
      <c r="RM28">
        <v>1</v>
      </c>
      <c r="RR28">
        <v>1</v>
      </c>
      <c r="RZ28">
        <v>1</v>
      </c>
      <c r="SF28">
        <v>1</v>
      </c>
      <c r="UQ28" s="2">
        <v>1</v>
      </c>
      <c r="UR28">
        <v>1</v>
      </c>
      <c r="UU28">
        <v>1</v>
      </c>
      <c r="UW28">
        <v>2</v>
      </c>
      <c r="UX28">
        <v>24</v>
      </c>
      <c r="UY28">
        <v>0</v>
      </c>
      <c r="VA28">
        <v>4</v>
      </c>
      <c r="ABD28" s="36">
        <v>2</v>
      </c>
      <c r="ABE28" s="36">
        <v>2</v>
      </c>
      <c r="ABH28">
        <v>1</v>
      </c>
      <c r="ABI28">
        <v>3</v>
      </c>
      <c r="ABJ28">
        <v>9</v>
      </c>
      <c r="ABK28">
        <v>7</v>
      </c>
      <c r="ABM28">
        <v>5</v>
      </c>
      <c r="ABN28" s="36">
        <v>2</v>
      </c>
      <c r="ABO28" s="36">
        <v>1</v>
      </c>
      <c r="ABR28">
        <v>1</v>
      </c>
      <c r="ABS28">
        <v>2</v>
      </c>
      <c r="ABT28">
        <v>8</v>
      </c>
      <c r="ABU28">
        <v>6</v>
      </c>
      <c r="ABW28">
        <v>5</v>
      </c>
      <c r="ACI28" s="48"/>
      <c r="ACJ28">
        <v>1</v>
      </c>
      <c r="ACM28">
        <v>1</v>
      </c>
      <c r="ACN28">
        <v>1</v>
      </c>
      <c r="ACO28">
        <v>4</v>
      </c>
      <c r="ACP28">
        <v>4</v>
      </c>
      <c r="ACR28">
        <v>4</v>
      </c>
      <c r="AGQ28">
        <v>2</v>
      </c>
      <c r="AGR28">
        <v>1</v>
      </c>
      <c r="AGU28">
        <v>1</v>
      </c>
      <c r="AGV28">
        <v>1</v>
      </c>
      <c r="AGW28">
        <v>1</v>
      </c>
      <c r="AGX28">
        <v>1</v>
      </c>
      <c r="AGZ28">
        <v>6</v>
      </c>
      <c r="CAA28" s="2">
        <v>1</v>
      </c>
      <c r="CAB28" s="2">
        <v>2</v>
      </c>
      <c r="CAE28">
        <v>1</v>
      </c>
      <c r="CAG28" s="36">
        <v>29</v>
      </c>
      <c r="CAH28">
        <v>999</v>
      </c>
      <c r="CAI28">
        <v>0</v>
      </c>
      <c r="CAK28">
        <v>6</v>
      </c>
      <c r="CCB28">
        <v>20</v>
      </c>
      <c r="CCC28">
        <v>3</v>
      </c>
      <c r="CCF28">
        <v>1</v>
      </c>
      <c r="CCG28">
        <v>16</v>
      </c>
      <c r="CCH28">
        <v>23</v>
      </c>
      <c r="CCI28">
        <v>9</v>
      </c>
      <c r="CCK28">
        <v>6</v>
      </c>
      <c r="CFX28">
        <v>1</v>
      </c>
      <c r="CFY28">
        <v>1</v>
      </c>
      <c r="CGB28">
        <v>1</v>
      </c>
      <c r="CGC28" s="15">
        <v>2</v>
      </c>
      <c r="CGD28">
        <v>999</v>
      </c>
      <c r="CGE28">
        <v>27</v>
      </c>
      <c r="CGG28">
        <v>7</v>
      </c>
      <c r="CGR28">
        <v>1</v>
      </c>
      <c r="CGS28">
        <v>2</v>
      </c>
      <c r="CGV28">
        <v>1</v>
      </c>
      <c r="CGW28" s="35">
        <v>8</v>
      </c>
      <c r="CGX28">
        <v>7</v>
      </c>
      <c r="CGY28">
        <v>0</v>
      </c>
      <c r="CHA28">
        <v>5</v>
      </c>
      <c r="CHN28">
        <v>1</v>
      </c>
      <c r="CHQ28">
        <v>1</v>
      </c>
      <c r="CHR28" s="35">
        <v>27</v>
      </c>
      <c r="CHS28">
        <v>26</v>
      </c>
      <c r="CHV28">
        <v>6</v>
      </c>
      <c r="CHW28" s="2">
        <v>1</v>
      </c>
      <c r="CHX28">
        <v>4</v>
      </c>
      <c r="CIA28">
        <v>1</v>
      </c>
      <c r="CIB28">
        <v>15</v>
      </c>
      <c r="CIC28">
        <v>23</v>
      </c>
      <c r="CID28">
        <v>9</v>
      </c>
      <c r="CIF28">
        <v>6</v>
      </c>
      <c r="CIH28">
        <v>2</v>
      </c>
      <c r="CIK28">
        <v>1</v>
      </c>
      <c r="CIL28">
        <v>7</v>
      </c>
      <c r="CIM28">
        <v>7</v>
      </c>
      <c r="CIN28">
        <v>0</v>
      </c>
      <c r="CIP28">
        <v>5</v>
      </c>
      <c r="CNT28">
        <v>1</v>
      </c>
      <c r="CNU28">
        <v>1</v>
      </c>
      <c r="CNV28">
        <v>1</v>
      </c>
      <c r="CNW28">
        <v>1</v>
      </c>
      <c r="CNX28">
        <v>22</v>
      </c>
      <c r="CNY28">
        <v>22</v>
      </c>
      <c r="COA28">
        <v>7</v>
      </c>
      <c r="DCF28" s="2">
        <v>100</v>
      </c>
      <c r="DCG28">
        <v>3</v>
      </c>
      <c r="DCJ28">
        <v>1</v>
      </c>
      <c r="DCK28" s="36">
        <v>29</v>
      </c>
      <c r="DCL28">
        <v>999</v>
      </c>
      <c r="DCM28">
        <v>0</v>
      </c>
      <c r="DCO28">
        <v>3</v>
      </c>
      <c r="DLN28" s="36">
        <v>1</v>
      </c>
      <c r="DLO28">
        <v>1</v>
      </c>
      <c r="DLR28">
        <v>1</v>
      </c>
      <c r="DLS28" s="36">
        <v>29</v>
      </c>
      <c r="DLT28">
        <v>999</v>
      </c>
      <c r="DLU28">
        <v>0</v>
      </c>
      <c r="DLW28">
        <v>5</v>
      </c>
      <c r="DSS28">
        <v>1</v>
      </c>
      <c r="DST28">
        <v>1</v>
      </c>
      <c r="DSW28">
        <v>1</v>
      </c>
      <c r="DSX28">
        <v>6</v>
      </c>
      <c r="DSY28">
        <v>6</v>
      </c>
      <c r="DSZ28">
        <v>0</v>
      </c>
      <c r="DTB28">
        <v>5</v>
      </c>
      <c r="EKV28">
        <v>1</v>
      </c>
      <c r="EKW28">
        <v>3</v>
      </c>
      <c r="EKZ28">
        <v>1</v>
      </c>
      <c r="ELA28" s="36">
        <v>29</v>
      </c>
      <c r="ELB28">
        <v>999</v>
      </c>
      <c r="ELC28">
        <v>0</v>
      </c>
      <c r="ELE28">
        <v>6</v>
      </c>
      <c r="ETL28">
        <v>1</v>
      </c>
      <c r="FAP28">
        <v>1</v>
      </c>
      <c r="FAW28">
        <v>1</v>
      </c>
      <c r="FBH28">
        <v>1</v>
      </c>
      <c r="FBK28">
        <v>1</v>
      </c>
      <c r="FBM28">
        <v>1</v>
      </c>
      <c r="FBT28">
        <v>1</v>
      </c>
      <c r="FCB28">
        <v>1</v>
      </c>
      <c r="FCM28">
        <v>1</v>
      </c>
    </row>
    <row r="29" spans="1:1014 1273:1873 2055:3039 3074:4095 4097:4311" x14ac:dyDescent="0.25">
      <c r="A29" s="48">
        <v>1506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KE29">
        <v>36</v>
      </c>
      <c r="KG29">
        <v>1</v>
      </c>
      <c r="KH29">
        <v>25.8</v>
      </c>
      <c r="KK29">
        <v>15</v>
      </c>
      <c r="NB29">
        <v>1</v>
      </c>
      <c r="PI29">
        <v>1</v>
      </c>
      <c r="UQ29">
        <v>500</v>
      </c>
      <c r="UR29">
        <v>1</v>
      </c>
      <c r="UU29">
        <v>1</v>
      </c>
      <c r="UW29">
        <v>2</v>
      </c>
      <c r="UX29">
        <v>0</v>
      </c>
      <c r="UY29">
        <v>0</v>
      </c>
      <c r="UZ29">
        <v>1</v>
      </c>
      <c r="AHL29">
        <v>2</v>
      </c>
      <c r="AHO29">
        <v>1</v>
      </c>
      <c r="AHP29">
        <v>11</v>
      </c>
      <c r="AHQ29">
        <v>17</v>
      </c>
      <c r="AHR29">
        <v>8</v>
      </c>
      <c r="AHS29">
        <v>0</v>
      </c>
      <c r="AHT29">
        <v>3</v>
      </c>
      <c r="ALS29">
        <v>2</v>
      </c>
      <c r="ALV29">
        <v>1</v>
      </c>
      <c r="ALW29">
        <v>9</v>
      </c>
      <c r="ALX29">
        <v>6</v>
      </c>
      <c r="ALY29">
        <v>0</v>
      </c>
      <c r="ALZ29">
        <v>999</v>
      </c>
      <c r="FBJ29">
        <v>1</v>
      </c>
      <c r="FBP29">
        <v>1</v>
      </c>
      <c r="FCB29">
        <v>1</v>
      </c>
      <c r="FCH29">
        <v>1</v>
      </c>
      <c r="FCN29">
        <v>1</v>
      </c>
      <c r="FCO29">
        <v>1</v>
      </c>
      <c r="FCP29">
        <v>1</v>
      </c>
      <c r="FEL29">
        <v>1</v>
      </c>
      <c r="FEM29">
        <v>1</v>
      </c>
      <c r="FFC29">
        <v>1</v>
      </c>
    </row>
    <row r="30" spans="1:1014 1273:1873 2055:3039 3074:4095 4097:4311" x14ac:dyDescent="0.25">
      <c r="A30" s="48">
        <v>99000894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KE30">
        <v>58</v>
      </c>
      <c r="KG30">
        <v>1</v>
      </c>
      <c r="KH30">
        <v>22.6</v>
      </c>
      <c r="KJ30">
        <v>1</v>
      </c>
      <c r="KK30">
        <v>27</v>
      </c>
      <c r="RM30">
        <v>1</v>
      </c>
      <c r="RR30">
        <v>1</v>
      </c>
      <c r="RS30">
        <v>1</v>
      </c>
      <c r="RV30">
        <v>1</v>
      </c>
      <c r="UQ30" t="s">
        <v>348</v>
      </c>
      <c r="UR30" s="2">
        <v>1</v>
      </c>
      <c r="UU30">
        <v>1</v>
      </c>
      <c r="UW30">
        <v>1</v>
      </c>
      <c r="UX30">
        <v>1</v>
      </c>
      <c r="UY30">
        <v>1</v>
      </c>
      <c r="UZ30">
        <v>0</v>
      </c>
      <c r="VA30">
        <v>7</v>
      </c>
      <c r="ADC30" s="2">
        <v>2</v>
      </c>
      <c r="ADD30">
        <v>1</v>
      </c>
      <c r="ADE30">
        <v>1</v>
      </c>
      <c r="ADH30">
        <v>2</v>
      </c>
      <c r="ADI30">
        <v>2</v>
      </c>
      <c r="ADJ30">
        <v>1</v>
      </c>
      <c r="ADK30">
        <v>0</v>
      </c>
      <c r="ADL30">
        <v>5</v>
      </c>
      <c r="AVY30">
        <v>7.5</v>
      </c>
      <c r="AVZ30">
        <v>1</v>
      </c>
      <c r="AWC30">
        <v>1</v>
      </c>
      <c r="AWD30">
        <v>1</v>
      </c>
      <c r="AWE30">
        <v>2</v>
      </c>
      <c r="AWF30">
        <v>2</v>
      </c>
      <c r="AWG30">
        <v>0</v>
      </c>
      <c r="AWH30">
        <v>4</v>
      </c>
      <c r="AWI30">
        <v>1</v>
      </c>
      <c r="AWJ30">
        <v>1</v>
      </c>
      <c r="AWM30">
        <v>1</v>
      </c>
      <c r="AWN30">
        <v>1</v>
      </c>
      <c r="AWO30">
        <v>3</v>
      </c>
      <c r="AWP30">
        <v>3</v>
      </c>
      <c r="AWQ30">
        <v>0</v>
      </c>
      <c r="AWR30">
        <v>4</v>
      </c>
      <c r="BSQ30" t="s">
        <v>344</v>
      </c>
      <c r="BSR30">
        <v>3</v>
      </c>
      <c r="BSU30">
        <v>1</v>
      </c>
      <c r="BSW30">
        <v>9</v>
      </c>
      <c r="BSX30">
        <v>18</v>
      </c>
      <c r="BSY30">
        <v>10</v>
      </c>
      <c r="BSZ30">
        <v>0</v>
      </c>
      <c r="BTA30">
        <v>5</v>
      </c>
      <c r="CAA30" t="s">
        <v>340</v>
      </c>
      <c r="CAB30">
        <v>1</v>
      </c>
      <c r="CAE30">
        <v>1</v>
      </c>
      <c r="CAG30">
        <v>16</v>
      </c>
      <c r="CAH30">
        <v>18</v>
      </c>
      <c r="CAI30">
        <v>3</v>
      </c>
      <c r="CAJ30">
        <v>999</v>
      </c>
      <c r="CAK30">
        <v>5</v>
      </c>
      <c r="CDP30">
        <v>10</v>
      </c>
      <c r="CDQ30">
        <v>1</v>
      </c>
      <c r="CDR30">
        <v>1</v>
      </c>
      <c r="CDU30">
        <v>2</v>
      </c>
      <c r="CDV30">
        <v>2</v>
      </c>
      <c r="CDW30">
        <v>1</v>
      </c>
      <c r="CDX30">
        <v>0</v>
      </c>
      <c r="CDY30">
        <v>5</v>
      </c>
      <c r="CEJ30">
        <v>250</v>
      </c>
      <c r="CEK30">
        <v>1</v>
      </c>
      <c r="CEN30">
        <v>1</v>
      </c>
      <c r="CEO30">
        <v>22</v>
      </c>
      <c r="CEP30">
        <v>18</v>
      </c>
      <c r="CEQ30">
        <v>0</v>
      </c>
      <c r="CER30">
        <v>999</v>
      </c>
      <c r="CES30">
        <v>5</v>
      </c>
      <c r="CHW30" s="2">
        <v>1</v>
      </c>
      <c r="CHX30">
        <v>4</v>
      </c>
      <c r="CIA30">
        <v>1</v>
      </c>
      <c r="CIB30">
        <v>22</v>
      </c>
      <c r="CIC30">
        <v>18</v>
      </c>
      <c r="CID30">
        <v>0</v>
      </c>
      <c r="CIE30">
        <v>999</v>
      </c>
      <c r="CIF30">
        <v>5</v>
      </c>
      <c r="CPS30" s="2">
        <v>1</v>
      </c>
      <c r="CPT30">
        <v>1</v>
      </c>
      <c r="CPW30">
        <v>11</v>
      </c>
      <c r="CPX30">
        <v>9</v>
      </c>
      <c r="CPY30">
        <v>0</v>
      </c>
      <c r="CPZ30">
        <v>1</v>
      </c>
      <c r="CQA30">
        <v>5</v>
      </c>
      <c r="CXD30" t="s">
        <v>339</v>
      </c>
      <c r="CXE30">
        <v>1</v>
      </c>
      <c r="CXH30">
        <v>1</v>
      </c>
      <c r="CXI30">
        <v>10</v>
      </c>
      <c r="CXJ30">
        <v>9</v>
      </c>
      <c r="CXK30">
        <v>0</v>
      </c>
      <c r="CXL30">
        <v>0</v>
      </c>
      <c r="CXM30">
        <v>5</v>
      </c>
      <c r="DBA30">
        <v>2</v>
      </c>
      <c r="DBB30">
        <v>1</v>
      </c>
      <c r="DBC30">
        <v>1</v>
      </c>
      <c r="DBF30">
        <v>1</v>
      </c>
      <c r="DBG30">
        <v>2</v>
      </c>
      <c r="DBH30">
        <v>2</v>
      </c>
      <c r="DBI30">
        <v>0</v>
      </c>
      <c r="DBJ30">
        <v>5</v>
      </c>
      <c r="DCF30" t="s">
        <v>338</v>
      </c>
      <c r="DCG30">
        <v>3</v>
      </c>
      <c r="DCJ30">
        <v>1</v>
      </c>
      <c r="DCK30">
        <v>16</v>
      </c>
      <c r="DCL30">
        <v>18</v>
      </c>
      <c r="DCM30">
        <v>3</v>
      </c>
      <c r="DCN30">
        <v>999</v>
      </c>
      <c r="DCO30">
        <v>3</v>
      </c>
      <c r="EAP30">
        <v>2</v>
      </c>
      <c r="EAQ30">
        <v>1</v>
      </c>
      <c r="EAR30">
        <v>1</v>
      </c>
      <c r="EAU30">
        <v>1</v>
      </c>
      <c r="EAV30">
        <v>2</v>
      </c>
      <c r="EAW30">
        <v>2</v>
      </c>
      <c r="EAX30">
        <v>0</v>
      </c>
      <c r="EAY30">
        <v>4</v>
      </c>
      <c r="ENG30">
        <v>1</v>
      </c>
      <c r="ENH30">
        <v>1</v>
      </c>
      <c r="ENI30">
        <v>1</v>
      </c>
      <c r="ENL30">
        <v>1</v>
      </c>
      <c r="ENM30">
        <v>2</v>
      </c>
      <c r="ENN30">
        <v>2</v>
      </c>
      <c r="ENO30" s="2">
        <v>0</v>
      </c>
      <c r="ENP30">
        <v>5</v>
      </c>
      <c r="ERJ30">
        <v>4</v>
      </c>
      <c r="ERL30">
        <v>1</v>
      </c>
      <c r="ERP30">
        <v>2</v>
      </c>
      <c r="ETE30">
        <v>1</v>
      </c>
      <c r="EZJ30">
        <v>1</v>
      </c>
      <c r="FAF30">
        <v>1</v>
      </c>
      <c r="FBH30">
        <v>1</v>
      </c>
      <c r="FCB30">
        <v>1</v>
      </c>
    </row>
    <row r="31" spans="1:1014 1273:1873 2055:3039 3074:4095 4097:4311" x14ac:dyDescent="0.25">
      <c r="A31" s="48">
        <v>99000897</v>
      </c>
      <c r="KE31">
        <v>36</v>
      </c>
      <c r="KG31">
        <v>1</v>
      </c>
      <c r="KJ31">
        <v>1</v>
      </c>
      <c r="KK31">
        <v>19</v>
      </c>
      <c r="UQ31" s="2">
        <v>75</v>
      </c>
      <c r="UR31">
        <v>3</v>
      </c>
      <c r="UV31">
        <v>1</v>
      </c>
      <c r="UW31">
        <v>2</v>
      </c>
      <c r="UX31">
        <v>0</v>
      </c>
      <c r="UY31">
        <v>0</v>
      </c>
      <c r="UZ31">
        <v>999</v>
      </c>
      <c r="VA31">
        <v>5</v>
      </c>
      <c r="AHK31">
        <v>500</v>
      </c>
      <c r="AHL31">
        <v>3</v>
      </c>
      <c r="AHO31">
        <v>1</v>
      </c>
      <c r="AHP31" s="35">
        <v>4</v>
      </c>
      <c r="AHQ31">
        <v>2</v>
      </c>
      <c r="AHR31">
        <v>0</v>
      </c>
      <c r="AHS31">
        <v>999</v>
      </c>
      <c r="AHT31">
        <v>4</v>
      </c>
      <c r="ERI31">
        <v>1</v>
      </c>
      <c r="ETE31">
        <v>1</v>
      </c>
      <c r="EUN31">
        <v>1</v>
      </c>
      <c r="EZI31">
        <v>1</v>
      </c>
      <c r="FAF31">
        <v>1</v>
      </c>
      <c r="FBH31">
        <v>1</v>
      </c>
      <c r="FCB31">
        <v>1</v>
      </c>
    </row>
    <row r="32" spans="1:1014 1273:1873 2055:3039 3074:4095 4097:4311" x14ac:dyDescent="0.25">
      <c r="A32" s="48">
        <v>99001245</v>
      </c>
      <c r="KE32">
        <v>4</v>
      </c>
      <c r="KG32">
        <v>1</v>
      </c>
      <c r="KJ32">
        <v>1</v>
      </c>
      <c r="KK32">
        <v>8</v>
      </c>
      <c r="LD32">
        <v>1</v>
      </c>
      <c r="PS32">
        <v>1</v>
      </c>
      <c r="UQ32">
        <v>250</v>
      </c>
      <c r="UR32" s="2">
        <v>2</v>
      </c>
      <c r="UV32">
        <v>1</v>
      </c>
      <c r="UW32" s="35">
        <v>3</v>
      </c>
      <c r="UX32">
        <v>1</v>
      </c>
      <c r="UY32">
        <v>0</v>
      </c>
      <c r="UZ32">
        <v>999</v>
      </c>
      <c r="VA32">
        <v>4</v>
      </c>
      <c r="AHA32">
        <v>75</v>
      </c>
      <c r="AHB32" s="2">
        <v>1</v>
      </c>
      <c r="AHE32">
        <v>1</v>
      </c>
      <c r="AHF32" s="15">
        <v>5</v>
      </c>
      <c r="AHG32">
        <v>999</v>
      </c>
      <c r="AHH32">
        <v>0</v>
      </c>
      <c r="AHI32">
        <v>0</v>
      </c>
      <c r="AHJ32">
        <v>3</v>
      </c>
      <c r="CQB32">
        <v>1</v>
      </c>
      <c r="CQC32" s="2">
        <v>1</v>
      </c>
      <c r="CQF32">
        <v>1</v>
      </c>
      <c r="CQG32">
        <v>2</v>
      </c>
      <c r="CQH32">
        <v>1</v>
      </c>
      <c r="CQI32">
        <v>0</v>
      </c>
      <c r="CQJ32">
        <v>0</v>
      </c>
      <c r="CQK32">
        <v>5</v>
      </c>
      <c r="ETE32">
        <v>1</v>
      </c>
      <c r="ETX32">
        <v>1</v>
      </c>
      <c r="FAF32">
        <v>1</v>
      </c>
      <c r="FBH32">
        <v>1</v>
      </c>
      <c r="FBZ32">
        <v>1</v>
      </c>
      <c r="FCB32">
        <v>1</v>
      </c>
      <c r="FCD32">
        <v>1</v>
      </c>
    </row>
    <row r="33" spans="1:944 1036:2046 2049:3049 3084:4095 4116:4317" x14ac:dyDescent="0.25">
      <c r="A33" s="48">
        <v>99001902</v>
      </c>
      <c r="KE33">
        <v>1</v>
      </c>
      <c r="KF33">
        <v>1</v>
      </c>
      <c r="KJ33">
        <v>1</v>
      </c>
      <c r="KK33">
        <v>17</v>
      </c>
      <c r="KP33">
        <v>1</v>
      </c>
      <c r="PR33">
        <v>1</v>
      </c>
      <c r="UV33">
        <v>1</v>
      </c>
      <c r="UW33">
        <v>11</v>
      </c>
      <c r="UX33">
        <v>15</v>
      </c>
      <c r="UY33">
        <v>5</v>
      </c>
      <c r="UZ33">
        <v>0</v>
      </c>
      <c r="VA33">
        <v>4</v>
      </c>
      <c r="AHO33">
        <v>1</v>
      </c>
      <c r="AHP33">
        <v>8</v>
      </c>
      <c r="AHQ33">
        <v>14</v>
      </c>
      <c r="AHR33">
        <v>7</v>
      </c>
      <c r="AHS33">
        <v>0</v>
      </c>
      <c r="AHT33">
        <v>3</v>
      </c>
      <c r="ETE33">
        <v>1</v>
      </c>
      <c r="ETW33">
        <v>1</v>
      </c>
      <c r="FAF33">
        <v>1</v>
      </c>
      <c r="FBH33">
        <v>1</v>
      </c>
      <c r="FCD33">
        <v>1</v>
      </c>
    </row>
    <row r="34" spans="1:944 1036:2046 2049:3049 3084:4095 4116:4317" x14ac:dyDescent="0.25">
      <c r="A34" s="48">
        <v>99001912</v>
      </c>
      <c r="KE34">
        <v>37</v>
      </c>
      <c r="KG34">
        <v>1</v>
      </c>
      <c r="KJ34">
        <v>1</v>
      </c>
      <c r="KK34">
        <v>35</v>
      </c>
      <c r="TU34">
        <v>1</v>
      </c>
      <c r="TY34">
        <v>3</v>
      </c>
      <c r="TZ34">
        <v>1</v>
      </c>
      <c r="UA34">
        <v>0</v>
      </c>
      <c r="UB34">
        <v>999</v>
      </c>
      <c r="UC34">
        <v>3</v>
      </c>
      <c r="UW34">
        <v>2</v>
      </c>
      <c r="UX34">
        <v>3</v>
      </c>
      <c r="UY34">
        <v>2</v>
      </c>
      <c r="UZ34">
        <v>0</v>
      </c>
      <c r="VA34">
        <v>4</v>
      </c>
      <c r="AHP34">
        <v>2</v>
      </c>
      <c r="AHQ34">
        <v>3</v>
      </c>
      <c r="AHR34">
        <v>2</v>
      </c>
      <c r="AHS34">
        <v>0</v>
      </c>
      <c r="AHT34">
        <v>3</v>
      </c>
    </row>
    <row r="35" spans="1:944 1036:2046 2049:3049 3084:4095 4116:4317" x14ac:dyDescent="0.25">
      <c r="A35" s="48">
        <v>99001913</v>
      </c>
      <c r="KE35">
        <v>20</v>
      </c>
      <c r="KF35">
        <v>1</v>
      </c>
      <c r="KH35">
        <v>21</v>
      </c>
      <c r="KJ35">
        <v>1</v>
      </c>
      <c r="KK35">
        <v>27</v>
      </c>
      <c r="KP35">
        <v>1</v>
      </c>
      <c r="KQ35">
        <v>1</v>
      </c>
      <c r="KS35">
        <v>1</v>
      </c>
      <c r="LD35">
        <v>1</v>
      </c>
      <c r="PY35">
        <v>1</v>
      </c>
      <c r="UU35">
        <v>1</v>
      </c>
      <c r="UW35">
        <v>3</v>
      </c>
      <c r="UX35">
        <v>1</v>
      </c>
      <c r="UY35">
        <v>0</v>
      </c>
      <c r="UZ35">
        <v>1</v>
      </c>
      <c r="VA35">
        <v>5</v>
      </c>
      <c r="VG35">
        <v>1</v>
      </c>
      <c r="VH35">
        <v>1</v>
      </c>
      <c r="VI35">
        <v>7</v>
      </c>
      <c r="VJ35">
        <v>7</v>
      </c>
      <c r="VK35">
        <v>0</v>
      </c>
      <c r="VL35">
        <v>5</v>
      </c>
      <c r="CJY35">
        <v>1</v>
      </c>
      <c r="CJZ35">
        <v>29</v>
      </c>
      <c r="CKA35">
        <v>27</v>
      </c>
      <c r="CKB35">
        <v>0</v>
      </c>
      <c r="CKC35">
        <v>1</v>
      </c>
      <c r="CKD35">
        <v>6</v>
      </c>
      <c r="CPR35">
        <v>200</v>
      </c>
      <c r="CPV35">
        <v>1</v>
      </c>
      <c r="CPW35">
        <v>3</v>
      </c>
      <c r="CPX35">
        <v>1</v>
      </c>
      <c r="CPY35">
        <v>0</v>
      </c>
      <c r="CPZ35">
        <v>1</v>
      </c>
      <c r="CQA35">
        <v>5</v>
      </c>
      <c r="CVY35">
        <v>200</v>
      </c>
      <c r="CWC35">
        <v>1</v>
      </c>
      <c r="CWD35">
        <v>3</v>
      </c>
      <c r="CWE35">
        <v>1</v>
      </c>
      <c r="CWF35">
        <v>0</v>
      </c>
      <c r="CWG35">
        <v>1</v>
      </c>
      <c r="CWH35">
        <v>5</v>
      </c>
      <c r="DNP35">
        <v>1</v>
      </c>
      <c r="DNQ35">
        <v>3</v>
      </c>
      <c r="DNR35">
        <v>1</v>
      </c>
      <c r="DNS35">
        <v>0</v>
      </c>
      <c r="DNT35">
        <v>1</v>
      </c>
      <c r="DNU35">
        <v>5</v>
      </c>
      <c r="ETE35">
        <v>1</v>
      </c>
      <c r="ETL35">
        <v>1</v>
      </c>
      <c r="EUN35">
        <v>1</v>
      </c>
      <c r="FAF35">
        <v>1</v>
      </c>
      <c r="FCB35">
        <v>1</v>
      </c>
      <c r="FCD35">
        <v>1</v>
      </c>
    </row>
    <row r="36" spans="1:944 1036:2046 2049:3049 3084:4095 4116:4317" x14ac:dyDescent="0.25">
      <c r="A36" s="48">
        <v>99001937</v>
      </c>
      <c r="KE36">
        <v>83</v>
      </c>
      <c r="KF36">
        <v>1</v>
      </c>
      <c r="KH36">
        <v>26.5</v>
      </c>
      <c r="KJ36">
        <v>1</v>
      </c>
      <c r="KK36">
        <v>32</v>
      </c>
      <c r="KQ36">
        <v>1</v>
      </c>
      <c r="LD36">
        <v>1</v>
      </c>
      <c r="LH36">
        <v>1</v>
      </c>
      <c r="LN36">
        <v>1</v>
      </c>
      <c r="LZ36">
        <v>1</v>
      </c>
      <c r="OA36">
        <v>1</v>
      </c>
      <c r="OU36">
        <v>1</v>
      </c>
      <c r="OW36">
        <v>1</v>
      </c>
      <c r="PJ36">
        <v>1</v>
      </c>
      <c r="PO36">
        <v>1</v>
      </c>
      <c r="TA36">
        <v>1</v>
      </c>
      <c r="UQ36">
        <v>500</v>
      </c>
      <c r="UU36">
        <v>1</v>
      </c>
      <c r="UW36">
        <v>1</v>
      </c>
      <c r="UX36">
        <v>21</v>
      </c>
      <c r="UY36">
        <v>21</v>
      </c>
      <c r="VA36">
        <v>5</v>
      </c>
      <c r="BKA36">
        <v>1</v>
      </c>
      <c r="BKE36">
        <v>2</v>
      </c>
      <c r="BKF36">
        <v>18</v>
      </c>
      <c r="BKG36">
        <v>17</v>
      </c>
      <c r="BKH36" s="2">
        <v>0</v>
      </c>
      <c r="BKI36">
        <v>5</v>
      </c>
      <c r="BKJ36">
        <v>600</v>
      </c>
      <c r="BKK36">
        <v>1</v>
      </c>
      <c r="BKN36">
        <v>1</v>
      </c>
      <c r="BKO36" s="15">
        <v>23</v>
      </c>
      <c r="BKP36">
        <v>999</v>
      </c>
      <c r="BKQ36">
        <v>6</v>
      </c>
      <c r="BKS36">
        <v>6</v>
      </c>
      <c r="BLZ36">
        <v>1</v>
      </c>
      <c r="BMC36">
        <v>1</v>
      </c>
      <c r="BMD36" s="36">
        <v>29</v>
      </c>
      <c r="BME36">
        <v>28</v>
      </c>
      <c r="BMF36">
        <v>0</v>
      </c>
      <c r="BMG36">
        <v>999</v>
      </c>
      <c r="BMH36">
        <v>6</v>
      </c>
      <c r="BZP36">
        <v>500</v>
      </c>
      <c r="BZR36">
        <v>1</v>
      </c>
      <c r="BZU36">
        <v>2</v>
      </c>
      <c r="BZV36">
        <v>5</v>
      </c>
      <c r="BZW36">
        <v>0</v>
      </c>
      <c r="BZY36">
        <v>5</v>
      </c>
      <c r="CCF36">
        <v>1</v>
      </c>
      <c r="CCG36">
        <v>1</v>
      </c>
      <c r="CCH36">
        <v>28</v>
      </c>
      <c r="CCI36">
        <v>28</v>
      </c>
      <c r="CCK36">
        <v>6</v>
      </c>
      <c r="CEN36">
        <v>1</v>
      </c>
      <c r="CEO36">
        <v>1</v>
      </c>
      <c r="CEP36">
        <v>20</v>
      </c>
      <c r="CEQ36">
        <v>20</v>
      </c>
      <c r="CER36" s="2">
        <v>0</v>
      </c>
      <c r="CES36">
        <v>5</v>
      </c>
      <c r="CFX36">
        <v>1</v>
      </c>
      <c r="CFY36">
        <v>2</v>
      </c>
      <c r="CGB36">
        <v>1</v>
      </c>
      <c r="CGC36">
        <v>15</v>
      </c>
      <c r="CGD36">
        <v>20</v>
      </c>
      <c r="CGE36">
        <v>6</v>
      </c>
      <c r="CGG36">
        <v>5</v>
      </c>
      <c r="CGH36">
        <v>1</v>
      </c>
      <c r="CGI36">
        <v>3</v>
      </c>
      <c r="CGL36">
        <v>1</v>
      </c>
      <c r="CGM36">
        <v>14</v>
      </c>
      <c r="CGN36">
        <v>19</v>
      </c>
      <c r="CGO36">
        <v>6</v>
      </c>
      <c r="CGQ36">
        <v>5</v>
      </c>
      <c r="CGW36">
        <v>16</v>
      </c>
      <c r="CGX36">
        <v>21</v>
      </c>
      <c r="CGY36">
        <v>6</v>
      </c>
      <c r="CHA36">
        <v>6</v>
      </c>
      <c r="CIQ36">
        <v>1</v>
      </c>
      <c r="CIR36">
        <v>3</v>
      </c>
      <c r="CIU36">
        <v>1</v>
      </c>
      <c r="CIV36">
        <v>12</v>
      </c>
      <c r="CIW36">
        <v>17</v>
      </c>
      <c r="CIX36">
        <v>6</v>
      </c>
      <c r="CIZ36">
        <v>4</v>
      </c>
      <c r="CJE36">
        <v>1</v>
      </c>
      <c r="CJF36">
        <v>9</v>
      </c>
      <c r="CJG36">
        <v>16</v>
      </c>
      <c r="CJH36">
        <v>6</v>
      </c>
      <c r="CJI36" s="2">
        <v>0</v>
      </c>
      <c r="CJJ36">
        <v>5</v>
      </c>
      <c r="CMT36">
        <v>1</v>
      </c>
      <c r="CMU36">
        <v>8</v>
      </c>
      <c r="CMV36">
        <v>19</v>
      </c>
      <c r="CMW36">
        <v>6</v>
      </c>
      <c r="CMX36" s="2">
        <v>0</v>
      </c>
      <c r="CMY36">
        <v>4</v>
      </c>
      <c r="DOA36" s="15">
        <v>21</v>
      </c>
      <c r="DOB36">
        <v>999</v>
      </c>
      <c r="DOC36">
        <v>3</v>
      </c>
      <c r="DOE36">
        <v>6</v>
      </c>
      <c r="DPJ36" s="39" t="s">
        <v>365</v>
      </c>
      <c r="DPL36">
        <v>1</v>
      </c>
      <c r="DPM36" s="15">
        <v>21</v>
      </c>
      <c r="DPN36">
        <v>999</v>
      </c>
      <c r="DPO36">
        <v>3</v>
      </c>
      <c r="DPQ36">
        <v>6</v>
      </c>
      <c r="DPR36">
        <v>5</v>
      </c>
      <c r="DPS36">
        <v>1</v>
      </c>
      <c r="DPV36">
        <v>1</v>
      </c>
      <c r="DPW36" s="35">
        <v>14</v>
      </c>
      <c r="DPX36">
        <v>27</v>
      </c>
      <c r="DPY36">
        <v>0</v>
      </c>
      <c r="DQA36">
        <v>6</v>
      </c>
      <c r="FAF36">
        <v>1</v>
      </c>
      <c r="FBH36">
        <v>1</v>
      </c>
      <c r="FCB36">
        <v>1</v>
      </c>
    </row>
    <row r="37" spans="1:944 1036:2046 2049:3049 3084:4095 4116:4317" x14ac:dyDescent="0.25">
      <c r="A37" s="48">
        <v>99001943</v>
      </c>
      <c r="KE37">
        <v>53</v>
      </c>
      <c r="KG37">
        <v>1</v>
      </c>
      <c r="KH37">
        <v>19.600000000000001</v>
      </c>
      <c r="KJ37">
        <v>1</v>
      </c>
      <c r="KK37">
        <v>35</v>
      </c>
      <c r="NM37">
        <v>1</v>
      </c>
      <c r="RV37">
        <v>1</v>
      </c>
      <c r="UV37">
        <v>1</v>
      </c>
      <c r="UW37">
        <v>2</v>
      </c>
      <c r="UX37">
        <v>4</v>
      </c>
      <c r="UY37">
        <v>3</v>
      </c>
      <c r="UZ37">
        <v>0</v>
      </c>
      <c r="VA37">
        <v>4</v>
      </c>
      <c r="AAA37">
        <v>1</v>
      </c>
      <c r="AAE37">
        <v>1</v>
      </c>
      <c r="AAF37">
        <v>22</v>
      </c>
      <c r="AAG37">
        <v>21</v>
      </c>
      <c r="AAI37">
        <v>7</v>
      </c>
      <c r="ADO37">
        <v>1</v>
      </c>
      <c r="ADS37">
        <v>1</v>
      </c>
      <c r="ADT37">
        <v>22</v>
      </c>
      <c r="ADU37">
        <v>22</v>
      </c>
      <c r="ADV37">
        <v>0</v>
      </c>
      <c r="ADW37">
        <v>7</v>
      </c>
      <c r="AET37">
        <v>1</v>
      </c>
      <c r="AEW37">
        <v>1</v>
      </c>
      <c r="AEX37">
        <v>22</v>
      </c>
      <c r="AEY37">
        <v>22</v>
      </c>
      <c r="AEZ37">
        <v>0</v>
      </c>
      <c r="AFA37">
        <v>7</v>
      </c>
      <c r="AWA37">
        <v>1</v>
      </c>
      <c r="AWD37">
        <v>2</v>
      </c>
      <c r="AWE37">
        <v>22</v>
      </c>
      <c r="AWF37">
        <v>22</v>
      </c>
      <c r="AWG37">
        <v>0</v>
      </c>
      <c r="AWH37">
        <v>7</v>
      </c>
      <c r="AWU37">
        <v>1</v>
      </c>
      <c r="AWX37">
        <v>1</v>
      </c>
      <c r="AWY37">
        <v>21</v>
      </c>
      <c r="AWZ37">
        <v>21</v>
      </c>
      <c r="AXA37">
        <v>0</v>
      </c>
      <c r="AXB37">
        <v>7</v>
      </c>
      <c r="BKD37">
        <v>1</v>
      </c>
      <c r="BKE37">
        <v>1</v>
      </c>
      <c r="BKF37">
        <v>22</v>
      </c>
      <c r="BKG37">
        <v>22</v>
      </c>
      <c r="BKH37">
        <v>0</v>
      </c>
      <c r="BKI37">
        <v>7</v>
      </c>
      <c r="BKV37">
        <v>1</v>
      </c>
      <c r="BKY37">
        <v>2</v>
      </c>
      <c r="BKZ37">
        <v>22</v>
      </c>
      <c r="BLA37">
        <v>22</v>
      </c>
      <c r="BLB37">
        <v>0</v>
      </c>
      <c r="BLC37">
        <v>7</v>
      </c>
      <c r="BLF37">
        <v>1</v>
      </c>
      <c r="BLI37">
        <v>1</v>
      </c>
      <c r="BLJ37">
        <v>22</v>
      </c>
      <c r="BLK37">
        <v>22</v>
      </c>
      <c r="BLL37">
        <v>0</v>
      </c>
      <c r="BLM37">
        <v>7</v>
      </c>
      <c r="BQG37">
        <v>0.25</v>
      </c>
      <c r="BQH37">
        <v>1</v>
      </c>
      <c r="BQK37">
        <v>1</v>
      </c>
      <c r="BQL37" s="15">
        <v>12</v>
      </c>
      <c r="BQM37">
        <v>999</v>
      </c>
      <c r="BQN37">
        <v>5</v>
      </c>
      <c r="BQO37">
        <v>0</v>
      </c>
      <c r="BQP37">
        <v>6</v>
      </c>
      <c r="BRB37">
        <v>10</v>
      </c>
      <c r="BRF37">
        <v>1</v>
      </c>
      <c r="BRG37">
        <v>5</v>
      </c>
      <c r="BRH37">
        <v>24</v>
      </c>
      <c r="BRI37">
        <v>20</v>
      </c>
      <c r="BRJ37">
        <v>0</v>
      </c>
      <c r="BRK37">
        <v>6</v>
      </c>
      <c r="CAC37">
        <v>1</v>
      </c>
      <c r="CAG37">
        <v>3</v>
      </c>
      <c r="CAH37">
        <v>22</v>
      </c>
      <c r="CAI37">
        <v>20</v>
      </c>
      <c r="CAJ37">
        <v>0</v>
      </c>
      <c r="CAK37">
        <v>6</v>
      </c>
      <c r="CDR37">
        <v>1</v>
      </c>
      <c r="CDU37">
        <v>3</v>
      </c>
      <c r="CDV37">
        <v>22</v>
      </c>
      <c r="CDW37">
        <v>20</v>
      </c>
      <c r="CDX37">
        <v>0</v>
      </c>
      <c r="CDY37">
        <v>6</v>
      </c>
      <c r="CVZ37">
        <v>2</v>
      </c>
      <c r="CWD37">
        <v>4</v>
      </c>
      <c r="CWE37">
        <v>3</v>
      </c>
      <c r="CWF37">
        <v>0</v>
      </c>
      <c r="CWG37">
        <v>0</v>
      </c>
      <c r="CWH37">
        <v>4</v>
      </c>
      <c r="CXF37">
        <v>1</v>
      </c>
      <c r="CXI37">
        <v>3</v>
      </c>
      <c r="CXJ37">
        <v>22</v>
      </c>
      <c r="CXK37">
        <v>20</v>
      </c>
      <c r="CXL37">
        <v>0</v>
      </c>
      <c r="CXM37">
        <v>6</v>
      </c>
      <c r="DCH37">
        <v>1</v>
      </c>
      <c r="DCJ37">
        <v>1</v>
      </c>
      <c r="DCK37" s="35">
        <v>22</v>
      </c>
      <c r="DCL37">
        <v>19</v>
      </c>
      <c r="DCM37">
        <v>0</v>
      </c>
      <c r="DCN37">
        <v>999</v>
      </c>
      <c r="DCO37">
        <v>3</v>
      </c>
      <c r="DTC37" t="s">
        <v>380</v>
      </c>
      <c r="DTD37">
        <v>2</v>
      </c>
      <c r="DTG37">
        <v>1</v>
      </c>
      <c r="DTH37">
        <v>4</v>
      </c>
      <c r="DTI37">
        <v>4</v>
      </c>
      <c r="DTJ37">
        <v>0</v>
      </c>
      <c r="DTK37">
        <v>0</v>
      </c>
      <c r="DTL37">
        <v>7</v>
      </c>
      <c r="DTW37" t="s">
        <v>383</v>
      </c>
      <c r="DTX37">
        <v>1</v>
      </c>
      <c r="DUA37">
        <v>1</v>
      </c>
      <c r="DUB37" s="36">
        <v>27</v>
      </c>
      <c r="DUC37">
        <v>999</v>
      </c>
      <c r="DUD37">
        <v>0</v>
      </c>
      <c r="DUE37">
        <v>999</v>
      </c>
      <c r="DUF37">
        <v>6</v>
      </c>
      <c r="ERI37">
        <v>1</v>
      </c>
      <c r="ERJ37">
        <v>2</v>
      </c>
      <c r="ERP37">
        <v>4</v>
      </c>
      <c r="ETE37">
        <v>1</v>
      </c>
      <c r="FAF37">
        <v>1</v>
      </c>
      <c r="FCB37">
        <v>1</v>
      </c>
      <c r="FCD37">
        <v>1</v>
      </c>
    </row>
    <row r="38" spans="1:944 1036:2046 2049:3049 3084:4095 4116:4317" x14ac:dyDescent="0.25">
      <c r="A38" s="48">
        <v>99001927</v>
      </c>
      <c r="KE38">
        <v>50</v>
      </c>
      <c r="KG38">
        <v>1</v>
      </c>
      <c r="KH38">
        <v>26.7</v>
      </c>
      <c r="KJ38">
        <v>1</v>
      </c>
      <c r="KK38">
        <v>47</v>
      </c>
      <c r="KL38">
        <v>1</v>
      </c>
      <c r="KQ38">
        <v>1</v>
      </c>
      <c r="KT38">
        <v>1</v>
      </c>
      <c r="LD38">
        <v>1</v>
      </c>
      <c r="MA38">
        <v>1</v>
      </c>
      <c r="MX38">
        <v>1</v>
      </c>
      <c r="PS38">
        <v>1</v>
      </c>
      <c r="UR38">
        <v>3</v>
      </c>
      <c r="UU38">
        <v>1</v>
      </c>
      <c r="UW38">
        <v>3</v>
      </c>
      <c r="UX38">
        <v>0</v>
      </c>
      <c r="UY38">
        <v>0</v>
      </c>
      <c r="UZ38">
        <v>2</v>
      </c>
      <c r="VA38">
        <v>4</v>
      </c>
      <c r="AMV38">
        <v>150</v>
      </c>
      <c r="AMW38">
        <v>2</v>
      </c>
      <c r="AMZ38">
        <v>1</v>
      </c>
      <c r="ANA38">
        <v>2</v>
      </c>
      <c r="ANB38">
        <v>1</v>
      </c>
      <c r="ANC38">
        <v>0</v>
      </c>
      <c r="AND38">
        <v>0</v>
      </c>
      <c r="ANE38">
        <v>5</v>
      </c>
      <c r="ANQ38">
        <v>2</v>
      </c>
      <c r="ANT38">
        <v>1</v>
      </c>
      <c r="ANU38">
        <v>3</v>
      </c>
      <c r="ANV38">
        <v>0</v>
      </c>
      <c r="ANW38">
        <v>0</v>
      </c>
      <c r="ANX38">
        <v>2</v>
      </c>
      <c r="ANY38">
        <v>4</v>
      </c>
      <c r="CPR38">
        <v>200</v>
      </c>
      <c r="CPS38">
        <v>3</v>
      </c>
      <c r="CPV38">
        <v>1</v>
      </c>
      <c r="CPW38">
        <v>4</v>
      </c>
      <c r="CPX38">
        <v>1</v>
      </c>
      <c r="CPY38">
        <v>0</v>
      </c>
      <c r="CPZ38" s="2">
        <v>2</v>
      </c>
      <c r="CQA38">
        <v>5</v>
      </c>
      <c r="CQL38">
        <v>15</v>
      </c>
      <c r="CQM38">
        <v>3</v>
      </c>
      <c r="CQP38">
        <v>1</v>
      </c>
      <c r="CQQ38">
        <v>2</v>
      </c>
      <c r="CQR38">
        <v>1</v>
      </c>
      <c r="CQS38">
        <v>0</v>
      </c>
      <c r="CQT38">
        <v>0</v>
      </c>
      <c r="CQU38">
        <v>5</v>
      </c>
      <c r="ETE38">
        <v>1</v>
      </c>
      <c r="ETX38">
        <v>1</v>
      </c>
      <c r="FAF38">
        <v>1</v>
      </c>
      <c r="FBH38">
        <v>1</v>
      </c>
      <c r="FBQ38">
        <v>1</v>
      </c>
      <c r="FCB38">
        <v>1</v>
      </c>
      <c r="FCD38">
        <v>1</v>
      </c>
    </row>
    <row r="39" spans="1:944 1036:2046 2049:3049 3084:4095 4116:4317" x14ac:dyDescent="0.25">
      <c r="A39" s="48">
        <v>1505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>
        <v>1</v>
      </c>
      <c r="KE39">
        <v>15</v>
      </c>
      <c r="KF39">
        <v>1</v>
      </c>
      <c r="KH39">
        <v>26.1</v>
      </c>
      <c r="KK39">
        <v>22</v>
      </c>
      <c r="KP39">
        <v>1</v>
      </c>
      <c r="KQ39">
        <v>1</v>
      </c>
      <c r="UQ39">
        <v>500</v>
      </c>
      <c r="UR39">
        <v>3</v>
      </c>
      <c r="UU39">
        <v>1</v>
      </c>
      <c r="UW39">
        <v>6</v>
      </c>
      <c r="UX39">
        <v>1</v>
      </c>
      <c r="UY39">
        <v>0</v>
      </c>
      <c r="UZ39">
        <v>4</v>
      </c>
      <c r="VA39">
        <v>5</v>
      </c>
      <c r="CPR39">
        <v>200</v>
      </c>
      <c r="CPS39">
        <v>1</v>
      </c>
      <c r="CPV39">
        <v>1</v>
      </c>
      <c r="CPW39">
        <v>1</v>
      </c>
      <c r="CPX39">
        <v>2</v>
      </c>
      <c r="CPY39">
        <v>2</v>
      </c>
      <c r="CPZ39">
        <v>0</v>
      </c>
      <c r="CQA39">
        <v>5</v>
      </c>
      <c r="CWK39">
        <v>3</v>
      </c>
      <c r="CWN39">
        <v>1</v>
      </c>
      <c r="CWO39">
        <v>6</v>
      </c>
      <c r="CWP39">
        <v>1</v>
      </c>
      <c r="CWQ39">
        <v>0</v>
      </c>
      <c r="CWR39">
        <v>4</v>
      </c>
      <c r="CWS39">
        <v>5</v>
      </c>
      <c r="CXD39">
        <v>10</v>
      </c>
      <c r="CXE39">
        <v>3</v>
      </c>
      <c r="CXH39">
        <v>1</v>
      </c>
      <c r="CXI39">
        <v>6</v>
      </c>
      <c r="CXJ39">
        <v>1</v>
      </c>
      <c r="CXK39">
        <v>0</v>
      </c>
      <c r="CXL39">
        <v>4</v>
      </c>
      <c r="CXM39">
        <v>5</v>
      </c>
      <c r="ETK39">
        <v>1</v>
      </c>
      <c r="FBH39">
        <v>1</v>
      </c>
      <c r="FCB39">
        <v>1</v>
      </c>
      <c r="FDB39">
        <v>1</v>
      </c>
      <c r="FEA39">
        <v>1</v>
      </c>
    </row>
    <row r="40" spans="1:944 1036:2046 2049:3049 3084:4095 4116:4317" x14ac:dyDescent="0.25">
      <c r="A40" s="48">
        <v>1000197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KE40">
        <v>53</v>
      </c>
      <c r="KG40">
        <v>1</v>
      </c>
      <c r="KH40">
        <v>31.2</v>
      </c>
      <c r="KI40">
        <v>1</v>
      </c>
      <c r="KK40">
        <v>17</v>
      </c>
      <c r="KP40">
        <v>1</v>
      </c>
      <c r="OZ40">
        <v>1</v>
      </c>
      <c r="PD40">
        <v>1</v>
      </c>
      <c r="PR40">
        <v>1</v>
      </c>
      <c r="UR40">
        <v>5</v>
      </c>
      <c r="UU40">
        <v>1</v>
      </c>
      <c r="UW40">
        <v>2</v>
      </c>
      <c r="UX40">
        <v>5</v>
      </c>
      <c r="UY40">
        <v>4</v>
      </c>
      <c r="UZ40">
        <v>0</v>
      </c>
      <c r="VA40">
        <v>4</v>
      </c>
      <c r="VC40" s="48">
        <v>100</v>
      </c>
      <c r="VD40">
        <v>1</v>
      </c>
      <c r="VG40">
        <v>1</v>
      </c>
      <c r="VH40" s="15">
        <v>19</v>
      </c>
      <c r="VI40">
        <v>999</v>
      </c>
      <c r="VJ40">
        <v>9</v>
      </c>
      <c r="VK40">
        <v>0</v>
      </c>
      <c r="VL40">
        <v>5</v>
      </c>
      <c r="AHM40">
        <v>1</v>
      </c>
      <c r="AHP40">
        <v>1</v>
      </c>
      <c r="AHQ40">
        <v>3</v>
      </c>
      <c r="AHR40">
        <v>3</v>
      </c>
      <c r="AHS40">
        <v>0</v>
      </c>
      <c r="AHT40">
        <v>3</v>
      </c>
      <c r="BGW40">
        <v>40</v>
      </c>
      <c r="BGX40">
        <v>1</v>
      </c>
      <c r="BHA40">
        <v>1</v>
      </c>
      <c r="BHB40" s="36">
        <v>29</v>
      </c>
      <c r="BHC40">
        <v>999</v>
      </c>
      <c r="BHD40">
        <v>0</v>
      </c>
      <c r="BHE40">
        <v>999</v>
      </c>
      <c r="BHF40">
        <v>6</v>
      </c>
      <c r="BJJ40" s="36"/>
      <c r="CQW40">
        <v>5</v>
      </c>
      <c r="CQZ40">
        <v>1</v>
      </c>
      <c r="CRA40">
        <v>1</v>
      </c>
      <c r="CRB40">
        <v>4</v>
      </c>
      <c r="CRC40">
        <v>4</v>
      </c>
      <c r="CRD40">
        <v>0</v>
      </c>
      <c r="CRE40">
        <v>4</v>
      </c>
      <c r="DTW40">
        <v>100</v>
      </c>
      <c r="DTX40">
        <v>1</v>
      </c>
      <c r="DUA40">
        <v>1</v>
      </c>
      <c r="DUB40">
        <v>29</v>
      </c>
      <c r="DUC40">
        <v>999</v>
      </c>
      <c r="DUD40">
        <v>0</v>
      </c>
      <c r="DUE40">
        <v>999</v>
      </c>
      <c r="DUF40">
        <v>6</v>
      </c>
      <c r="DXU40">
        <v>1</v>
      </c>
      <c r="DXX40">
        <v>1</v>
      </c>
      <c r="DXZ40">
        <v>29</v>
      </c>
      <c r="DYA40">
        <v>999</v>
      </c>
      <c r="DYB40">
        <v>0</v>
      </c>
      <c r="DYC40">
        <v>999</v>
      </c>
      <c r="DYD40">
        <v>6</v>
      </c>
      <c r="EHQ40">
        <v>1</v>
      </c>
      <c r="EHT40">
        <v>1</v>
      </c>
      <c r="EHU40" s="15">
        <v>19</v>
      </c>
      <c r="EHV40">
        <v>999</v>
      </c>
      <c r="EHW40">
        <v>9</v>
      </c>
      <c r="EHX40">
        <v>0</v>
      </c>
      <c r="EHY40">
        <v>6</v>
      </c>
    </row>
    <row r="41" spans="1:944 1036:2046 2049:3049 3084:4095 4116:4317" x14ac:dyDescent="0.25">
      <c r="A41" s="48">
        <v>96018835</v>
      </c>
      <c r="AJ41" s="6"/>
      <c r="AK41" s="6"/>
      <c r="BV41">
        <v>141.5</v>
      </c>
      <c r="DB41">
        <v>4.4000000000000004</v>
      </c>
      <c r="GA41">
        <v>2.15</v>
      </c>
      <c r="GB41">
        <v>2.5499999999999998</v>
      </c>
      <c r="GC41">
        <v>1.28</v>
      </c>
      <c r="GD41" s="48"/>
      <c r="GH41">
        <v>39.5</v>
      </c>
      <c r="GI41">
        <v>38.700000000000003</v>
      </c>
      <c r="IA41">
        <v>30</v>
      </c>
      <c r="IO41">
        <v>0.2</v>
      </c>
      <c r="IW41">
        <v>290</v>
      </c>
      <c r="KE41">
        <v>34</v>
      </c>
      <c r="KG41">
        <v>1</v>
      </c>
      <c r="KH41">
        <v>19</v>
      </c>
      <c r="KI41">
        <v>1</v>
      </c>
      <c r="KK41">
        <v>14</v>
      </c>
      <c r="KQ41">
        <v>1</v>
      </c>
      <c r="KV41">
        <v>1</v>
      </c>
      <c r="PY41">
        <v>1</v>
      </c>
      <c r="QE41">
        <v>1</v>
      </c>
      <c r="SR41">
        <v>1</v>
      </c>
      <c r="SV41">
        <v>1</v>
      </c>
      <c r="TA41">
        <v>1</v>
      </c>
      <c r="UR41">
        <v>3</v>
      </c>
      <c r="UU41">
        <v>1</v>
      </c>
      <c r="UW41" s="36">
        <v>29</v>
      </c>
      <c r="UX41">
        <v>999</v>
      </c>
      <c r="UY41">
        <v>0</v>
      </c>
      <c r="UZ41">
        <v>999</v>
      </c>
      <c r="VA41">
        <v>5</v>
      </c>
      <c r="VN41">
        <v>10</v>
      </c>
      <c r="VO41">
        <v>1</v>
      </c>
      <c r="VQ41">
        <v>1</v>
      </c>
      <c r="VS41">
        <v>1</v>
      </c>
      <c r="VT41">
        <v>0</v>
      </c>
      <c r="VU41">
        <v>0</v>
      </c>
      <c r="VV41">
        <v>0</v>
      </c>
      <c r="VW41">
        <v>4</v>
      </c>
      <c r="AAM41">
        <v>1</v>
      </c>
      <c r="AAO41">
        <v>1</v>
      </c>
      <c r="AAP41">
        <v>0</v>
      </c>
      <c r="AAQ41">
        <v>0</v>
      </c>
      <c r="AAR41">
        <v>0</v>
      </c>
      <c r="AAS41">
        <v>4</v>
      </c>
      <c r="AIY41" s="2">
        <v>100</v>
      </c>
      <c r="AIZ41">
        <v>1</v>
      </c>
      <c r="AJC41">
        <v>1</v>
      </c>
      <c r="AJD41">
        <v>2</v>
      </c>
      <c r="AJE41">
        <v>1</v>
      </c>
      <c r="AJF41">
        <v>0</v>
      </c>
      <c r="AJG41">
        <v>0</v>
      </c>
      <c r="AJH41">
        <v>4</v>
      </c>
      <c r="BJI41">
        <v>1</v>
      </c>
      <c r="BJJ41" s="36">
        <v>29</v>
      </c>
      <c r="BJK41">
        <v>999</v>
      </c>
      <c r="BJL41">
        <v>0</v>
      </c>
      <c r="BJM41">
        <v>999</v>
      </c>
      <c r="BJN41">
        <v>6</v>
      </c>
      <c r="DAL41" s="35">
        <v>17</v>
      </c>
      <c r="DAM41">
        <v>15</v>
      </c>
      <c r="DAN41">
        <v>0</v>
      </c>
      <c r="DAO41">
        <v>999</v>
      </c>
      <c r="DAP41">
        <v>6</v>
      </c>
      <c r="DBV41">
        <v>400</v>
      </c>
      <c r="DBW41" s="2">
        <v>1</v>
      </c>
      <c r="DBZ41">
        <v>1</v>
      </c>
      <c r="DCA41">
        <v>8</v>
      </c>
      <c r="DCB41">
        <v>15</v>
      </c>
      <c r="DCC41">
        <v>8</v>
      </c>
      <c r="DCD41">
        <v>0</v>
      </c>
      <c r="DCE41">
        <v>3</v>
      </c>
      <c r="DZO41">
        <v>1</v>
      </c>
      <c r="DZP41" s="35">
        <v>17</v>
      </c>
      <c r="DZQ41">
        <v>15</v>
      </c>
      <c r="DZR41">
        <v>0</v>
      </c>
      <c r="DZS41">
        <v>999</v>
      </c>
      <c r="DZT41">
        <v>5</v>
      </c>
      <c r="ETL41">
        <v>1</v>
      </c>
      <c r="ETM41">
        <v>1</v>
      </c>
      <c r="ETR41">
        <v>1</v>
      </c>
      <c r="EWE41">
        <v>1</v>
      </c>
      <c r="EWS41">
        <v>1</v>
      </c>
      <c r="EXA41">
        <v>1</v>
      </c>
      <c r="EXD41">
        <v>1</v>
      </c>
      <c r="EXM41">
        <v>1</v>
      </c>
      <c r="EXS41">
        <v>1</v>
      </c>
      <c r="EYZ41">
        <v>50</v>
      </c>
      <c r="EZI41">
        <v>1</v>
      </c>
      <c r="FBH41">
        <v>1</v>
      </c>
      <c r="FCC41">
        <v>1</v>
      </c>
      <c r="FCM41">
        <v>1</v>
      </c>
      <c r="FDR41">
        <v>1</v>
      </c>
      <c r="FEB41">
        <v>1</v>
      </c>
      <c r="FHP41">
        <v>1850</v>
      </c>
      <c r="FHQ41">
        <v>1</v>
      </c>
      <c r="FHT41">
        <v>1</v>
      </c>
      <c r="FHU41">
        <v>1</v>
      </c>
      <c r="FHZ41">
        <v>1</v>
      </c>
      <c r="FIA41">
        <v>1</v>
      </c>
    </row>
    <row r="42" spans="1:944 1036:2046 2049:3049 3084:4095 4116:4317" x14ac:dyDescent="0.25">
      <c r="A42" s="48">
        <v>98008326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KE42">
        <v>88</v>
      </c>
      <c r="KG42">
        <v>1</v>
      </c>
      <c r="KH42">
        <v>21.5</v>
      </c>
      <c r="KJ42">
        <v>1</v>
      </c>
      <c r="KK42">
        <v>43</v>
      </c>
      <c r="KQ42">
        <v>1</v>
      </c>
      <c r="LH42">
        <v>1</v>
      </c>
      <c r="MR42">
        <v>1</v>
      </c>
      <c r="NA42">
        <v>1</v>
      </c>
      <c r="NT42">
        <v>1</v>
      </c>
      <c r="NV42">
        <v>1</v>
      </c>
      <c r="OA42">
        <v>1</v>
      </c>
      <c r="QE42">
        <v>1</v>
      </c>
      <c r="QG42">
        <v>1</v>
      </c>
      <c r="SF42">
        <v>11</v>
      </c>
      <c r="SS42">
        <v>1</v>
      </c>
      <c r="UR42" s="2">
        <v>1</v>
      </c>
      <c r="UU42">
        <v>1</v>
      </c>
      <c r="UW42">
        <v>4</v>
      </c>
      <c r="UX42">
        <v>10</v>
      </c>
      <c r="UY42">
        <v>7</v>
      </c>
      <c r="UZ42">
        <v>0</v>
      </c>
      <c r="VA42">
        <v>4</v>
      </c>
      <c r="AQJ42">
        <v>1500</v>
      </c>
      <c r="AQK42">
        <v>2</v>
      </c>
      <c r="AQL42">
        <v>1</v>
      </c>
      <c r="AQO42">
        <v>10</v>
      </c>
      <c r="AQP42">
        <v>20</v>
      </c>
      <c r="AQQ42">
        <v>11</v>
      </c>
      <c r="AQR42">
        <v>0</v>
      </c>
      <c r="AQS42">
        <v>4</v>
      </c>
      <c r="AQT42">
        <v>100</v>
      </c>
      <c r="AQU42">
        <v>1</v>
      </c>
      <c r="AQV42">
        <v>1</v>
      </c>
      <c r="AQY42">
        <v>9</v>
      </c>
      <c r="AQZ42">
        <v>20</v>
      </c>
      <c r="ARA42">
        <v>12</v>
      </c>
      <c r="ARB42">
        <v>0</v>
      </c>
      <c r="ARC42">
        <v>4</v>
      </c>
      <c r="AYK42" s="2">
        <v>1</v>
      </c>
      <c r="AYN42">
        <v>1</v>
      </c>
      <c r="AYO42">
        <v>2</v>
      </c>
      <c r="AYP42">
        <v>10</v>
      </c>
      <c r="AYQ42">
        <v>9</v>
      </c>
      <c r="AYR42">
        <v>0</v>
      </c>
      <c r="AYS42">
        <v>4</v>
      </c>
      <c r="AZN42" t="s">
        <v>500</v>
      </c>
      <c r="AZO42" s="2">
        <v>1</v>
      </c>
      <c r="AZR42">
        <v>1</v>
      </c>
      <c r="AZS42">
        <v>2</v>
      </c>
      <c r="AZT42">
        <v>10</v>
      </c>
      <c r="AZU42">
        <v>9</v>
      </c>
      <c r="AZV42">
        <v>0</v>
      </c>
      <c r="AZW42">
        <v>5</v>
      </c>
      <c r="BHH42">
        <v>2</v>
      </c>
      <c r="BHK42">
        <v>1</v>
      </c>
      <c r="BHL42">
        <v>27</v>
      </c>
      <c r="BHM42">
        <v>12</v>
      </c>
      <c r="BHN42">
        <v>0</v>
      </c>
      <c r="BHO42">
        <v>14</v>
      </c>
      <c r="BHP42">
        <v>5</v>
      </c>
      <c r="BLY42">
        <v>0.125</v>
      </c>
      <c r="BLZ42">
        <v>1</v>
      </c>
      <c r="BMA42">
        <v>1</v>
      </c>
      <c r="BMD42">
        <v>14</v>
      </c>
      <c r="BME42">
        <v>13</v>
      </c>
      <c r="BMF42">
        <v>1</v>
      </c>
      <c r="BMG42">
        <v>13</v>
      </c>
      <c r="BMH42">
        <v>5</v>
      </c>
      <c r="BSQ42">
        <v>2500</v>
      </c>
      <c r="BSR42">
        <v>3</v>
      </c>
      <c r="BSU42">
        <v>1</v>
      </c>
      <c r="BSW42">
        <v>34</v>
      </c>
      <c r="BSX42">
        <v>19</v>
      </c>
      <c r="BSY42">
        <v>0</v>
      </c>
      <c r="BSZ42">
        <v>14</v>
      </c>
      <c r="BTA42">
        <v>5</v>
      </c>
      <c r="CCV42" s="23">
        <v>1</v>
      </c>
      <c r="CCW42" s="2">
        <v>1</v>
      </c>
      <c r="CCZ42">
        <v>1</v>
      </c>
      <c r="CDA42">
        <v>4</v>
      </c>
      <c r="CDB42">
        <v>12</v>
      </c>
      <c r="CDC42">
        <v>9</v>
      </c>
      <c r="CDD42">
        <v>0</v>
      </c>
      <c r="CDE42">
        <v>5</v>
      </c>
      <c r="CKQ42">
        <v>200</v>
      </c>
      <c r="CKR42" s="2">
        <v>3</v>
      </c>
      <c r="CKU42">
        <v>1</v>
      </c>
      <c r="CKV42">
        <v>25</v>
      </c>
      <c r="CKW42">
        <v>10</v>
      </c>
      <c r="CKX42">
        <v>0</v>
      </c>
      <c r="CKY42">
        <v>14</v>
      </c>
      <c r="CKZ42">
        <v>5</v>
      </c>
      <c r="CON42">
        <v>1</v>
      </c>
      <c r="COQ42">
        <v>1</v>
      </c>
      <c r="COR42">
        <v>27</v>
      </c>
      <c r="COS42">
        <v>12</v>
      </c>
      <c r="COT42">
        <v>0</v>
      </c>
      <c r="COU42">
        <v>14</v>
      </c>
      <c r="COV42">
        <v>5</v>
      </c>
      <c r="CVZ42">
        <v>2</v>
      </c>
      <c r="CWA42">
        <v>1</v>
      </c>
      <c r="CWD42">
        <v>10</v>
      </c>
      <c r="CWE42">
        <v>7</v>
      </c>
      <c r="CWF42">
        <v>0</v>
      </c>
      <c r="CWG42">
        <v>2</v>
      </c>
      <c r="CWH42">
        <v>4</v>
      </c>
      <c r="CWT42">
        <v>500</v>
      </c>
      <c r="CWU42">
        <v>3</v>
      </c>
      <c r="CWV42">
        <v>1</v>
      </c>
      <c r="CWY42">
        <v>16</v>
      </c>
      <c r="CWZ42">
        <v>12</v>
      </c>
      <c r="CXA42">
        <v>0</v>
      </c>
      <c r="CXB42">
        <v>3</v>
      </c>
      <c r="CXC42">
        <v>5</v>
      </c>
      <c r="DLX42">
        <v>3000</v>
      </c>
      <c r="DLY42">
        <v>2</v>
      </c>
      <c r="DLZ42">
        <v>1</v>
      </c>
      <c r="DMC42">
        <v>14</v>
      </c>
      <c r="DMD42">
        <v>26</v>
      </c>
      <c r="DME42">
        <v>13</v>
      </c>
      <c r="DMF42">
        <v>0</v>
      </c>
      <c r="DMG42">
        <v>6</v>
      </c>
      <c r="ERG42">
        <v>1</v>
      </c>
      <c r="ERI42">
        <v>1</v>
      </c>
      <c r="ERJ42">
        <v>1</v>
      </c>
      <c r="ERK42">
        <v>1</v>
      </c>
      <c r="ERM42">
        <v>1</v>
      </c>
      <c r="ERN42">
        <v>1</v>
      </c>
      <c r="FAF42">
        <v>1</v>
      </c>
      <c r="FAK42">
        <v>1</v>
      </c>
      <c r="FAM42">
        <v>1</v>
      </c>
      <c r="FBH42">
        <v>1</v>
      </c>
      <c r="FBL42">
        <v>1</v>
      </c>
      <c r="FBN42">
        <v>1</v>
      </c>
      <c r="FBZ42">
        <v>1</v>
      </c>
      <c r="FEA42">
        <v>1</v>
      </c>
    </row>
    <row r="43" spans="1:944 1036:2046 2049:3049 3084:4095 4116:4317" x14ac:dyDescent="0.25">
      <c r="A43" s="48">
        <v>99000717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KE43">
        <v>37</v>
      </c>
      <c r="KG43">
        <v>1</v>
      </c>
      <c r="KH43">
        <v>25.1</v>
      </c>
      <c r="KK43">
        <v>29</v>
      </c>
      <c r="QE43">
        <v>1</v>
      </c>
      <c r="SG43">
        <v>1</v>
      </c>
      <c r="TC43">
        <v>1</v>
      </c>
      <c r="UQ43">
        <v>500</v>
      </c>
      <c r="UR43">
        <v>3</v>
      </c>
      <c r="UU43">
        <v>1</v>
      </c>
      <c r="UW43" s="15">
        <v>26</v>
      </c>
      <c r="UX43">
        <v>999</v>
      </c>
      <c r="UY43">
        <v>0</v>
      </c>
      <c r="UZ43">
        <v>4</v>
      </c>
      <c r="VA43">
        <v>5</v>
      </c>
      <c r="EED43">
        <v>2</v>
      </c>
      <c r="EEG43">
        <v>1</v>
      </c>
      <c r="EEH43" s="15">
        <v>28</v>
      </c>
      <c r="EEI43">
        <v>23</v>
      </c>
      <c r="EEJ43">
        <v>0</v>
      </c>
      <c r="EEK43">
        <v>4</v>
      </c>
      <c r="EEL43">
        <v>5</v>
      </c>
      <c r="EEM43">
        <v>450</v>
      </c>
      <c r="EEN43">
        <v>1</v>
      </c>
      <c r="EEQ43">
        <v>1</v>
      </c>
      <c r="EER43" s="36">
        <v>29</v>
      </c>
      <c r="EES43">
        <v>999</v>
      </c>
      <c r="EET43">
        <v>0</v>
      </c>
      <c r="EEU43">
        <v>999</v>
      </c>
      <c r="EEV43">
        <v>6</v>
      </c>
      <c r="EEW43">
        <v>40</v>
      </c>
      <c r="EEX43">
        <v>2</v>
      </c>
      <c r="EFA43">
        <v>1</v>
      </c>
      <c r="EFB43" s="36">
        <v>29</v>
      </c>
      <c r="EFC43">
        <v>999</v>
      </c>
      <c r="EFD43">
        <v>0</v>
      </c>
      <c r="EFE43">
        <v>999</v>
      </c>
      <c r="EFF43">
        <v>6</v>
      </c>
      <c r="ETE43">
        <v>1</v>
      </c>
      <c r="ETK43">
        <v>1</v>
      </c>
      <c r="EUN43">
        <v>1</v>
      </c>
      <c r="EYU43">
        <v>1</v>
      </c>
      <c r="EYV43">
        <v>1</v>
      </c>
      <c r="EYW43">
        <v>1</v>
      </c>
      <c r="FAF43">
        <v>1</v>
      </c>
      <c r="FCB43">
        <v>1</v>
      </c>
    </row>
    <row r="44" spans="1:944 1036:2046 2049:3049 3084:4095 4116:4317" x14ac:dyDescent="0.25">
      <c r="A44" s="4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spans="1:944 1036:2046 2049:3049 3084:4095 4116:4317" x14ac:dyDescent="0.25">
      <c r="A45" s="25" t="s">
        <v>129</v>
      </c>
    </row>
    <row r="46" spans="1:944 1036:2046 2049:3049 3084:4095 4116:4317" x14ac:dyDescent="0.25">
      <c r="A46" s="50" t="s">
        <v>106</v>
      </c>
    </row>
    <row r="47" spans="1:944 1036:2046 2049:3049 3084:4095 4116:4317" x14ac:dyDescent="0.25">
      <c r="A47" s="48">
        <v>6016435</v>
      </c>
      <c r="CV47">
        <v>3.2</v>
      </c>
      <c r="GG47">
        <v>39.799999999999997</v>
      </c>
      <c r="KE47">
        <v>56</v>
      </c>
      <c r="KG47">
        <v>1</v>
      </c>
      <c r="OT47">
        <v>1</v>
      </c>
      <c r="RO47">
        <v>1</v>
      </c>
      <c r="TD47">
        <v>1</v>
      </c>
      <c r="TR47">
        <v>50</v>
      </c>
      <c r="TS47">
        <v>2</v>
      </c>
      <c r="TW47">
        <v>1</v>
      </c>
      <c r="TY47">
        <v>1</v>
      </c>
      <c r="TZ47">
        <v>0</v>
      </c>
      <c r="UA47">
        <v>0</v>
      </c>
      <c r="UB47">
        <v>0</v>
      </c>
      <c r="VX47">
        <v>200</v>
      </c>
      <c r="VY47">
        <v>1</v>
      </c>
      <c r="WB47">
        <v>1</v>
      </c>
      <c r="WC47">
        <v>1</v>
      </c>
      <c r="WD47">
        <v>1</v>
      </c>
      <c r="WE47">
        <v>1</v>
      </c>
      <c r="WF47">
        <v>0</v>
      </c>
      <c r="BSS47">
        <v>1</v>
      </c>
      <c r="CNT47">
        <v>2</v>
      </c>
      <c r="CNU47">
        <v>1</v>
      </c>
      <c r="CNV47">
        <v>1</v>
      </c>
      <c r="CNW47">
        <v>1</v>
      </c>
      <c r="CNX47">
        <v>0</v>
      </c>
      <c r="CNY47">
        <v>0</v>
      </c>
      <c r="CNZ47">
        <v>0</v>
      </c>
      <c r="ESG47">
        <v>1</v>
      </c>
      <c r="ESN47">
        <v>1</v>
      </c>
      <c r="ESX47">
        <v>1</v>
      </c>
      <c r="ESZ47">
        <v>1</v>
      </c>
      <c r="ETA47">
        <v>1</v>
      </c>
      <c r="ETE47">
        <v>1</v>
      </c>
      <c r="ETF47">
        <v>1</v>
      </c>
      <c r="ETG47">
        <v>1</v>
      </c>
      <c r="ETY47">
        <v>1</v>
      </c>
      <c r="EUZ47">
        <v>1</v>
      </c>
      <c r="EVA47">
        <v>1</v>
      </c>
      <c r="EVC47">
        <v>1</v>
      </c>
      <c r="EVD47">
        <v>1</v>
      </c>
      <c r="EVJ47">
        <v>1</v>
      </c>
      <c r="EVK47">
        <v>1</v>
      </c>
      <c r="EVL47">
        <v>1</v>
      </c>
      <c r="EVT47">
        <v>1</v>
      </c>
      <c r="EWA47">
        <v>1</v>
      </c>
      <c r="EWB47">
        <v>1</v>
      </c>
      <c r="EWE47">
        <v>1</v>
      </c>
      <c r="EXW47">
        <v>1</v>
      </c>
      <c r="EYN47">
        <v>1</v>
      </c>
      <c r="EYS47">
        <v>1</v>
      </c>
      <c r="EYT47">
        <v>1</v>
      </c>
      <c r="EZI47">
        <v>1</v>
      </c>
      <c r="EZK47">
        <v>1</v>
      </c>
      <c r="EZP47">
        <v>1</v>
      </c>
    </row>
    <row r="48" spans="1:944 1036:2046 2049:3049 3084:4095 4116:4317" x14ac:dyDescent="0.25">
      <c r="A48" s="48">
        <v>8045149</v>
      </c>
      <c r="GF48">
        <v>39</v>
      </c>
      <c r="JC48">
        <v>1</v>
      </c>
      <c r="KE48">
        <v>69</v>
      </c>
      <c r="KG48">
        <v>1</v>
      </c>
      <c r="KJ48">
        <v>1</v>
      </c>
      <c r="LU48">
        <v>1</v>
      </c>
      <c r="PH48">
        <v>1</v>
      </c>
      <c r="TU48">
        <v>1</v>
      </c>
      <c r="TY48">
        <v>1</v>
      </c>
      <c r="TZ48">
        <v>1</v>
      </c>
      <c r="UA48">
        <v>1</v>
      </c>
      <c r="WH48">
        <v>1</v>
      </c>
      <c r="WN48">
        <v>1</v>
      </c>
      <c r="WO48">
        <v>1</v>
      </c>
      <c r="WP48">
        <v>1</v>
      </c>
      <c r="WQ48">
        <v>0</v>
      </c>
      <c r="ESP48">
        <v>1</v>
      </c>
      <c r="ETE48">
        <v>1</v>
      </c>
      <c r="EZS48">
        <v>1</v>
      </c>
      <c r="EZT48">
        <v>1</v>
      </c>
      <c r="EZW48">
        <v>1</v>
      </c>
      <c r="EZY48">
        <v>1</v>
      </c>
      <c r="FIK48">
        <v>1</v>
      </c>
      <c r="FJA48">
        <v>1</v>
      </c>
    </row>
    <row r="49" spans="1:1022 1293:2043 2058:2867 3134:4088 4098:4318" x14ac:dyDescent="0.25">
      <c r="A49" s="48">
        <v>10023001</v>
      </c>
      <c r="AG49">
        <v>11</v>
      </c>
      <c r="KE49">
        <v>80</v>
      </c>
      <c r="KF49">
        <v>1</v>
      </c>
      <c r="KH49">
        <v>28.01</v>
      </c>
      <c r="KJ49">
        <v>1</v>
      </c>
      <c r="NZ49">
        <v>1</v>
      </c>
      <c r="SZ49">
        <v>1</v>
      </c>
      <c r="TS49">
        <v>2</v>
      </c>
      <c r="TX49">
        <v>1</v>
      </c>
      <c r="BSF49">
        <v>1</v>
      </c>
      <c r="ETH49">
        <v>1</v>
      </c>
      <c r="FAP49">
        <v>1</v>
      </c>
      <c r="FBH49">
        <v>1</v>
      </c>
      <c r="FDG49">
        <v>1</v>
      </c>
      <c r="FEI49">
        <v>1</v>
      </c>
    </row>
    <row r="50" spans="1:1022 1293:2043 2058:2867 3134:4088 4098:4318" x14ac:dyDescent="0.25">
      <c r="A50" s="48">
        <v>10027526</v>
      </c>
      <c r="GG50">
        <v>38.5</v>
      </c>
      <c r="KE50">
        <v>60</v>
      </c>
      <c r="KF50">
        <v>1</v>
      </c>
      <c r="KH50">
        <v>18.59</v>
      </c>
      <c r="KJ50">
        <v>1</v>
      </c>
      <c r="TS50">
        <v>3</v>
      </c>
      <c r="TW50">
        <v>1</v>
      </c>
      <c r="TY50">
        <v>1</v>
      </c>
      <c r="TZ50">
        <v>4</v>
      </c>
      <c r="UA50">
        <v>4</v>
      </c>
      <c r="UB50">
        <v>0</v>
      </c>
      <c r="UQ50">
        <v>500</v>
      </c>
      <c r="UU50">
        <v>1</v>
      </c>
      <c r="UW50">
        <v>4</v>
      </c>
      <c r="UX50">
        <v>4</v>
      </c>
      <c r="UY50">
        <v>2</v>
      </c>
      <c r="UZ50">
        <v>0</v>
      </c>
      <c r="ESZ50">
        <v>1</v>
      </c>
      <c r="ETA50">
        <v>1</v>
      </c>
      <c r="ETD50">
        <v>1</v>
      </c>
      <c r="ETE50">
        <v>1</v>
      </c>
      <c r="ETH50">
        <v>1</v>
      </c>
      <c r="ETU50">
        <v>1</v>
      </c>
      <c r="EUJ50">
        <v>1</v>
      </c>
      <c r="EZC50">
        <v>1</v>
      </c>
      <c r="EZD50">
        <v>1</v>
      </c>
      <c r="FAP50">
        <v>1</v>
      </c>
      <c r="FAR50">
        <v>1</v>
      </c>
      <c r="FCI50">
        <v>1</v>
      </c>
      <c r="FEH50">
        <v>1</v>
      </c>
      <c r="FEI50">
        <v>1</v>
      </c>
      <c r="FEJ50">
        <v>1</v>
      </c>
      <c r="FEK50">
        <v>1</v>
      </c>
    </row>
    <row r="51" spans="1:1022 1293:2043 2058:2867 3134:4088 4098:4318" x14ac:dyDescent="0.25">
      <c r="A51" s="48">
        <v>14222171</v>
      </c>
      <c r="JY51">
        <v>129</v>
      </c>
      <c r="JZ51">
        <v>94</v>
      </c>
      <c r="KE51">
        <v>72</v>
      </c>
      <c r="KF51">
        <v>1</v>
      </c>
      <c r="KJ51">
        <v>1</v>
      </c>
      <c r="KK51">
        <v>5</v>
      </c>
      <c r="LD51">
        <v>1</v>
      </c>
      <c r="LY51">
        <v>1</v>
      </c>
      <c r="OX51">
        <v>1</v>
      </c>
      <c r="SF51">
        <v>1</v>
      </c>
      <c r="TX51">
        <v>1</v>
      </c>
      <c r="TY51">
        <v>2</v>
      </c>
      <c r="TZ51">
        <v>0</v>
      </c>
      <c r="UA51">
        <v>0</v>
      </c>
      <c r="UB51">
        <v>1</v>
      </c>
      <c r="BHQ51">
        <v>5</v>
      </c>
      <c r="BWA51">
        <v>20</v>
      </c>
      <c r="CAX51">
        <v>3</v>
      </c>
      <c r="CBH51">
        <v>1000</v>
      </c>
      <c r="EMM51">
        <v>4</v>
      </c>
      <c r="ETH51">
        <v>1</v>
      </c>
      <c r="ETT51">
        <v>1</v>
      </c>
      <c r="FAB51">
        <v>1</v>
      </c>
      <c r="FBH51">
        <v>1</v>
      </c>
      <c r="FDM51">
        <v>1</v>
      </c>
      <c r="FEU51">
        <v>1</v>
      </c>
      <c r="FFD51">
        <v>1</v>
      </c>
    </row>
    <row r="52" spans="1:1022 1293:2043 2058:2867 3134:4088 4098:4318" x14ac:dyDescent="0.25">
      <c r="A52" s="48">
        <v>1006143</v>
      </c>
      <c r="CV52">
        <v>3.46</v>
      </c>
      <c r="GV52">
        <v>185</v>
      </c>
      <c r="KE52">
        <v>80</v>
      </c>
      <c r="KG52">
        <v>1</v>
      </c>
      <c r="KH52">
        <v>27.3</v>
      </c>
      <c r="KJ52">
        <v>1</v>
      </c>
      <c r="KK52">
        <v>1</v>
      </c>
      <c r="LY52">
        <v>1</v>
      </c>
      <c r="NZ52">
        <v>1</v>
      </c>
      <c r="OW52">
        <v>1</v>
      </c>
      <c r="RD52">
        <v>1</v>
      </c>
      <c r="RE52">
        <v>1</v>
      </c>
      <c r="TU52">
        <v>1</v>
      </c>
      <c r="TY52">
        <v>1</v>
      </c>
      <c r="TZ52">
        <v>0</v>
      </c>
      <c r="UA52">
        <v>0</v>
      </c>
      <c r="UB52">
        <v>0</v>
      </c>
      <c r="CAD52">
        <v>1</v>
      </c>
      <c r="CAH52">
        <v>0</v>
      </c>
      <c r="CAI52">
        <v>0</v>
      </c>
      <c r="CAJ52">
        <v>999</v>
      </c>
      <c r="ETI52">
        <v>1</v>
      </c>
      <c r="EVW52">
        <v>1</v>
      </c>
      <c r="FAF52">
        <v>1</v>
      </c>
    </row>
    <row r="53" spans="1:1022 1293:2043 2058:2867 3134:4088 4098:4318" x14ac:dyDescent="0.25">
      <c r="A53" s="48">
        <v>6006917</v>
      </c>
      <c r="IY53">
        <v>1204.7</v>
      </c>
      <c r="KE53">
        <v>52</v>
      </c>
      <c r="KG53">
        <v>1</v>
      </c>
      <c r="PM53">
        <v>1</v>
      </c>
      <c r="TV53">
        <v>1</v>
      </c>
      <c r="AHE53">
        <v>1</v>
      </c>
      <c r="ERT53">
        <v>1</v>
      </c>
      <c r="ETE53">
        <v>1</v>
      </c>
      <c r="EZW53">
        <v>1</v>
      </c>
      <c r="FAR53">
        <v>1</v>
      </c>
      <c r="FAS53">
        <v>1</v>
      </c>
      <c r="FAT53">
        <v>1</v>
      </c>
      <c r="FAU53">
        <v>1</v>
      </c>
      <c r="FDO53">
        <v>1</v>
      </c>
      <c r="FEH53">
        <v>1</v>
      </c>
      <c r="FEI53">
        <v>1</v>
      </c>
      <c r="FEJ53">
        <v>1</v>
      </c>
      <c r="FEK53">
        <v>1</v>
      </c>
      <c r="FEP53">
        <v>1</v>
      </c>
    </row>
    <row r="54" spans="1:1022 1293:2043 2058:2867 3134:4088 4098:4318" x14ac:dyDescent="0.25">
      <c r="A54" s="48"/>
    </row>
    <row r="55" spans="1:1022 1293:2043 2058:2867 3134:4088 4098:4318" x14ac:dyDescent="0.25">
      <c r="A55" s="50" t="s">
        <v>109</v>
      </c>
    </row>
    <row r="56" spans="1:1022 1293:2043 2058:2867 3134:4088 4098:4318" x14ac:dyDescent="0.25">
      <c r="A56" s="48">
        <v>8057159</v>
      </c>
      <c r="GJ56">
        <v>40.200000000000003</v>
      </c>
      <c r="KE56">
        <v>54</v>
      </c>
      <c r="KG56">
        <v>1</v>
      </c>
      <c r="KJ56">
        <v>1</v>
      </c>
      <c r="KK56">
        <v>11</v>
      </c>
      <c r="UJ56">
        <v>1</v>
      </c>
      <c r="UK56">
        <v>9</v>
      </c>
      <c r="UL56">
        <v>8</v>
      </c>
      <c r="UM56">
        <v>0</v>
      </c>
      <c r="UN56">
        <v>0</v>
      </c>
      <c r="DPN56">
        <v>8</v>
      </c>
      <c r="DSY56">
        <v>8</v>
      </c>
      <c r="ETE56">
        <v>1</v>
      </c>
      <c r="ETZ56">
        <v>1</v>
      </c>
      <c r="EUF56">
        <v>1</v>
      </c>
      <c r="EZU56">
        <v>1</v>
      </c>
      <c r="FAA56">
        <v>1</v>
      </c>
      <c r="FBH56">
        <v>1</v>
      </c>
    </row>
    <row r="57" spans="1:1022 1293:2043 2058:2867 3134:4088 4098:4318" x14ac:dyDescent="0.25">
      <c r="A57" s="48">
        <v>9140312</v>
      </c>
      <c r="GE57">
        <v>40.700000000000003</v>
      </c>
      <c r="GI57">
        <v>38.5</v>
      </c>
      <c r="GY57">
        <v>162</v>
      </c>
      <c r="HA57">
        <v>85</v>
      </c>
      <c r="JF57">
        <v>25</v>
      </c>
      <c r="JG57">
        <v>1305</v>
      </c>
      <c r="JI57" s="48">
        <v>350</v>
      </c>
      <c r="JJ57">
        <v>350</v>
      </c>
      <c r="JK57">
        <v>90</v>
      </c>
      <c r="JN57">
        <v>495</v>
      </c>
      <c r="JO57">
        <v>300</v>
      </c>
      <c r="JS57">
        <v>100</v>
      </c>
      <c r="KA57">
        <v>7</v>
      </c>
      <c r="KB57">
        <v>8</v>
      </c>
      <c r="KC57">
        <v>8</v>
      </c>
      <c r="KD57">
        <v>1</v>
      </c>
      <c r="KE57">
        <v>5</v>
      </c>
      <c r="KF57">
        <v>1</v>
      </c>
      <c r="KJ57">
        <v>1</v>
      </c>
      <c r="KK57">
        <v>5</v>
      </c>
      <c r="UE57">
        <v>200</v>
      </c>
      <c r="UF57">
        <v>4</v>
      </c>
      <c r="UL57">
        <v>6</v>
      </c>
      <c r="AMH57">
        <v>4</v>
      </c>
      <c r="BZO57">
        <v>1</v>
      </c>
      <c r="ETB57">
        <v>1</v>
      </c>
      <c r="ETU57">
        <v>1</v>
      </c>
      <c r="EWF57">
        <v>1</v>
      </c>
      <c r="EWI57">
        <v>1</v>
      </c>
      <c r="EWR57">
        <v>1</v>
      </c>
      <c r="EWV57">
        <v>1</v>
      </c>
      <c r="EYI57">
        <v>1</v>
      </c>
      <c r="EZP57">
        <v>1</v>
      </c>
      <c r="EZX57">
        <v>1</v>
      </c>
      <c r="FAD57">
        <v>1</v>
      </c>
      <c r="FBH57">
        <v>1</v>
      </c>
      <c r="FDG57">
        <v>1</v>
      </c>
      <c r="FFI57">
        <v>1</v>
      </c>
    </row>
    <row r="58" spans="1:1022 1293:2043 2058:2867 3134:4088 4098:4318" x14ac:dyDescent="0.25">
      <c r="A58" s="48">
        <v>12008230</v>
      </c>
      <c r="AS58">
        <v>0</v>
      </c>
      <c r="BF58">
        <v>0</v>
      </c>
      <c r="BG58">
        <v>0</v>
      </c>
      <c r="KE58">
        <v>28</v>
      </c>
      <c r="KF58">
        <v>1</v>
      </c>
      <c r="KH58">
        <v>26.01</v>
      </c>
      <c r="KJ58">
        <v>1</v>
      </c>
      <c r="KK58">
        <v>12</v>
      </c>
      <c r="UK58">
        <v>7</v>
      </c>
      <c r="AHP58">
        <v>3</v>
      </c>
      <c r="AHQ58">
        <v>9</v>
      </c>
      <c r="AHR58">
        <v>7</v>
      </c>
      <c r="AHS58">
        <v>0</v>
      </c>
      <c r="ETE58">
        <v>1</v>
      </c>
      <c r="ETH58">
        <v>1</v>
      </c>
      <c r="ETL58">
        <v>1</v>
      </c>
      <c r="EWJ58">
        <v>1</v>
      </c>
      <c r="EZL58">
        <v>1</v>
      </c>
      <c r="FAE58">
        <v>1</v>
      </c>
      <c r="FCJ58">
        <v>1</v>
      </c>
      <c r="FCK58">
        <v>1</v>
      </c>
      <c r="FCL58">
        <v>1</v>
      </c>
      <c r="FCW58">
        <v>1</v>
      </c>
      <c r="FCX58">
        <v>1</v>
      </c>
      <c r="FCY58">
        <v>1</v>
      </c>
      <c r="FCZ58">
        <v>1</v>
      </c>
    </row>
    <row r="59" spans="1:1022 1293:2043 2058:2867 3134:4088 4098:4318" x14ac:dyDescent="0.25">
      <c r="A59" s="48">
        <v>12088444</v>
      </c>
      <c r="FW59" s="48"/>
      <c r="FX59" s="48"/>
      <c r="KE59">
        <v>15</v>
      </c>
      <c r="KG59">
        <v>1</v>
      </c>
      <c r="KH59">
        <v>25.89</v>
      </c>
      <c r="KJ59">
        <v>1</v>
      </c>
      <c r="KK59">
        <v>12</v>
      </c>
      <c r="LZ59">
        <v>1</v>
      </c>
      <c r="QR59">
        <v>1</v>
      </c>
      <c r="UE59">
        <v>800</v>
      </c>
      <c r="UI59">
        <v>1</v>
      </c>
      <c r="UK59">
        <v>638</v>
      </c>
      <c r="UL59">
        <v>630</v>
      </c>
      <c r="UM59">
        <v>0</v>
      </c>
      <c r="UN59">
        <v>8</v>
      </c>
      <c r="BZO59">
        <v>1</v>
      </c>
      <c r="CHM59">
        <v>40</v>
      </c>
      <c r="CHN59">
        <v>1</v>
      </c>
      <c r="CHQ59">
        <v>1</v>
      </c>
      <c r="CHR59">
        <v>638</v>
      </c>
      <c r="CHS59">
        <v>630</v>
      </c>
      <c r="CHT59">
        <v>0</v>
      </c>
      <c r="CHU59">
        <v>8</v>
      </c>
      <c r="CXN59">
        <v>249</v>
      </c>
      <c r="CXS59">
        <v>999</v>
      </c>
      <c r="CXT59">
        <v>999</v>
      </c>
      <c r="CXU59">
        <v>0</v>
      </c>
      <c r="CXV59">
        <v>999</v>
      </c>
      <c r="ELG59">
        <v>15</v>
      </c>
      <c r="ELH59">
        <v>0.14000000000000001</v>
      </c>
      <c r="ELK59">
        <v>1</v>
      </c>
      <c r="ELL59">
        <v>999</v>
      </c>
      <c r="ELM59">
        <v>669</v>
      </c>
      <c r="ELN59">
        <v>0</v>
      </c>
      <c r="ELO59">
        <v>999</v>
      </c>
      <c r="ETT59">
        <v>1</v>
      </c>
      <c r="EZG59">
        <v>1</v>
      </c>
      <c r="EZR59">
        <v>1</v>
      </c>
    </row>
    <row r="60" spans="1:1022 1293:2043 2058:2867 3134:4088 4098:4318" x14ac:dyDescent="0.25">
      <c r="A60" s="48">
        <v>13118872</v>
      </c>
      <c r="KE60">
        <v>48</v>
      </c>
      <c r="KG60">
        <v>1</v>
      </c>
      <c r="KJ60">
        <v>1</v>
      </c>
      <c r="LO60">
        <v>1</v>
      </c>
      <c r="NG60">
        <v>1</v>
      </c>
      <c r="UI60">
        <v>1</v>
      </c>
      <c r="UK60">
        <v>3</v>
      </c>
      <c r="UL60">
        <v>2</v>
      </c>
      <c r="UM60">
        <v>0</v>
      </c>
      <c r="UN60">
        <v>0</v>
      </c>
      <c r="AWS60" s="48">
        <v>25</v>
      </c>
      <c r="AWT60">
        <v>1</v>
      </c>
      <c r="AWW60">
        <v>1</v>
      </c>
      <c r="AWX60">
        <v>2</v>
      </c>
      <c r="AWY60">
        <v>14</v>
      </c>
      <c r="AWZ60">
        <v>13</v>
      </c>
      <c r="AXA60">
        <v>0</v>
      </c>
      <c r="CHC60">
        <v>20</v>
      </c>
      <c r="CHG60">
        <v>1</v>
      </c>
      <c r="CHH60">
        <v>3</v>
      </c>
      <c r="CHI60">
        <v>0</v>
      </c>
      <c r="CHJ60">
        <v>0</v>
      </c>
      <c r="CHK60">
        <v>2</v>
      </c>
      <c r="DEO60" s="48">
        <v>15</v>
      </c>
      <c r="DEP60">
        <v>1</v>
      </c>
      <c r="DES60">
        <v>1</v>
      </c>
      <c r="DET60">
        <v>5</v>
      </c>
      <c r="DEU60">
        <v>4</v>
      </c>
      <c r="DEV60">
        <v>0</v>
      </c>
      <c r="DEW60">
        <v>0</v>
      </c>
      <c r="DEY60">
        <v>40</v>
      </c>
      <c r="DEZ60">
        <v>1</v>
      </c>
      <c r="DFC60">
        <v>1</v>
      </c>
      <c r="DFD60">
        <v>2</v>
      </c>
      <c r="DFE60">
        <v>1</v>
      </c>
      <c r="DFF60">
        <v>0</v>
      </c>
      <c r="DFG60">
        <v>0</v>
      </c>
      <c r="DQT60">
        <v>25</v>
      </c>
      <c r="DQU60">
        <v>1</v>
      </c>
      <c r="DQX60">
        <v>1</v>
      </c>
      <c r="DQY60">
        <v>2</v>
      </c>
      <c r="DQZ60">
        <v>14</v>
      </c>
      <c r="DRA60">
        <v>13</v>
      </c>
      <c r="DRB60">
        <v>0</v>
      </c>
      <c r="DTW60">
        <v>75</v>
      </c>
      <c r="DTX60">
        <v>1</v>
      </c>
      <c r="DUA60">
        <v>1</v>
      </c>
      <c r="DUC60">
        <v>18</v>
      </c>
      <c r="DUD60">
        <v>0</v>
      </c>
      <c r="DUE60">
        <v>999</v>
      </c>
      <c r="EUP60">
        <v>1</v>
      </c>
      <c r="EVB60">
        <v>1</v>
      </c>
      <c r="EZQ60">
        <v>1</v>
      </c>
      <c r="FAF60">
        <v>1</v>
      </c>
    </row>
    <row r="61" spans="1:1022 1293:2043 2058:2867 3134:4088 4098:4318" x14ac:dyDescent="0.25">
      <c r="A61" s="48">
        <v>12012030</v>
      </c>
      <c r="HJ61">
        <v>85</v>
      </c>
      <c r="IB61">
        <v>3800</v>
      </c>
      <c r="IC61">
        <v>4200</v>
      </c>
      <c r="JL61">
        <v>250</v>
      </c>
      <c r="JM61">
        <v>250</v>
      </c>
      <c r="JU61">
        <v>500</v>
      </c>
      <c r="JV61">
        <v>500</v>
      </c>
      <c r="JX61">
        <v>226.7</v>
      </c>
      <c r="KE61">
        <v>4</v>
      </c>
      <c r="KF61">
        <v>1</v>
      </c>
      <c r="KJ61">
        <v>1</v>
      </c>
      <c r="KP61">
        <v>1</v>
      </c>
      <c r="UI61">
        <v>1</v>
      </c>
      <c r="UK61">
        <v>14</v>
      </c>
      <c r="UL61">
        <v>4</v>
      </c>
      <c r="UM61">
        <v>0</v>
      </c>
      <c r="UN61">
        <v>10</v>
      </c>
      <c r="EXF61">
        <v>1</v>
      </c>
      <c r="EYC61">
        <v>1</v>
      </c>
      <c r="EYE61">
        <v>1</v>
      </c>
      <c r="EYH61">
        <v>1</v>
      </c>
      <c r="EYK61">
        <v>1</v>
      </c>
      <c r="EYM61">
        <v>1</v>
      </c>
      <c r="FBA61">
        <v>1</v>
      </c>
      <c r="FDN61">
        <v>1</v>
      </c>
      <c r="FEI61">
        <v>1</v>
      </c>
    </row>
    <row r="62" spans="1:1022 1293:2043 2058:2867 3134:4088 4098:4318" x14ac:dyDescent="0.25">
      <c r="A62" s="48"/>
    </row>
    <row r="63" spans="1:1022 1293:2043 2058:2867 3134:4088 4098:4318" x14ac:dyDescent="0.25">
      <c r="A63" s="50" t="s">
        <v>83</v>
      </c>
    </row>
    <row r="64" spans="1:1022 1293:2043 2058:2867 3134:4088 4098:4318" x14ac:dyDescent="0.25">
      <c r="A64" s="48">
        <v>9074418</v>
      </c>
      <c r="AK64">
        <v>0</v>
      </c>
      <c r="AL64">
        <v>0</v>
      </c>
      <c r="AM64">
        <v>0</v>
      </c>
      <c r="AT64">
        <v>0</v>
      </c>
      <c r="AV64">
        <v>0</v>
      </c>
      <c r="BB64">
        <v>0</v>
      </c>
      <c r="BC64">
        <v>0</v>
      </c>
      <c r="BE64">
        <v>0</v>
      </c>
      <c r="GI64">
        <v>39</v>
      </c>
      <c r="JB64" t="s">
        <v>562</v>
      </c>
      <c r="JC64">
        <v>1</v>
      </c>
      <c r="JD64">
        <v>1</v>
      </c>
      <c r="KE64">
        <v>48</v>
      </c>
      <c r="KF64">
        <v>1</v>
      </c>
      <c r="KJ64">
        <v>1</v>
      </c>
      <c r="PR64">
        <v>1</v>
      </c>
      <c r="UW64">
        <v>5</v>
      </c>
      <c r="UX64">
        <v>5</v>
      </c>
      <c r="AHP64">
        <v>3</v>
      </c>
      <c r="AHQ64">
        <v>3</v>
      </c>
      <c r="AHR64">
        <v>0</v>
      </c>
      <c r="ETE64">
        <v>1</v>
      </c>
      <c r="EWV64">
        <v>1</v>
      </c>
      <c r="EZV64">
        <v>1</v>
      </c>
      <c r="EZW64">
        <v>1</v>
      </c>
      <c r="FAC64">
        <v>1</v>
      </c>
      <c r="FAF64">
        <v>1</v>
      </c>
      <c r="FCA64">
        <v>1</v>
      </c>
      <c r="FCB64">
        <v>1</v>
      </c>
      <c r="FEO64">
        <v>1</v>
      </c>
      <c r="FHQ64">
        <v>1</v>
      </c>
      <c r="FIQ64">
        <v>1</v>
      </c>
      <c r="FIR64">
        <v>1</v>
      </c>
      <c r="FIV64">
        <v>1</v>
      </c>
      <c r="FIW64">
        <v>1</v>
      </c>
      <c r="FIX64">
        <v>1</v>
      </c>
      <c r="FJB64">
        <v>1</v>
      </c>
    </row>
    <row r="65" spans="1:974 1040:2633 3271:4096 4116:4308" x14ac:dyDescent="0.25">
      <c r="A65" s="48">
        <v>1263</v>
      </c>
      <c r="KE65">
        <v>70</v>
      </c>
      <c r="KG65">
        <v>1</v>
      </c>
      <c r="KH65">
        <v>16.7</v>
      </c>
      <c r="KJ65">
        <v>1</v>
      </c>
      <c r="KK65">
        <v>11</v>
      </c>
      <c r="SK65">
        <v>1</v>
      </c>
      <c r="SM65">
        <v>1</v>
      </c>
      <c r="UQ65">
        <v>500</v>
      </c>
      <c r="UR65">
        <v>4</v>
      </c>
      <c r="UU65">
        <v>1</v>
      </c>
      <c r="AQT65">
        <v>400</v>
      </c>
      <c r="AQU65">
        <v>2</v>
      </c>
      <c r="AQX65">
        <v>1</v>
      </c>
      <c r="AQY65">
        <v>4</v>
      </c>
      <c r="AQZ65">
        <v>4</v>
      </c>
      <c r="ARA65">
        <v>1</v>
      </c>
      <c r="ARB65">
        <v>0</v>
      </c>
      <c r="ARE65">
        <v>2</v>
      </c>
      <c r="ARH65">
        <v>1</v>
      </c>
      <c r="ARI65">
        <v>4</v>
      </c>
      <c r="ARJ65">
        <v>4</v>
      </c>
      <c r="ARK65">
        <v>1</v>
      </c>
      <c r="ARL65">
        <v>0</v>
      </c>
      <c r="BSF65">
        <v>1</v>
      </c>
      <c r="BSG65" s="1" t="s">
        <v>691</v>
      </c>
      <c r="CVZ65">
        <v>2</v>
      </c>
      <c r="CWC65">
        <v>1</v>
      </c>
      <c r="CWD65">
        <v>3</v>
      </c>
      <c r="CWE65">
        <v>1</v>
      </c>
      <c r="CWF65">
        <v>0</v>
      </c>
      <c r="CWG65">
        <v>1</v>
      </c>
      <c r="EVZ65">
        <v>1</v>
      </c>
      <c r="FBH65">
        <v>1</v>
      </c>
      <c r="FBK65">
        <v>1</v>
      </c>
      <c r="FBP65">
        <v>1</v>
      </c>
    </row>
    <row r="66" spans="1:974 1040:2633 3271:4096 4116:4308" x14ac:dyDescent="0.25">
      <c r="A66" s="48">
        <v>98004910</v>
      </c>
      <c r="KE66">
        <v>17</v>
      </c>
      <c r="KG66">
        <v>1</v>
      </c>
      <c r="KH66">
        <v>18.3</v>
      </c>
      <c r="KJ66">
        <v>1</v>
      </c>
      <c r="KQ66">
        <v>1</v>
      </c>
      <c r="UQ66">
        <v>500</v>
      </c>
      <c r="UR66">
        <v>2</v>
      </c>
      <c r="UU66">
        <v>1</v>
      </c>
      <c r="UW66">
        <v>2</v>
      </c>
      <c r="UX66">
        <v>1</v>
      </c>
      <c r="UY66">
        <v>0</v>
      </c>
      <c r="UZ66">
        <v>0</v>
      </c>
      <c r="EUP66">
        <v>1</v>
      </c>
      <c r="EVC66">
        <v>1</v>
      </c>
      <c r="EZO66">
        <v>1</v>
      </c>
      <c r="EZR66">
        <v>1</v>
      </c>
    </row>
    <row r="67" spans="1:974 1040:2633 3271:4096 4116:4308" x14ac:dyDescent="0.25">
      <c r="A67" s="48">
        <v>7103068</v>
      </c>
      <c r="FS67">
        <v>1740</v>
      </c>
      <c r="GF67">
        <v>38</v>
      </c>
      <c r="HU67">
        <v>34</v>
      </c>
      <c r="KE67">
        <v>39</v>
      </c>
      <c r="KG67">
        <v>1</v>
      </c>
      <c r="KJ67">
        <v>1</v>
      </c>
      <c r="QR67">
        <v>1</v>
      </c>
      <c r="SC67">
        <v>1</v>
      </c>
      <c r="UE67">
        <v>1800</v>
      </c>
      <c r="UF67">
        <v>1</v>
      </c>
      <c r="UQ67">
        <v>1000</v>
      </c>
      <c r="UR67">
        <v>4</v>
      </c>
      <c r="ARN67">
        <v>1</v>
      </c>
      <c r="ARY67">
        <v>1</v>
      </c>
      <c r="ASJ67">
        <v>1</v>
      </c>
      <c r="BZP67">
        <v>250</v>
      </c>
      <c r="BZR67">
        <v>1</v>
      </c>
      <c r="BZU67">
        <v>3</v>
      </c>
      <c r="ETD67">
        <v>1</v>
      </c>
      <c r="ETE67">
        <v>1</v>
      </c>
      <c r="ETG67">
        <v>1</v>
      </c>
      <c r="ETV67">
        <v>1</v>
      </c>
      <c r="EUA67">
        <v>1</v>
      </c>
      <c r="EVZ67">
        <v>1</v>
      </c>
      <c r="EWE67">
        <v>1</v>
      </c>
      <c r="EWX67">
        <v>1</v>
      </c>
      <c r="FAK67">
        <v>1</v>
      </c>
      <c r="FAN67">
        <v>1</v>
      </c>
      <c r="FCQ67">
        <v>1</v>
      </c>
      <c r="FCS67">
        <v>1</v>
      </c>
      <c r="FHV67">
        <v>1</v>
      </c>
    </row>
    <row r="68" spans="1:974 1040:2633 3271:4096 4116:4308" x14ac:dyDescent="0.25">
      <c r="A68" s="48">
        <v>11240728</v>
      </c>
      <c r="AF68" s="48"/>
      <c r="AG68" s="48"/>
      <c r="AH68" s="48"/>
      <c r="AI68" s="48"/>
      <c r="AJ68" s="48"/>
      <c r="KE68">
        <v>51</v>
      </c>
      <c r="KF68">
        <v>1</v>
      </c>
      <c r="KH68">
        <v>26.01</v>
      </c>
      <c r="KJ68">
        <v>1</v>
      </c>
      <c r="KL68">
        <v>1</v>
      </c>
      <c r="UP68">
        <v>1</v>
      </c>
      <c r="UQ68">
        <v>1500</v>
      </c>
      <c r="UU68">
        <v>1</v>
      </c>
      <c r="UW68">
        <v>3</v>
      </c>
      <c r="UX68">
        <v>2</v>
      </c>
      <c r="UY68">
        <v>0</v>
      </c>
      <c r="UZ68">
        <v>0</v>
      </c>
      <c r="AOV68">
        <v>500</v>
      </c>
      <c r="AOZ68">
        <v>1</v>
      </c>
      <c r="APA68">
        <v>1</v>
      </c>
      <c r="APB68">
        <v>0</v>
      </c>
      <c r="APC68">
        <v>0</v>
      </c>
      <c r="EXB68">
        <v>1</v>
      </c>
      <c r="FAF68">
        <v>1</v>
      </c>
      <c r="FIR68">
        <v>1</v>
      </c>
    </row>
    <row r="69" spans="1:974 1040:2633 3271:4096 4116:4308" x14ac:dyDescent="0.2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49"/>
      <c r="AG69" s="49"/>
      <c r="AH69" s="49"/>
      <c r="AI69" s="49"/>
      <c r="AJ69" s="49"/>
      <c r="AK69" s="6"/>
    </row>
    <row r="70" spans="1:974 1040:2633 3271:4096 4116:4308" x14ac:dyDescent="0.25">
      <c r="A70" s="26" t="s">
        <v>130</v>
      </c>
      <c r="AF70" s="48"/>
      <c r="AG70" s="48"/>
      <c r="AH70" s="48"/>
      <c r="AI70" s="48"/>
      <c r="AJ70" s="48"/>
    </row>
    <row r="71" spans="1:974 1040:2633 3271:4096 4116:4308" x14ac:dyDescent="0.25">
      <c r="A71" s="10" t="s">
        <v>106</v>
      </c>
      <c r="AF71" s="48"/>
      <c r="AG71" s="48"/>
      <c r="AH71" s="48"/>
      <c r="AI71" s="48"/>
      <c r="AJ71" s="48"/>
    </row>
    <row r="72" spans="1:974 1040:2633 3271:4096 4116:4308" x14ac:dyDescent="0.25">
      <c r="A72" s="48">
        <v>5015869</v>
      </c>
      <c r="AF72" s="48"/>
      <c r="AG72" s="48"/>
      <c r="AH72" s="48"/>
      <c r="AI72" s="48"/>
      <c r="AJ72" s="48"/>
      <c r="KE72">
        <v>71</v>
      </c>
      <c r="KG72">
        <v>1</v>
      </c>
      <c r="TR72">
        <v>187.5</v>
      </c>
      <c r="TS72">
        <v>1</v>
      </c>
      <c r="TV72">
        <v>1</v>
      </c>
      <c r="TY72">
        <v>6</v>
      </c>
      <c r="TZ72">
        <v>5</v>
      </c>
      <c r="UA72">
        <v>0</v>
      </c>
      <c r="UB72">
        <v>0</v>
      </c>
      <c r="BSK72">
        <v>1</v>
      </c>
      <c r="BSL72">
        <v>570</v>
      </c>
      <c r="BSM72">
        <v>570</v>
      </c>
      <c r="EYR72">
        <v>1</v>
      </c>
    </row>
    <row r="73" spans="1:974 1040:2633 3271:4096 4116:4308" x14ac:dyDescent="0.25">
      <c r="A73" s="48">
        <v>5016969</v>
      </c>
      <c r="AF73" s="48"/>
      <c r="AG73" s="48"/>
      <c r="AH73" s="48"/>
      <c r="AI73" s="48"/>
      <c r="AJ73" s="48"/>
      <c r="KE73">
        <v>82</v>
      </c>
      <c r="KG73">
        <v>1</v>
      </c>
      <c r="KH73">
        <v>29.5</v>
      </c>
      <c r="KJ73">
        <v>1</v>
      </c>
      <c r="LJ73">
        <v>1</v>
      </c>
      <c r="NZ73">
        <v>1</v>
      </c>
      <c r="RB73">
        <v>1</v>
      </c>
      <c r="SM73">
        <v>1</v>
      </c>
      <c r="TR73" s="28">
        <v>50</v>
      </c>
      <c r="TV73">
        <v>1</v>
      </c>
      <c r="TY73">
        <v>69</v>
      </c>
      <c r="TZ73">
        <v>79</v>
      </c>
      <c r="UB73">
        <v>0</v>
      </c>
      <c r="DUU73">
        <v>1</v>
      </c>
      <c r="DUV73">
        <v>79</v>
      </c>
      <c r="DUW73">
        <v>79</v>
      </c>
      <c r="DUX73">
        <v>0</v>
      </c>
      <c r="DUY73">
        <v>0</v>
      </c>
      <c r="ERJ73">
        <v>1</v>
      </c>
      <c r="ERP73">
        <v>1</v>
      </c>
    </row>
    <row r="74" spans="1:974 1040:2633 3271:4096 4116:4308" x14ac:dyDescent="0.25">
      <c r="A74" s="48">
        <v>6023231</v>
      </c>
      <c r="AF74" s="48"/>
      <c r="AG74" s="48"/>
      <c r="AH74" s="48"/>
      <c r="AI74" s="48"/>
      <c r="AJ74" s="48"/>
      <c r="GF74">
        <v>41</v>
      </c>
      <c r="KE74">
        <v>31</v>
      </c>
      <c r="KG74">
        <v>1</v>
      </c>
      <c r="KI74">
        <v>1</v>
      </c>
      <c r="KK74">
        <v>73</v>
      </c>
      <c r="TQ74">
        <v>1</v>
      </c>
      <c r="ERX74">
        <v>1</v>
      </c>
      <c r="ESA74">
        <v>1</v>
      </c>
      <c r="ESD74">
        <v>1</v>
      </c>
      <c r="ESO74">
        <v>1</v>
      </c>
      <c r="ESR74">
        <v>1</v>
      </c>
      <c r="ESS74">
        <v>1</v>
      </c>
      <c r="ETE74">
        <v>1</v>
      </c>
      <c r="EUG74">
        <v>1</v>
      </c>
      <c r="EUS74">
        <v>1</v>
      </c>
      <c r="EUT74">
        <v>1</v>
      </c>
      <c r="EVG74">
        <v>1</v>
      </c>
      <c r="EVW74">
        <v>1</v>
      </c>
      <c r="EVZ74">
        <v>1</v>
      </c>
      <c r="EWM74">
        <v>1</v>
      </c>
      <c r="EWP74">
        <v>1</v>
      </c>
      <c r="EWX74">
        <v>1</v>
      </c>
      <c r="EXF74">
        <v>1</v>
      </c>
      <c r="EYG74">
        <v>1</v>
      </c>
      <c r="EYO74">
        <v>1</v>
      </c>
      <c r="EYP74">
        <v>1</v>
      </c>
    </row>
    <row r="75" spans="1:974 1040:2633 3271:4096 4116:4308" x14ac:dyDescent="0.25">
      <c r="A75" s="48">
        <v>6010712</v>
      </c>
      <c r="AF75" s="48"/>
      <c r="AG75" s="48"/>
      <c r="AH75" s="48"/>
      <c r="AI75" s="48"/>
      <c r="AJ75" s="48"/>
      <c r="KE75">
        <v>63</v>
      </c>
      <c r="KG75">
        <v>1</v>
      </c>
      <c r="KJ75">
        <v>1</v>
      </c>
      <c r="TQ75">
        <v>1</v>
      </c>
      <c r="WI75" s="48"/>
      <c r="WJ75" s="48"/>
      <c r="WK75" s="48"/>
      <c r="EWD75">
        <v>1</v>
      </c>
      <c r="EXB75">
        <v>1</v>
      </c>
    </row>
    <row r="76" spans="1:974 1040:2633 3271:4096 4116:4308" x14ac:dyDescent="0.25">
      <c r="A76" s="48">
        <v>6011198</v>
      </c>
      <c r="AF76" s="48"/>
      <c r="AG76" s="48">
        <v>25</v>
      </c>
      <c r="AH76" s="48"/>
      <c r="AI76" s="48"/>
      <c r="AJ76" s="48"/>
      <c r="KE76">
        <v>72</v>
      </c>
      <c r="KG76">
        <v>1</v>
      </c>
      <c r="KI76">
        <v>1</v>
      </c>
      <c r="KX76">
        <v>1</v>
      </c>
      <c r="OA76">
        <v>1</v>
      </c>
      <c r="TR76">
        <v>100</v>
      </c>
      <c r="TS76">
        <v>1</v>
      </c>
      <c r="WI76" s="48"/>
      <c r="WJ76" s="48"/>
      <c r="WK76" s="48"/>
      <c r="YH76">
        <v>1</v>
      </c>
      <c r="ERR76">
        <v>1</v>
      </c>
      <c r="ETG76">
        <v>1</v>
      </c>
      <c r="EUD76">
        <v>1</v>
      </c>
      <c r="EUH76">
        <v>1</v>
      </c>
      <c r="EVB76">
        <v>1</v>
      </c>
      <c r="EVZ76">
        <v>1</v>
      </c>
      <c r="EWD76">
        <v>1</v>
      </c>
      <c r="EWP76">
        <v>1</v>
      </c>
      <c r="EXB76">
        <v>1</v>
      </c>
      <c r="EXX76">
        <v>1</v>
      </c>
      <c r="EYA76">
        <v>1</v>
      </c>
      <c r="EYE76">
        <v>1</v>
      </c>
    </row>
    <row r="77" spans="1:974 1040:2633 3271:4096 4116:4308" x14ac:dyDescent="0.25">
      <c r="A77" s="48">
        <v>6012681</v>
      </c>
      <c r="AF77" s="48"/>
      <c r="AG77" s="48"/>
      <c r="AH77" s="48"/>
      <c r="AI77" s="55"/>
      <c r="AJ77" s="48"/>
      <c r="TR77">
        <v>50</v>
      </c>
      <c r="TS77">
        <v>2</v>
      </c>
      <c r="TV77">
        <v>1</v>
      </c>
      <c r="TY77">
        <v>8</v>
      </c>
      <c r="TZ77">
        <v>1</v>
      </c>
      <c r="UA77">
        <v>0</v>
      </c>
      <c r="UB77">
        <v>1</v>
      </c>
      <c r="UF77">
        <v>1</v>
      </c>
      <c r="UI77">
        <v>1</v>
      </c>
      <c r="UK77">
        <v>9</v>
      </c>
      <c r="UL77">
        <v>16</v>
      </c>
      <c r="UM77">
        <v>8</v>
      </c>
      <c r="UN77">
        <v>0</v>
      </c>
      <c r="VH77">
        <v>2</v>
      </c>
      <c r="VI77">
        <v>7</v>
      </c>
      <c r="VJ77">
        <v>6</v>
      </c>
      <c r="VK77">
        <v>0</v>
      </c>
      <c r="WI77" s="48">
        <v>500</v>
      </c>
      <c r="WJ77" s="48">
        <v>1</v>
      </c>
      <c r="WK77" s="48">
        <v>1</v>
      </c>
      <c r="WN77">
        <v>1</v>
      </c>
      <c r="WO77">
        <v>1</v>
      </c>
      <c r="WP77">
        <v>1</v>
      </c>
      <c r="WQ77">
        <v>0</v>
      </c>
      <c r="AHC77">
        <v>1</v>
      </c>
      <c r="AHF77">
        <v>3</v>
      </c>
      <c r="AHG77">
        <v>1</v>
      </c>
      <c r="AHH77">
        <v>0</v>
      </c>
      <c r="AHI77">
        <v>1</v>
      </c>
      <c r="BTX77">
        <v>0.35</v>
      </c>
      <c r="BTY77">
        <v>1</v>
      </c>
      <c r="BUA77">
        <v>1</v>
      </c>
      <c r="BUD77">
        <v>1</v>
      </c>
      <c r="BUE77">
        <v>1</v>
      </c>
      <c r="BUF77">
        <v>1</v>
      </c>
      <c r="BUG77">
        <v>0</v>
      </c>
      <c r="CCM77">
        <v>2</v>
      </c>
      <c r="CCP77">
        <v>1</v>
      </c>
      <c r="CCQ77">
        <v>3</v>
      </c>
      <c r="CCR77">
        <v>21</v>
      </c>
      <c r="CCS77">
        <v>19</v>
      </c>
      <c r="CCT77">
        <v>0</v>
      </c>
      <c r="DXZ77">
        <v>999</v>
      </c>
      <c r="ERH77">
        <v>1</v>
      </c>
      <c r="ERJ77">
        <v>1</v>
      </c>
    </row>
    <row r="78" spans="1:974 1040:2633 3271:4096 4116:4308" x14ac:dyDescent="0.25">
      <c r="A78" s="48">
        <v>6014511</v>
      </c>
      <c r="AF78" s="48"/>
      <c r="AG78" s="48"/>
      <c r="AH78" s="48"/>
      <c r="AI78" s="48"/>
      <c r="AJ78" s="48"/>
      <c r="TV78">
        <v>1</v>
      </c>
      <c r="TY78">
        <v>22</v>
      </c>
      <c r="TZ78">
        <v>62</v>
      </c>
      <c r="UA78">
        <v>41</v>
      </c>
      <c r="UB78">
        <v>0</v>
      </c>
      <c r="UR78">
        <v>3</v>
      </c>
      <c r="UU78">
        <v>1</v>
      </c>
      <c r="UW78">
        <v>11</v>
      </c>
      <c r="UX78">
        <v>72</v>
      </c>
      <c r="UY78">
        <v>62</v>
      </c>
      <c r="UZ78">
        <v>0</v>
      </c>
      <c r="VD78">
        <v>3</v>
      </c>
      <c r="VG78">
        <v>1</v>
      </c>
      <c r="VH78">
        <v>1</v>
      </c>
      <c r="VI78">
        <v>82</v>
      </c>
      <c r="VJ78">
        <v>72</v>
      </c>
      <c r="VK78">
        <v>0</v>
      </c>
      <c r="WI78" s="48"/>
      <c r="WJ78" s="48"/>
      <c r="WK78" s="48"/>
      <c r="AMZ78">
        <v>1</v>
      </c>
      <c r="ANA78">
        <v>9</v>
      </c>
      <c r="ANB78">
        <v>72</v>
      </c>
      <c r="ANC78">
        <v>64</v>
      </c>
      <c r="AND78">
        <v>0</v>
      </c>
      <c r="AQD78">
        <v>1</v>
      </c>
      <c r="AQE78">
        <v>26</v>
      </c>
      <c r="AQF78">
        <v>84</v>
      </c>
      <c r="AQG78">
        <v>59</v>
      </c>
      <c r="AQH78">
        <v>0</v>
      </c>
      <c r="BQS78">
        <v>1</v>
      </c>
      <c r="BQV78">
        <v>1</v>
      </c>
      <c r="BQW78">
        <v>61</v>
      </c>
      <c r="BQX78">
        <v>60</v>
      </c>
      <c r="BQY78">
        <v>0</v>
      </c>
      <c r="BQZ78">
        <v>0</v>
      </c>
      <c r="BZT78">
        <v>1</v>
      </c>
      <c r="BZU78">
        <v>53</v>
      </c>
      <c r="BZV78">
        <v>41</v>
      </c>
      <c r="BZW78">
        <v>0</v>
      </c>
      <c r="BZX78">
        <v>11</v>
      </c>
      <c r="EAK78">
        <v>63</v>
      </c>
      <c r="EAL78">
        <v>169</v>
      </c>
      <c r="EAM78">
        <v>100</v>
      </c>
      <c r="EPG78">
        <v>1</v>
      </c>
      <c r="EPJ78">
        <v>1</v>
      </c>
      <c r="EPL78">
        <v>999</v>
      </c>
      <c r="EPM78">
        <v>0</v>
      </c>
      <c r="EPN78">
        <v>11</v>
      </c>
      <c r="ERH78">
        <v>1</v>
      </c>
    </row>
    <row r="79" spans="1:974 1040:2633 3271:4096 4116:4308" x14ac:dyDescent="0.25">
      <c r="A79" s="48">
        <v>6045127</v>
      </c>
      <c r="AF79" s="48"/>
      <c r="AG79" s="48"/>
      <c r="AH79" s="48"/>
      <c r="AI79" s="48"/>
      <c r="AJ79" s="48"/>
      <c r="GF79">
        <v>38.9</v>
      </c>
      <c r="TV79">
        <v>1</v>
      </c>
      <c r="UU79">
        <v>1</v>
      </c>
      <c r="VG79">
        <v>1</v>
      </c>
      <c r="WI79" s="48"/>
      <c r="WJ79" s="48"/>
      <c r="WK79" s="48"/>
      <c r="EYH79">
        <v>1</v>
      </c>
    </row>
    <row r="80" spans="1:974 1040:2633 3271:4096 4116:4308" x14ac:dyDescent="0.25">
      <c r="A80" s="48">
        <v>7000458</v>
      </c>
      <c r="AF80" s="48"/>
      <c r="AG80" s="48"/>
      <c r="AH80" s="48"/>
      <c r="AI80" s="48"/>
      <c r="AJ80" s="48"/>
      <c r="TR80">
        <v>150</v>
      </c>
      <c r="TS80">
        <v>1</v>
      </c>
      <c r="TV80">
        <v>1</v>
      </c>
      <c r="TY80">
        <v>35</v>
      </c>
      <c r="TZ80">
        <v>46</v>
      </c>
      <c r="UA80">
        <v>0</v>
      </c>
      <c r="UB80">
        <v>4</v>
      </c>
      <c r="WI80" s="48"/>
      <c r="WJ80" s="48">
        <v>1</v>
      </c>
      <c r="WK80" s="48"/>
      <c r="WM80">
        <v>1</v>
      </c>
      <c r="WN80">
        <v>35</v>
      </c>
      <c r="WO80">
        <v>46</v>
      </c>
      <c r="WP80">
        <v>0</v>
      </c>
      <c r="WQ80">
        <v>4</v>
      </c>
      <c r="WS80">
        <v>100</v>
      </c>
      <c r="WW80">
        <v>1</v>
      </c>
      <c r="WX80">
        <v>35</v>
      </c>
      <c r="WY80">
        <v>46</v>
      </c>
      <c r="WZ80">
        <v>0</v>
      </c>
      <c r="XA80">
        <v>4</v>
      </c>
      <c r="ACS80">
        <v>20</v>
      </c>
      <c r="ACT80">
        <v>1</v>
      </c>
      <c r="ACW80">
        <v>1</v>
      </c>
      <c r="ACX80">
        <v>35</v>
      </c>
      <c r="ACY80">
        <v>46</v>
      </c>
      <c r="ACZ80">
        <v>0</v>
      </c>
      <c r="ADA80">
        <v>4</v>
      </c>
      <c r="AHU80">
        <v>1200</v>
      </c>
      <c r="AHV80">
        <v>1</v>
      </c>
      <c r="AHW80">
        <v>1</v>
      </c>
      <c r="AHZ80">
        <v>35</v>
      </c>
      <c r="AIA80">
        <v>46</v>
      </c>
      <c r="AIB80">
        <v>0</v>
      </c>
      <c r="AIC80">
        <v>4</v>
      </c>
      <c r="AKD80">
        <v>150</v>
      </c>
      <c r="AKE80">
        <v>1</v>
      </c>
      <c r="AKH80">
        <v>1</v>
      </c>
      <c r="AKI80">
        <v>35</v>
      </c>
      <c r="AKJ80">
        <v>46</v>
      </c>
      <c r="AKK80">
        <v>0</v>
      </c>
      <c r="AKL80">
        <v>4</v>
      </c>
      <c r="AUJ80">
        <v>3</v>
      </c>
      <c r="AUK80">
        <v>1</v>
      </c>
      <c r="AUN80">
        <v>1</v>
      </c>
      <c r="AUO80">
        <v>35</v>
      </c>
      <c r="AUP80">
        <v>46</v>
      </c>
      <c r="AUQ80">
        <v>0</v>
      </c>
      <c r="AUR80">
        <v>4</v>
      </c>
      <c r="BSQ80" s="48"/>
      <c r="BSU80">
        <v>1</v>
      </c>
      <c r="BSW80">
        <v>35</v>
      </c>
      <c r="BSX80">
        <v>46</v>
      </c>
      <c r="BSY80">
        <v>0</v>
      </c>
      <c r="BSZ80">
        <v>4</v>
      </c>
    </row>
    <row r="81" spans="1:984 1030:2043 2088:2582 3186:3855" x14ac:dyDescent="0.25">
      <c r="A81" s="48">
        <v>7015502</v>
      </c>
      <c r="AF81" s="48"/>
      <c r="AG81" s="48"/>
      <c r="AH81" s="48"/>
      <c r="AI81" s="48"/>
      <c r="AJ81" s="48"/>
      <c r="TV81">
        <v>1</v>
      </c>
      <c r="TY81">
        <v>5</v>
      </c>
      <c r="TZ81">
        <v>11</v>
      </c>
      <c r="UA81">
        <v>6</v>
      </c>
      <c r="UB81">
        <v>0</v>
      </c>
      <c r="WI81" s="48"/>
      <c r="WJ81" s="48"/>
      <c r="WK81" s="48"/>
    </row>
    <row r="82" spans="1:984 1030:2043 2088:2582 3186:3855" x14ac:dyDescent="0.25">
      <c r="A82" s="48">
        <v>7025847</v>
      </c>
      <c r="AF82" s="48"/>
      <c r="AG82" s="48"/>
      <c r="AH82" s="48"/>
      <c r="AI82" s="48"/>
      <c r="AJ82" s="48"/>
      <c r="HV82">
        <v>191.12</v>
      </c>
      <c r="TR82">
        <v>75</v>
      </c>
      <c r="TS82">
        <v>1</v>
      </c>
      <c r="TV82">
        <v>1</v>
      </c>
      <c r="TY82">
        <v>2</v>
      </c>
      <c r="TZ82">
        <v>5</v>
      </c>
      <c r="UA82">
        <v>4</v>
      </c>
      <c r="UB82">
        <v>0</v>
      </c>
      <c r="WI82" s="48"/>
      <c r="WJ82" s="48"/>
      <c r="WK82" s="48"/>
    </row>
    <row r="83" spans="1:984 1030:2043 2088:2582 3186:3855" x14ac:dyDescent="0.25">
      <c r="A83" s="48">
        <v>7082707</v>
      </c>
      <c r="AF83" s="48"/>
      <c r="AG83" s="48"/>
      <c r="AH83" s="48"/>
      <c r="AI83" s="48"/>
      <c r="AJ83" s="48"/>
      <c r="FL83">
        <v>74.832300000000004</v>
      </c>
      <c r="FY83">
        <v>317</v>
      </c>
      <c r="TR83">
        <v>50</v>
      </c>
      <c r="TV83">
        <v>1</v>
      </c>
      <c r="TY83">
        <v>720</v>
      </c>
      <c r="TZ83">
        <v>709</v>
      </c>
      <c r="UA83">
        <v>11</v>
      </c>
      <c r="WI83" s="48"/>
      <c r="WJ83" s="48"/>
      <c r="WK83" s="48"/>
      <c r="AIY83">
        <v>400</v>
      </c>
      <c r="AIZ83">
        <v>1</v>
      </c>
      <c r="AJC83">
        <v>1</v>
      </c>
      <c r="AJD83">
        <v>25</v>
      </c>
      <c r="AJE83">
        <v>119</v>
      </c>
      <c r="AJF83">
        <v>95</v>
      </c>
      <c r="AJG83">
        <v>0</v>
      </c>
      <c r="APZ83">
        <v>500</v>
      </c>
      <c r="AQA83">
        <v>1</v>
      </c>
      <c r="AQD83">
        <v>1</v>
      </c>
      <c r="AQE83">
        <v>13</v>
      </c>
      <c r="AQF83">
        <v>85</v>
      </c>
      <c r="AQG83">
        <v>73</v>
      </c>
      <c r="AQH83">
        <v>0</v>
      </c>
      <c r="BCP83">
        <v>4</v>
      </c>
      <c r="BCQ83">
        <v>1</v>
      </c>
      <c r="BCT83">
        <v>1</v>
      </c>
      <c r="BCU83">
        <v>999</v>
      </c>
      <c r="BCV83">
        <v>999</v>
      </c>
      <c r="BCW83">
        <v>0</v>
      </c>
      <c r="BCX83">
        <v>11</v>
      </c>
      <c r="BED83">
        <v>20</v>
      </c>
      <c r="BEE83">
        <v>1</v>
      </c>
      <c r="BEH83">
        <v>1</v>
      </c>
      <c r="BEI83">
        <v>999</v>
      </c>
      <c r="BEJ83">
        <v>999</v>
      </c>
      <c r="BEK83">
        <v>0</v>
      </c>
      <c r="BEL83" s="35">
        <v>999</v>
      </c>
      <c r="EKL83">
        <v>70</v>
      </c>
      <c r="EKM83">
        <v>1</v>
      </c>
      <c r="EKP83">
        <v>1</v>
      </c>
      <c r="EKQ83">
        <v>999</v>
      </c>
      <c r="EKR83">
        <v>999</v>
      </c>
      <c r="EKS83">
        <v>0</v>
      </c>
      <c r="EKT83">
        <v>10</v>
      </c>
    </row>
    <row r="84" spans="1:984 1030:2043 2088:2582 3186:3855" x14ac:dyDescent="0.25">
      <c r="A84" s="48">
        <v>7083159</v>
      </c>
      <c r="AF84" s="48"/>
      <c r="AG84" s="48"/>
      <c r="AH84" s="48"/>
      <c r="AI84" s="48"/>
      <c r="AJ84" s="48"/>
      <c r="TR84">
        <v>50</v>
      </c>
      <c r="TS84">
        <v>1</v>
      </c>
      <c r="TV84">
        <v>1</v>
      </c>
      <c r="TY84">
        <v>82</v>
      </c>
      <c r="TZ84">
        <v>87</v>
      </c>
      <c r="UA84">
        <v>6</v>
      </c>
      <c r="WI84" s="48">
        <v>1500</v>
      </c>
      <c r="WJ84" s="48">
        <v>1</v>
      </c>
      <c r="WK84" s="48"/>
      <c r="WM84">
        <v>1</v>
      </c>
      <c r="WN84">
        <v>108</v>
      </c>
      <c r="WO84">
        <v>92</v>
      </c>
      <c r="WP84">
        <v>0</v>
      </c>
      <c r="WQ84">
        <v>16</v>
      </c>
      <c r="ZD84">
        <v>150</v>
      </c>
      <c r="ZE84">
        <v>1</v>
      </c>
      <c r="ZH84">
        <v>1</v>
      </c>
      <c r="ZI84">
        <v>83</v>
      </c>
      <c r="ZJ84">
        <v>592</v>
      </c>
      <c r="ZK84">
        <v>6</v>
      </c>
      <c r="ZL84">
        <v>0</v>
      </c>
      <c r="ACI84">
        <v>50</v>
      </c>
      <c r="ACJ84">
        <v>1</v>
      </c>
      <c r="ACN84">
        <v>87</v>
      </c>
      <c r="ACO84">
        <v>91</v>
      </c>
      <c r="ACP84">
        <v>6</v>
      </c>
      <c r="ACQ84">
        <v>0</v>
      </c>
      <c r="AOV84">
        <v>500</v>
      </c>
      <c r="AOW84">
        <v>1</v>
      </c>
      <c r="AOZ84">
        <v>1</v>
      </c>
      <c r="APA84">
        <v>5</v>
      </c>
      <c r="APB84">
        <v>14</v>
      </c>
      <c r="APC84">
        <v>10</v>
      </c>
      <c r="APD84">
        <v>0</v>
      </c>
    </row>
    <row r="85" spans="1:984 1030:2043 2088:2582 3186:3855" x14ac:dyDescent="0.25">
      <c r="A85" s="48">
        <v>7084659</v>
      </c>
      <c r="AF85" s="48"/>
      <c r="AG85" s="48"/>
      <c r="AH85" s="48"/>
      <c r="AI85" s="48"/>
      <c r="AJ85" s="48"/>
      <c r="TR85">
        <v>150</v>
      </c>
      <c r="TS85">
        <v>1</v>
      </c>
      <c r="TV85">
        <v>1</v>
      </c>
      <c r="TY85">
        <v>10</v>
      </c>
      <c r="TZ85">
        <v>9</v>
      </c>
      <c r="UA85">
        <v>0</v>
      </c>
      <c r="UB85">
        <v>0</v>
      </c>
      <c r="WI85" s="48"/>
      <c r="WJ85" s="48"/>
      <c r="WK85" s="48"/>
      <c r="AOV85">
        <v>500</v>
      </c>
      <c r="AOW85">
        <v>1</v>
      </c>
      <c r="AOZ85">
        <v>1</v>
      </c>
      <c r="APA85">
        <v>10</v>
      </c>
      <c r="APB85">
        <v>9</v>
      </c>
      <c r="APC85">
        <v>0</v>
      </c>
      <c r="APD85">
        <v>0</v>
      </c>
      <c r="CHC85">
        <v>40</v>
      </c>
      <c r="CHD85">
        <v>0.5</v>
      </c>
      <c r="CHG85">
        <v>1</v>
      </c>
      <c r="CHH85">
        <v>999</v>
      </c>
      <c r="CHI85">
        <v>8</v>
      </c>
      <c r="CHJ85">
        <v>0</v>
      </c>
      <c r="CHK85" s="15">
        <v>999</v>
      </c>
      <c r="DRN85">
        <v>10</v>
      </c>
      <c r="DRO85">
        <v>1</v>
      </c>
      <c r="DRR85">
        <v>1</v>
      </c>
      <c r="DRS85">
        <v>999</v>
      </c>
      <c r="DRT85" s="15">
        <v>999</v>
      </c>
      <c r="DRU85">
        <v>0</v>
      </c>
      <c r="DRV85">
        <v>0</v>
      </c>
      <c r="DTW85">
        <v>25</v>
      </c>
      <c r="DTX85">
        <v>1</v>
      </c>
      <c r="DUA85">
        <v>1</v>
      </c>
      <c r="DUB85">
        <v>999</v>
      </c>
      <c r="DUC85">
        <v>9</v>
      </c>
      <c r="DUD85">
        <v>0</v>
      </c>
      <c r="DUE85" s="15">
        <v>999</v>
      </c>
    </row>
    <row r="86" spans="1:984 1030:2043 2088:2582 3186:3855" x14ac:dyDescent="0.25">
      <c r="A86" s="48">
        <v>7076814</v>
      </c>
      <c r="AF86" s="48"/>
      <c r="AG86" s="48"/>
      <c r="AH86" s="48"/>
      <c r="AI86" s="48"/>
      <c r="AJ86" s="48"/>
      <c r="TX86">
        <v>1</v>
      </c>
      <c r="TY86">
        <v>999</v>
      </c>
      <c r="TZ86">
        <v>999</v>
      </c>
      <c r="UA86">
        <v>0</v>
      </c>
      <c r="UB86">
        <v>16</v>
      </c>
      <c r="UK86">
        <v>183</v>
      </c>
      <c r="UL86">
        <v>275</v>
      </c>
      <c r="UM86">
        <v>92</v>
      </c>
      <c r="UN86">
        <v>0</v>
      </c>
      <c r="WI86" s="48"/>
      <c r="WJ86" s="48"/>
      <c r="WK86" s="48"/>
      <c r="AKN86">
        <v>500</v>
      </c>
      <c r="AKO86">
        <v>1</v>
      </c>
      <c r="AKR86">
        <v>1</v>
      </c>
      <c r="AKS86">
        <v>10</v>
      </c>
      <c r="AKT86">
        <v>39</v>
      </c>
      <c r="AKU86">
        <v>28</v>
      </c>
      <c r="AKV86">
        <v>0</v>
      </c>
      <c r="BCT86">
        <v>1</v>
      </c>
      <c r="BCU86">
        <v>999</v>
      </c>
      <c r="BCV86">
        <v>999</v>
      </c>
      <c r="BCW86">
        <v>0</v>
      </c>
      <c r="BCX86">
        <v>50</v>
      </c>
      <c r="BLY86">
        <v>500</v>
      </c>
      <c r="BLZ86">
        <v>1</v>
      </c>
      <c r="BMC86">
        <v>1</v>
      </c>
      <c r="BMD86">
        <v>999</v>
      </c>
      <c r="BME86">
        <v>999</v>
      </c>
      <c r="BMF86">
        <v>30</v>
      </c>
      <c r="BMG86">
        <v>0</v>
      </c>
      <c r="BSK86">
        <v>1</v>
      </c>
      <c r="BSL86">
        <v>360</v>
      </c>
      <c r="BSM86">
        <v>999</v>
      </c>
      <c r="BSN86">
        <v>13</v>
      </c>
      <c r="BSO86">
        <v>0</v>
      </c>
      <c r="BZO86">
        <v>1</v>
      </c>
      <c r="CJP86">
        <v>16</v>
      </c>
      <c r="CJQ86">
        <v>13</v>
      </c>
      <c r="CJR86">
        <v>0</v>
      </c>
      <c r="CJS86">
        <v>2</v>
      </c>
      <c r="CLU86">
        <v>1</v>
      </c>
      <c r="ECA86">
        <v>305</v>
      </c>
      <c r="ECB86">
        <v>305</v>
      </c>
      <c r="ECC86">
        <v>0</v>
      </c>
      <c r="ELQ86">
        <v>1</v>
      </c>
      <c r="EQF86">
        <v>1</v>
      </c>
      <c r="EQG86">
        <v>451</v>
      </c>
      <c r="EQH86">
        <v>420</v>
      </c>
      <c r="EQI86">
        <v>0</v>
      </c>
      <c r="EQJ86">
        <v>60</v>
      </c>
    </row>
    <row r="87" spans="1:984 1030:2043 2088:2582 3186:3855" x14ac:dyDescent="0.25">
      <c r="A87" s="48">
        <v>7076815</v>
      </c>
      <c r="AF87" s="48"/>
      <c r="AG87" s="48"/>
      <c r="AH87" s="48"/>
      <c r="AI87" s="48"/>
      <c r="AJ87" s="48"/>
      <c r="TR87">
        <v>75</v>
      </c>
      <c r="TS87">
        <v>1</v>
      </c>
      <c r="TV87">
        <v>1</v>
      </c>
      <c r="TY87">
        <v>610</v>
      </c>
      <c r="TZ87">
        <v>610</v>
      </c>
      <c r="UA87">
        <v>0</v>
      </c>
      <c r="UB87">
        <v>0</v>
      </c>
      <c r="WI87" s="48"/>
      <c r="WJ87" s="48"/>
      <c r="WK87" s="48"/>
      <c r="BCZ87">
        <v>80</v>
      </c>
      <c r="BDA87">
        <v>1</v>
      </c>
      <c r="BDD87">
        <v>1</v>
      </c>
      <c r="BDE87">
        <v>999</v>
      </c>
      <c r="BDF87">
        <v>999</v>
      </c>
      <c r="BDG87">
        <v>0</v>
      </c>
      <c r="BDH87">
        <v>0</v>
      </c>
      <c r="BQV87">
        <v>1</v>
      </c>
      <c r="BQW87">
        <v>999</v>
      </c>
      <c r="BQX87">
        <v>999</v>
      </c>
      <c r="BQY87">
        <v>0</v>
      </c>
      <c r="BQZ87">
        <v>0</v>
      </c>
      <c r="BSK87">
        <v>1</v>
      </c>
      <c r="BSL87">
        <v>750</v>
      </c>
      <c r="BSM87">
        <v>750</v>
      </c>
      <c r="BSN87">
        <v>0</v>
      </c>
      <c r="BSO87">
        <v>0</v>
      </c>
      <c r="CMJ87">
        <v>1</v>
      </c>
      <c r="CMK87">
        <v>999</v>
      </c>
      <c r="CML87" s="15">
        <v>999</v>
      </c>
      <c r="CMM87">
        <v>0</v>
      </c>
      <c r="CMN87">
        <v>0</v>
      </c>
      <c r="DTW87">
        <v>25</v>
      </c>
      <c r="DTX87">
        <v>1</v>
      </c>
      <c r="DUA87">
        <v>1</v>
      </c>
      <c r="DUB87">
        <v>999</v>
      </c>
      <c r="DUC87">
        <v>999</v>
      </c>
      <c r="DUD87">
        <v>0</v>
      </c>
      <c r="DUE87">
        <v>0</v>
      </c>
      <c r="DXT87">
        <v>1</v>
      </c>
      <c r="DXU87">
        <v>1</v>
      </c>
      <c r="DXX87">
        <v>1</v>
      </c>
      <c r="DXZ87">
        <v>999</v>
      </c>
      <c r="DYA87" s="15">
        <v>999</v>
      </c>
      <c r="DYB87">
        <v>0</v>
      </c>
      <c r="DYC87">
        <v>0</v>
      </c>
      <c r="EQF87">
        <v>1</v>
      </c>
      <c r="EQG87">
        <v>999</v>
      </c>
      <c r="EQH87" s="15">
        <v>999</v>
      </c>
      <c r="EQI87">
        <v>0</v>
      </c>
      <c r="EQJ87">
        <v>0</v>
      </c>
    </row>
    <row r="88" spans="1:984 1030:2043 2088:2582 3186:3855" x14ac:dyDescent="0.25">
      <c r="A88" s="48">
        <v>7089231</v>
      </c>
      <c r="AF88" s="48"/>
      <c r="AG88" s="48"/>
      <c r="AH88" s="48"/>
      <c r="AI88" s="48"/>
      <c r="AJ88" s="48"/>
      <c r="TQ88">
        <v>1</v>
      </c>
      <c r="WI88" s="48"/>
      <c r="WJ88" s="48"/>
      <c r="WK88" s="48"/>
    </row>
    <row r="89" spans="1:984 1030:2043 2088:2582 3186:3855" x14ac:dyDescent="0.25">
      <c r="A89" s="48">
        <v>7116004</v>
      </c>
      <c r="AF89" s="48"/>
      <c r="AG89" s="48"/>
      <c r="AH89" s="48"/>
      <c r="AI89" s="48"/>
      <c r="AJ89" s="48"/>
      <c r="TV89">
        <v>1</v>
      </c>
      <c r="TY89">
        <v>3</v>
      </c>
      <c r="TZ89">
        <v>6</v>
      </c>
      <c r="UA89">
        <v>4</v>
      </c>
      <c r="UB89">
        <v>0</v>
      </c>
      <c r="WI89" s="48"/>
      <c r="WJ89" s="48"/>
      <c r="WK89" s="48"/>
    </row>
    <row r="90" spans="1:984 1030:2043 2088:2582 3186:3855" x14ac:dyDescent="0.25">
      <c r="A90" s="48">
        <v>8003819</v>
      </c>
      <c r="AF90" s="48"/>
      <c r="AG90" s="48"/>
      <c r="AH90" s="48"/>
      <c r="AI90" s="48"/>
      <c r="AJ90" s="48"/>
      <c r="TQ90">
        <v>1</v>
      </c>
      <c r="WI90" s="48"/>
      <c r="WJ90" s="48"/>
      <c r="WK90" s="48"/>
    </row>
    <row r="91" spans="1:984 1030:2043 2088:2582 3186:3855" x14ac:dyDescent="0.25">
      <c r="A91" s="48">
        <v>8091779</v>
      </c>
      <c r="AF91" s="48"/>
      <c r="AG91" s="48"/>
      <c r="AH91" s="48"/>
      <c r="AI91" s="48"/>
      <c r="AJ91" s="48"/>
      <c r="TV91">
        <v>1</v>
      </c>
      <c r="TY91">
        <v>8</v>
      </c>
      <c r="WI91" s="48"/>
      <c r="WJ91" s="48"/>
      <c r="WK91" s="48"/>
    </row>
    <row r="92" spans="1:984 1030:2043 2088:2582 3186:3855" x14ac:dyDescent="0.25">
      <c r="A92" s="48">
        <v>8097989</v>
      </c>
      <c r="AF92" s="48"/>
      <c r="AG92" s="48"/>
      <c r="AH92" s="48"/>
      <c r="AI92" s="48"/>
      <c r="AJ92" s="48"/>
      <c r="TR92">
        <v>75</v>
      </c>
      <c r="TS92">
        <v>1</v>
      </c>
      <c r="WI92" s="48"/>
      <c r="WJ92" s="48"/>
      <c r="WK92" s="48"/>
      <c r="AHU92">
        <v>900</v>
      </c>
      <c r="AHV92">
        <v>3</v>
      </c>
    </row>
    <row r="93" spans="1:984 1030:2043 2088:2582 3186:3855" x14ac:dyDescent="0.25">
      <c r="A93" s="48">
        <v>8112522</v>
      </c>
      <c r="AF93" s="48"/>
      <c r="AG93" s="48"/>
      <c r="AH93" s="48"/>
      <c r="AI93" s="48"/>
      <c r="AJ93" s="48"/>
      <c r="TR93">
        <v>150</v>
      </c>
      <c r="TS93">
        <v>1</v>
      </c>
      <c r="TV93">
        <v>1</v>
      </c>
      <c r="TY93">
        <v>28</v>
      </c>
      <c r="TZ93">
        <v>21</v>
      </c>
      <c r="UA93">
        <v>0</v>
      </c>
      <c r="UB93">
        <v>6</v>
      </c>
      <c r="WI93" s="48"/>
      <c r="WJ93" s="48"/>
      <c r="WK93" s="48"/>
      <c r="AUX93">
        <v>1</v>
      </c>
      <c r="AUY93">
        <v>999</v>
      </c>
      <c r="AUZ93">
        <v>999</v>
      </c>
      <c r="AVA93">
        <v>0</v>
      </c>
      <c r="AVB93">
        <v>6</v>
      </c>
      <c r="AWW93">
        <v>1</v>
      </c>
      <c r="AWX93">
        <v>999</v>
      </c>
      <c r="AWY93" s="15">
        <v>999</v>
      </c>
      <c r="AWZ93">
        <v>0</v>
      </c>
      <c r="AXA93">
        <v>6</v>
      </c>
      <c r="AYJ93">
        <v>60</v>
      </c>
      <c r="AYK93">
        <v>1</v>
      </c>
      <c r="AYN93">
        <v>1</v>
      </c>
      <c r="AYO93">
        <v>999</v>
      </c>
      <c r="AYP93">
        <v>999</v>
      </c>
      <c r="AYQ93">
        <v>0</v>
      </c>
      <c r="AYR93" s="35">
        <v>999</v>
      </c>
      <c r="AZN93">
        <v>100</v>
      </c>
      <c r="AZO93">
        <v>1</v>
      </c>
      <c r="AZR93">
        <v>1</v>
      </c>
      <c r="AZS93">
        <v>999</v>
      </c>
      <c r="AZT93" s="15">
        <v>999</v>
      </c>
      <c r="AZU93">
        <v>0</v>
      </c>
      <c r="AZV93">
        <v>6</v>
      </c>
      <c r="BEO93">
        <v>2.5</v>
      </c>
      <c r="BEP93">
        <v>2</v>
      </c>
      <c r="BES93">
        <v>1</v>
      </c>
      <c r="BET93">
        <v>999</v>
      </c>
      <c r="BEU93" s="15">
        <v>999</v>
      </c>
      <c r="BEV93">
        <v>0</v>
      </c>
      <c r="BEW93">
        <v>6</v>
      </c>
      <c r="CBH93">
        <v>100</v>
      </c>
      <c r="CBI93">
        <v>2</v>
      </c>
      <c r="CBL93">
        <v>1</v>
      </c>
      <c r="CBM93">
        <v>999</v>
      </c>
      <c r="CBN93">
        <v>999</v>
      </c>
      <c r="CBO93">
        <v>0</v>
      </c>
      <c r="CBP93">
        <v>6</v>
      </c>
      <c r="CHD93">
        <v>2</v>
      </c>
      <c r="CHG93">
        <v>1</v>
      </c>
      <c r="CHH93">
        <v>999</v>
      </c>
      <c r="CHI93">
        <v>999</v>
      </c>
      <c r="CHJ93">
        <v>0</v>
      </c>
      <c r="CHK93" s="35">
        <v>999</v>
      </c>
      <c r="CMZ93">
        <v>10</v>
      </c>
      <c r="CND93">
        <v>1</v>
      </c>
      <c r="CNE93">
        <v>999</v>
      </c>
      <c r="CNF93" s="15">
        <v>999</v>
      </c>
      <c r="CNG93">
        <v>0</v>
      </c>
      <c r="CNH93">
        <v>6</v>
      </c>
      <c r="CSL93">
        <v>125</v>
      </c>
      <c r="CSM93">
        <v>2</v>
      </c>
      <c r="CSN93">
        <v>1</v>
      </c>
      <c r="CSQ93">
        <v>999</v>
      </c>
      <c r="CSR93" s="15">
        <v>999</v>
      </c>
      <c r="CSS93">
        <v>0</v>
      </c>
      <c r="CST93">
        <v>8</v>
      </c>
      <c r="CUB93">
        <v>1</v>
      </c>
      <c r="CUE93">
        <v>999</v>
      </c>
      <c r="CUF93" s="15">
        <v>999</v>
      </c>
      <c r="CUG93">
        <v>0</v>
      </c>
      <c r="CUH93">
        <v>8</v>
      </c>
      <c r="EPJ93">
        <v>1</v>
      </c>
      <c r="EPK93">
        <v>999</v>
      </c>
      <c r="EPL93" s="15">
        <v>999</v>
      </c>
      <c r="EPM93">
        <v>0</v>
      </c>
      <c r="EPN93">
        <v>6</v>
      </c>
      <c r="ERG93">
        <v>1</v>
      </c>
    </row>
    <row r="94" spans="1:984 1030:2043 2088:2582 3186:3855" x14ac:dyDescent="0.25">
      <c r="A94" s="48">
        <v>8127397</v>
      </c>
      <c r="AF94" s="48"/>
      <c r="AG94" s="48"/>
      <c r="AH94" s="48"/>
      <c r="AI94" s="48"/>
      <c r="AJ94" s="48"/>
      <c r="TR94">
        <v>150</v>
      </c>
      <c r="TS94">
        <v>1</v>
      </c>
      <c r="TV94">
        <v>1</v>
      </c>
      <c r="TY94">
        <v>2</v>
      </c>
      <c r="TZ94">
        <v>1</v>
      </c>
      <c r="UA94">
        <v>0</v>
      </c>
      <c r="UB94">
        <v>0</v>
      </c>
      <c r="WI94" s="48"/>
      <c r="WJ94" s="48"/>
      <c r="WK94" s="48"/>
    </row>
    <row r="95" spans="1:984 1030:2043 2088:2582 3186:3855" x14ac:dyDescent="0.25">
      <c r="A95" s="48">
        <v>8130998</v>
      </c>
      <c r="AF95" s="48"/>
      <c r="AG95" s="48"/>
      <c r="AH95" s="48"/>
      <c r="AI95" s="48"/>
      <c r="AJ95" s="48"/>
      <c r="TV95">
        <v>1</v>
      </c>
      <c r="TY95">
        <v>999</v>
      </c>
      <c r="TZ95">
        <v>2</v>
      </c>
      <c r="UA95">
        <v>0</v>
      </c>
      <c r="UB95" s="35">
        <v>999</v>
      </c>
      <c r="WI95" s="48"/>
      <c r="WJ95" s="48"/>
      <c r="WK95" s="48"/>
      <c r="AMP95">
        <v>1</v>
      </c>
      <c r="ERG95">
        <v>1</v>
      </c>
    </row>
    <row r="96" spans="1:984 1030:2043 2088:2582 3186:3855" x14ac:dyDescent="0.25">
      <c r="A96" s="48">
        <v>9002836</v>
      </c>
      <c r="AF96" s="48"/>
      <c r="AG96" s="48"/>
      <c r="AH96" s="48"/>
      <c r="AI96" s="48"/>
      <c r="AJ96" s="48"/>
      <c r="WI96" s="48"/>
      <c r="WJ96" s="48"/>
      <c r="WK96" s="48"/>
    </row>
    <row r="97" spans="1:903 1112:2046 2049:3068 3186:3863" x14ac:dyDescent="0.25">
      <c r="A97" s="48">
        <v>9003331</v>
      </c>
      <c r="AF97" s="48"/>
      <c r="AG97" s="48"/>
      <c r="AH97" s="48"/>
      <c r="AI97" s="48"/>
      <c r="AJ97" s="48"/>
      <c r="WI97" s="48"/>
      <c r="WJ97" s="48"/>
      <c r="WK97" s="48"/>
    </row>
    <row r="98" spans="1:903 1112:2046 2049:3068 3186:3863" x14ac:dyDescent="0.25">
      <c r="A98" s="48">
        <v>9003370</v>
      </c>
      <c r="AF98" s="48"/>
      <c r="AG98" s="48"/>
      <c r="AH98" s="48"/>
      <c r="AI98" s="48"/>
      <c r="AJ98" s="48"/>
      <c r="BQ98">
        <v>139</v>
      </c>
      <c r="CW98">
        <v>4.2</v>
      </c>
      <c r="DZ98">
        <v>2.2400000000000002</v>
      </c>
      <c r="TR98">
        <v>50</v>
      </c>
      <c r="TS98">
        <v>1</v>
      </c>
      <c r="TV98">
        <v>1</v>
      </c>
      <c r="TY98">
        <v>1</v>
      </c>
      <c r="TZ98">
        <v>0</v>
      </c>
      <c r="UA98">
        <v>0</v>
      </c>
      <c r="UB98">
        <v>0</v>
      </c>
      <c r="VC98">
        <v>100</v>
      </c>
      <c r="VD98">
        <v>1</v>
      </c>
      <c r="VG98">
        <v>1</v>
      </c>
      <c r="WI98" s="48"/>
      <c r="WJ98" s="48"/>
      <c r="WK98" s="48"/>
      <c r="BIA98">
        <v>5</v>
      </c>
      <c r="BIB98">
        <v>1</v>
      </c>
      <c r="BIE98">
        <v>1</v>
      </c>
      <c r="BNN98">
        <v>40</v>
      </c>
      <c r="BNO98">
        <v>1</v>
      </c>
      <c r="BNR98">
        <v>1</v>
      </c>
      <c r="BQR98">
        <v>47.5</v>
      </c>
      <c r="BQS98">
        <v>1</v>
      </c>
      <c r="BQV98">
        <v>1</v>
      </c>
      <c r="BWU98">
        <v>20</v>
      </c>
      <c r="BWV98">
        <v>1</v>
      </c>
      <c r="BWY98">
        <v>1</v>
      </c>
      <c r="CAM98">
        <v>48</v>
      </c>
      <c r="CAQ98">
        <v>1</v>
      </c>
    </row>
    <row r="99" spans="1:903 1112:2046 2049:3068 3186:3863" x14ac:dyDescent="0.25">
      <c r="A99" s="48">
        <v>9016278</v>
      </c>
      <c r="AF99" s="48"/>
      <c r="AG99" s="48"/>
      <c r="AH99" s="48"/>
      <c r="AI99" s="48"/>
      <c r="AJ99" s="48"/>
      <c r="FT99">
        <v>748</v>
      </c>
      <c r="FU99" s="10"/>
      <c r="FV99" s="10"/>
      <c r="TV99">
        <v>1</v>
      </c>
      <c r="VC99">
        <v>100</v>
      </c>
      <c r="WI99" s="48"/>
      <c r="WJ99" s="48"/>
      <c r="WK99" s="48"/>
      <c r="CAQ99">
        <v>1</v>
      </c>
      <c r="ELF99">
        <v>1</v>
      </c>
    </row>
    <row r="100" spans="1:903 1112:2046 2049:3068 3186:3863" x14ac:dyDescent="0.25">
      <c r="A100" s="48">
        <v>9030684</v>
      </c>
      <c r="AF100" s="48"/>
      <c r="AG100" s="48"/>
      <c r="AH100" s="48"/>
      <c r="AI100" s="48"/>
      <c r="AJ100" s="48"/>
      <c r="TV100">
        <v>1</v>
      </c>
      <c r="VC100">
        <v>100</v>
      </c>
      <c r="VG100">
        <v>1</v>
      </c>
      <c r="WI100" s="48"/>
      <c r="WJ100" s="48"/>
      <c r="WK100" s="48"/>
      <c r="CAQ100">
        <v>1</v>
      </c>
      <c r="ELF100">
        <v>1</v>
      </c>
    </row>
    <row r="101" spans="1:903 1112:2046 2049:3068 3186:3863" x14ac:dyDescent="0.25">
      <c r="A101" s="48">
        <v>9031387</v>
      </c>
      <c r="AF101" s="48"/>
      <c r="AG101" s="48"/>
      <c r="AH101" s="48"/>
      <c r="AI101" s="48"/>
      <c r="AJ101" s="48"/>
      <c r="CH101">
        <v>142</v>
      </c>
      <c r="DM101">
        <v>3.75</v>
      </c>
      <c r="EM101">
        <v>2.5299999999999998</v>
      </c>
      <c r="FD101">
        <v>106</v>
      </c>
      <c r="TR101">
        <v>75</v>
      </c>
      <c r="TS101">
        <v>1</v>
      </c>
      <c r="TV101">
        <v>1</v>
      </c>
      <c r="TY101">
        <v>42</v>
      </c>
      <c r="TZ101">
        <v>21</v>
      </c>
      <c r="UA101">
        <v>0</v>
      </c>
      <c r="UB101">
        <v>20</v>
      </c>
      <c r="WI101" s="48"/>
      <c r="WJ101" s="48"/>
      <c r="WK101" s="48"/>
      <c r="YS101">
        <v>7.5</v>
      </c>
      <c r="YT101">
        <v>1</v>
      </c>
      <c r="YW101">
        <v>1</v>
      </c>
      <c r="YX101">
        <v>999</v>
      </c>
      <c r="YY101">
        <v>999</v>
      </c>
      <c r="YZ101">
        <v>0</v>
      </c>
      <c r="ZA101" s="35">
        <v>999</v>
      </c>
      <c r="BIU101">
        <v>10</v>
      </c>
      <c r="BIV101">
        <v>1</v>
      </c>
      <c r="BIY101">
        <v>1</v>
      </c>
      <c r="BIZ101">
        <v>999</v>
      </c>
      <c r="BJA101">
        <v>999</v>
      </c>
      <c r="BJB101">
        <v>0</v>
      </c>
      <c r="BJC101" s="35">
        <v>999</v>
      </c>
      <c r="BRV101">
        <v>320</v>
      </c>
      <c r="BRW101">
        <v>1</v>
      </c>
      <c r="BRZ101">
        <v>1</v>
      </c>
      <c r="BSA101">
        <v>999</v>
      </c>
      <c r="BSB101">
        <v>213</v>
      </c>
      <c r="BSC101">
        <v>0</v>
      </c>
      <c r="BSD101" s="35">
        <v>999</v>
      </c>
      <c r="BSG101">
        <v>1.5</v>
      </c>
      <c r="BSH101">
        <v>1</v>
      </c>
      <c r="BSK101">
        <v>1</v>
      </c>
      <c r="BSL101">
        <v>999</v>
      </c>
      <c r="BSM101">
        <v>999</v>
      </c>
      <c r="BSN101">
        <v>16</v>
      </c>
      <c r="BWU101">
        <v>10</v>
      </c>
      <c r="BWV101">
        <v>1</v>
      </c>
      <c r="BWY101">
        <v>1</v>
      </c>
      <c r="CHC101">
        <v>40</v>
      </c>
      <c r="CHD101">
        <v>1</v>
      </c>
      <c r="CHG101">
        <v>1</v>
      </c>
      <c r="CHH101">
        <v>999</v>
      </c>
      <c r="CHI101">
        <v>999</v>
      </c>
      <c r="CHJ101">
        <v>0</v>
      </c>
      <c r="CHK101" s="35">
        <v>999</v>
      </c>
      <c r="DUQ101">
        <v>125</v>
      </c>
      <c r="DUR101">
        <v>1</v>
      </c>
      <c r="DUU101">
        <v>1</v>
      </c>
      <c r="DUV101">
        <v>999</v>
      </c>
      <c r="DUW101">
        <v>999</v>
      </c>
      <c r="DUX101">
        <v>0</v>
      </c>
      <c r="DUY101" s="35">
        <v>999</v>
      </c>
    </row>
    <row r="102" spans="1:903 1112:2046 2049:3068 3186:3863" x14ac:dyDescent="0.25">
      <c r="A102" s="48">
        <v>9038676</v>
      </c>
      <c r="AF102" s="48"/>
      <c r="AG102" s="48"/>
      <c r="AH102" s="48"/>
      <c r="AI102" s="48"/>
      <c r="AJ102" s="48"/>
      <c r="BQ102">
        <v>140</v>
      </c>
      <c r="BS102">
        <v>145</v>
      </c>
      <c r="CW102">
        <v>3.7</v>
      </c>
      <c r="CY102">
        <v>4.4000000000000004</v>
      </c>
      <c r="TR102">
        <v>75</v>
      </c>
      <c r="TS102">
        <v>1</v>
      </c>
      <c r="TV102">
        <v>1</v>
      </c>
      <c r="TY102">
        <v>999</v>
      </c>
      <c r="TZ102">
        <v>999</v>
      </c>
      <c r="UA102">
        <v>0</v>
      </c>
      <c r="UB102" s="35">
        <v>999</v>
      </c>
      <c r="WI102" s="48"/>
      <c r="WJ102" s="48"/>
      <c r="WK102" s="48"/>
      <c r="BCP102">
        <v>16</v>
      </c>
      <c r="BCQ102">
        <v>1</v>
      </c>
      <c r="BCT102">
        <v>1</v>
      </c>
      <c r="BIA102">
        <v>3</v>
      </c>
      <c r="BIB102">
        <v>2</v>
      </c>
      <c r="BIE102">
        <v>1</v>
      </c>
      <c r="BLY102">
        <v>0.05</v>
      </c>
      <c r="BLZ102">
        <v>1</v>
      </c>
      <c r="BMC102">
        <v>1</v>
      </c>
      <c r="BPC102">
        <v>200</v>
      </c>
      <c r="BPD102">
        <v>1</v>
      </c>
      <c r="BPG102">
        <v>1</v>
      </c>
      <c r="BPH102">
        <v>999</v>
      </c>
      <c r="BPI102">
        <v>999</v>
      </c>
      <c r="BPJ102">
        <v>0</v>
      </c>
      <c r="BPK102" s="35">
        <v>999</v>
      </c>
      <c r="BPM102">
        <v>120</v>
      </c>
      <c r="BPN102">
        <v>2</v>
      </c>
      <c r="BPQ102">
        <v>1</v>
      </c>
      <c r="BPR102">
        <v>999</v>
      </c>
      <c r="BPS102">
        <v>999</v>
      </c>
      <c r="BPT102">
        <v>0</v>
      </c>
      <c r="BPU102" s="35">
        <v>999</v>
      </c>
      <c r="BSG102">
        <v>1.5</v>
      </c>
      <c r="BSH102">
        <v>1</v>
      </c>
      <c r="BSK102">
        <v>1</v>
      </c>
      <c r="BSL102">
        <v>999</v>
      </c>
      <c r="BSM102">
        <v>999</v>
      </c>
      <c r="BSN102">
        <v>0</v>
      </c>
      <c r="BSO102">
        <v>0</v>
      </c>
      <c r="CHM102">
        <v>40</v>
      </c>
      <c r="CHN102">
        <v>1</v>
      </c>
      <c r="CHQ102">
        <v>1</v>
      </c>
      <c r="CHR102">
        <v>999</v>
      </c>
      <c r="CHS102">
        <v>999</v>
      </c>
      <c r="CHT102">
        <v>0</v>
      </c>
      <c r="CHU102" s="35">
        <v>999</v>
      </c>
      <c r="DTW102">
        <v>125</v>
      </c>
      <c r="DTX102">
        <v>1</v>
      </c>
    </row>
    <row r="103" spans="1:903 1112:2046 2049:3068 3186:3863" x14ac:dyDescent="0.25">
      <c r="A103" s="48">
        <v>9039416</v>
      </c>
      <c r="Q103" s="3">
        <v>33.033700000000003</v>
      </c>
      <c r="R103" s="3"/>
      <c r="S103" s="3"/>
      <c r="T103" s="3"/>
      <c r="U103" s="3"/>
      <c r="V103" s="3"/>
      <c r="W103" s="3"/>
      <c r="X103" s="3"/>
      <c r="Y103" s="3"/>
      <c r="AF103" s="48"/>
      <c r="AG103" s="48"/>
      <c r="AH103" s="48"/>
      <c r="AI103" s="48"/>
      <c r="AJ103" s="48"/>
      <c r="BU103">
        <v>128</v>
      </c>
      <c r="BV103">
        <v>132</v>
      </c>
      <c r="DA103">
        <v>5.0999999999999996</v>
      </c>
      <c r="DB103">
        <v>4.7</v>
      </c>
      <c r="EE103">
        <v>2.1</v>
      </c>
      <c r="TR103">
        <v>75</v>
      </c>
      <c r="TS103">
        <v>1</v>
      </c>
      <c r="TV103">
        <v>1</v>
      </c>
      <c r="TY103">
        <v>30</v>
      </c>
      <c r="TZ103">
        <v>30</v>
      </c>
      <c r="UA103">
        <v>0</v>
      </c>
      <c r="UB103">
        <v>3</v>
      </c>
      <c r="WI103" s="48">
        <v>500</v>
      </c>
      <c r="WJ103" s="48">
        <v>3</v>
      </c>
      <c r="WK103" s="48"/>
      <c r="WM103">
        <v>1</v>
      </c>
      <c r="WN103" s="35">
        <v>999</v>
      </c>
      <c r="WO103">
        <v>30</v>
      </c>
      <c r="WP103">
        <v>1</v>
      </c>
      <c r="WQ103">
        <v>999</v>
      </c>
      <c r="ADM103" t="s">
        <v>851</v>
      </c>
      <c r="ADN103">
        <v>0.33329999999999999</v>
      </c>
      <c r="ADQ103">
        <v>1</v>
      </c>
      <c r="BBL103">
        <v>10</v>
      </c>
      <c r="BBM103">
        <v>1</v>
      </c>
      <c r="BBP103">
        <v>1</v>
      </c>
      <c r="BBQ103" s="35">
        <v>999</v>
      </c>
      <c r="BBR103">
        <v>999</v>
      </c>
      <c r="BBS103">
        <v>0</v>
      </c>
      <c r="BBT103">
        <v>999</v>
      </c>
      <c r="BSQ103">
        <v>3000</v>
      </c>
      <c r="BSR103">
        <v>1</v>
      </c>
      <c r="BSU103">
        <v>1</v>
      </c>
      <c r="BSW103">
        <v>30</v>
      </c>
      <c r="BSX103">
        <v>30</v>
      </c>
      <c r="BSY103">
        <v>0</v>
      </c>
      <c r="BSZ103">
        <v>3</v>
      </c>
      <c r="BUU103">
        <v>75</v>
      </c>
      <c r="BUV103">
        <v>1</v>
      </c>
      <c r="BUY103">
        <v>1</v>
      </c>
      <c r="BUZ103">
        <v>214</v>
      </c>
      <c r="BVA103">
        <v>183</v>
      </c>
      <c r="BVB103">
        <v>0</v>
      </c>
      <c r="BVC103">
        <v>1</v>
      </c>
      <c r="CHC103">
        <v>40</v>
      </c>
      <c r="CHD103">
        <v>1</v>
      </c>
      <c r="CHG103">
        <v>1</v>
      </c>
      <c r="CHH103" s="35">
        <v>999</v>
      </c>
      <c r="CHI103">
        <v>30</v>
      </c>
      <c r="CHJ103">
        <v>0</v>
      </c>
      <c r="CHK103">
        <v>999</v>
      </c>
      <c r="DGM103">
        <v>25</v>
      </c>
      <c r="DGN103">
        <v>1</v>
      </c>
      <c r="DGQ103">
        <v>1</v>
      </c>
      <c r="DGR103">
        <v>999</v>
      </c>
      <c r="DGS103">
        <v>183</v>
      </c>
      <c r="DGT103">
        <v>0</v>
      </c>
      <c r="DGU103" s="35">
        <v>999</v>
      </c>
      <c r="DMR103">
        <v>10</v>
      </c>
      <c r="DMS103">
        <v>1</v>
      </c>
      <c r="DMV103">
        <v>1</v>
      </c>
      <c r="DMW103" s="35">
        <v>999</v>
      </c>
      <c r="DMX103">
        <v>183</v>
      </c>
      <c r="DMY103">
        <v>0</v>
      </c>
      <c r="DMZ103">
        <v>999</v>
      </c>
      <c r="EHZ103">
        <v>50</v>
      </c>
      <c r="EIA103">
        <v>1</v>
      </c>
      <c r="EID103">
        <v>1</v>
      </c>
      <c r="EIE103">
        <v>70</v>
      </c>
      <c r="EIF103">
        <v>66</v>
      </c>
      <c r="EIG103">
        <v>0</v>
      </c>
      <c r="EIH103">
        <v>3</v>
      </c>
      <c r="EPF103">
        <v>20000</v>
      </c>
      <c r="EPG103">
        <v>1</v>
      </c>
      <c r="EPJ103">
        <v>1</v>
      </c>
      <c r="EPK103">
        <v>30</v>
      </c>
      <c r="EPL103">
        <v>30</v>
      </c>
      <c r="EPM103">
        <v>0</v>
      </c>
      <c r="EPN103">
        <v>1</v>
      </c>
    </row>
    <row r="104" spans="1:903 1112:2046 2049:3068 3186:3863" x14ac:dyDescent="0.25">
      <c r="A104" s="48">
        <v>9042861</v>
      </c>
      <c r="AF104" s="48"/>
      <c r="AG104" s="48"/>
      <c r="AH104" s="48"/>
      <c r="AI104" s="48"/>
      <c r="AJ104" s="48"/>
      <c r="TR104">
        <v>100</v>
      </c>
      <c r="TS104">
        <v>1</v>
      </c>
      <c r="TW104">
        <v>1</v>
      </c>
      <c r="TY104">
        <v>12</v>
      </c>
      <c r="TZ104">
        <v>8</v>
      </c>
      <c r="UA104">
        <v>0</v>
      </c>
      <c r="UB104">
        <v>3</v>
      </c>
      <c r="UE104">
        <v>400</v>
      </c>
      <c r="UF104">
        <v>1</v>
      </c>
      <c r="UI104">
        <v>1</v>
      </c>
      <c r="UK104">
        <v>10</v>
      </c>
      <c r="UL104">
        <v>17</v>
      </c>
      <c r="UM104">
        <v>8</v>
      </c>
      <c r="UN104">
        <v>0</v>
      </c>
      <c r="WI104" s="48"/>
      <c r="WJ104" s="48"/>
      <c r="WK104" s="48"/>
      <c r="ACS104">
        <v>30</v>
      </c>
      <c r="ACT104">
        <v>1</v>
      </c>
      <c r="ACW104">
        <v>1</v>
      </c>
      <c r="ACX104">
        <v>12</v>
      </c>
      <c r="ACY104">
        <v>8</v>
      </c>
      <c r="ACZ104">
        <v>0</v>
      </c>
      <c r="ADA104">
        <v>3</v>
      </c>
      <c r="BVP104">
        <v>40</v>
      </c>
      <c r="BVQ104">
        <v>1</v>
      </c>
      <c r="BVT104">
        <v>1</v>
      </c>
      <c r="BVV104" s="35">
        <v>999</v>
      </c>
      <c r="BVW104">
        <v>17</v>
      </c>
      <c r="BVX104">
        <v>0</v>
      </c>
      <c r="BVY104">
        <v>999</v>
      </c>
      <c r="CHC104">
        <v>40</v>
      </c>
      <c r="CHD104">
        <v>1</v>
      </c>
      <c r="CHG104">
        <v>1</v>
      </c>
      <c r="CHH104">
        <v>21</v>
      </c>
      <c r="CHI104">
        <v>17</v>
      </c>
      <c r="CHJ104">
        <v>0</v>
      </c>
      <c r="CHK104">
        <v>3</v>
      </c>
    </row>
    <row r="105" spans="1:903 1112:2046 2049:3068 3186:3863" x14ac:dyDescent="0.25">
      <c r="A105" s="48">
        <v>9044899</v>
      </c>
      <c r="AF105" s="48"/>
      <c r="AG105" s="48"/>
      <c r="AH105" s="48"/>
      <c r="AI105" s="48"/>
      <c r="AJ105" s="48"/>
      <c r="TR105">
        <v>150</v>
      </c>
      <c r="TS105">
        <v>1</v>
      </c>
      <c r="TY105">
        <v>20</v>
      </c>
      <c r="TZ105">
        <v>22</v>
      </c>
      <c r="UA105">
        <v>3</v>
      </c>
      <c r="UB105">
        <v>0</v>
      </c>
      <c r="WI105" s="48"/>
      <c r="WJ105" s="48">
        <v>1</v>
      </c>
      <c r="WK105" s="48"/>
      <c r="WN105">
        <v>20</v>
      </c>
      <c r="WO105">
        <v>22</v>
      </c>
      <c r="WP105">
        <v>3</v>
      </c>
      <c r="WQ105">
        <v>0</v>
      </c>
      <c r="ABX105">
        <v>30</v>
      </c>
      <c r="ABY105">
        <v>1</v>
      </c>
      <c r="BUI105">
        <v>1</v>
      </c>
      <c r="BVE105">
        <v>10</v>
      </c>
      <c r="BVF105">
        <v>1</v>
      </c>
      <c r="BVI105">
        <v>1</v>
      </c>
      <c r="BVJ105">
        <v>22</v>
      </c>
      <c r="BVK105">
        <v>22</v>
      </c>
      <c r="BVL105">
        <v>1</v>
      </c>
      <c r="BVM105">
        <v>0</v>
      </c>
      <c r="CHC105">
        <v>40</v>
      </c>
      <c r="CHD105">
        <v>1</v>
      </c>
      <c r="CHH105">
        <v>20</v>
      </c>
      <c r="CHI105">
        <v>22</v>
      </c>
      <c r="CHJ105">
        <v>3</v>
      </c>
      <c r="CHK105">
        <v>0</v>
      </c>
      <c r="DVV105">
        <v>150</v>
      </c>
      <c r="DVW105">
        <v>1</v>
      </c>
      <c r="DWA105">
        <v>20</v>
      </c>
      <c r="DWB105">
        <v>22</v>
      </c>
      <c r="DWC105">
        <v>3</v>
      </c>
    </row>
    <row r="106" spans="1:903 1112:2046 2049:3068 3186:3863" x14ac:dyDescent="0.25">
      <c r="A106" s="48">
        <v>9052398</v>
      </c>
      <c r="AF106" s="48"/>
      <c r="AG106" s="48"/>
      <c r="AH106" s="48"/>
      <c r="AI106" s="48"/>
      <c r="AJ106" s="48"/>
      <c r="BQ106">
        <v>138</v>
      </c>
      <c r="CW106">
        <v>3.88</v>
      </c>
      <c r="EM106">
        <v>3.41</v>
      </c>
      <c r="TR106">
        <v>50</v>
      </c>
      <c r="TS106">
        <v>1</v>
      </c>
      <c r="TV106">
        <v>1</v>
      </c>
      <c r="TY106">
        <v>732</v>
      </c>
      <c r="WI106" s="48"/>
      <c r="WJ106" s="48"/>
      <c r="WK106" s="48"/>
      <c r="AFB106">
        <v>10</v>
      </c>
      <c r="AFC106">
        <v>1</v>
      </c>
      <c r="AFF106">
        <v>1</v>
      </c>
      <c r="AFG106" s="35">
        <v>999</v>
      </c>
      <c r="AFH106">
        <v>122</v>
      </c>
      <c r="AFI106">
        <v>0</v>
      </c>
      <c r="AFJ106">
        <v>999</v>
      </c>
      <c r="AHK106">
        <v>875</v>
      </c>
      <c r="AHL106">
        <v>2</v>
      </c>
      <c r="AHO106">
        <v>1</v>
      </c>
      <c r="AHP106">
        <v>11</v>
      </c>
      <c r="AHQ106">
        <v>20</v>
      </c>
      <c r="AHR106">
        <v>9</v>
      </c>
      <c r="AHS106">
        <v>0</v>
      </c>
      <c r="BND106">
        <v>25</v>
      </c>
      <c r="BNE106">
        <v>1</v>
      </c>
      <c r="BNH106">
        <v>1</v>
      </c>
      <c r="BNI106" s="35">
        <v>999</v>
      </c>
      <c r="BNJ106">
        <v>244</v>
      </c>
      <c r="BNK106">
        <v>0</v>
      </c>
      <c r="BNL106">
        <v>999</v>
      </c>
      <c r="BRL106">
        <v>100</v>
      </c>
      <c r="BRM106">
        <v>1</v>
      </c>
      <c r="BRP106">
        <v>1</v>
      </c>
      <c r="BRQ106" s="35">
        <v>999</v>
      </c>
      <c r="BRR106">
        <v>244</v>
      </c>
      <c r="BRS106">
        <v>0</v>
      </c>
      <c r="BRT106">
        <v>999</v>
      </c>
      <c r="BSQ106">
        <v>3000</v>
      </c>
      <c r="BSR106">
        <v>1</v>
      </c>
      <c r="BSU106">
        <v>1</v>
      </c>
      <c r="BSW106" s="35">
        <v>999</v>
      </c>
      <c r="BSX106">
        <v>244</v>
      </c>
      <c r="BSY106">
        <v>0</v>
      </c>
      <c r="BSZ106">
        <v>999</v>
      </c>
      <c r="BWU106">
        <v>40</v>
      </c>
      <c r="BWV106">
        <v>1</v>
      </c>
      <c r="BWY106">
        <v>1</v>
      </c>
      <c r="BWZ106">
        <v>580</v>
      </c>
      <c r="BXA106">
        <v>580</v>
      </c>
      <c r="BXB106">
        <v>0</v>
      </c>
      <c r="BXC106">
        <v>0</v>
      </c>
      <c r="CAM106">
        <v>100</v>
      </c>
      <c r="CAN106">
        <v>1</v>
      </c>
      <c r="CAQ106">
        <v>1</v>
      </c>
      <c r="CAS106" s="35">
        <v>999</v>
      </c>
      <c r="CAT106">
        <v>244</v>
      </c>
      <c r="CAU106">
        <v>0</v>
      </c>
      <c r="CAV106">
        <v>999</v>
      </c>
      <c r="CHM106">
        <v>40</v>
      </c>
      <c r="CHN106">
        <v>1</v>
      </c>
      <c r="CHQ106">
        <v>1</v>
      </c>
      <c r="CHR106" s="35">
        <v>999</v>
      </c>
      <c r="CHS106">
        <v>244</v>
      </c>
      <c r="CHT106">
        <v>0</v>
      </c>
      <c r="CHU106">
        <v>999</v>
      </c>
      <c r="ERJ106">
        <v>1</v>
      </c>
    </row>
    <row r="107" spans="1:903 1112:2046 2049:3068 3186:3863" x14ac:dyDescent="0.25">
      <c r="A107" s="48">
        <v>9085204</v>
      </c>
      <c r="AF107" s="48"/>
      <c r="AG107" s="48"/>
      <c r="AH107" s="48"/>
      <c r="AI107" s="48"/>
      <c r="AJ107" s="48"/>
      <c r="TR107">
        <v>150</v>
      </c>
      <c r="TS107">
        <v>1</v>
      </c>
      <c r="TY107">
        <v>153</v>
      </c>
      <c r="TZ107">
        <v>151</v>
      </c>
      <c r="UA107">
        <v>0</v>
      </c>
      <c r="UB107">
        <v>3</v>
      </c>
      <c r="WI107" s="48"/>
      <c r="WJ107" s="48"/>
      <c r="WK107" s="48"/>
    </row>
    <row r="108" spans="1:903 1112:2046 2049:3068 3186:3863" x14ac:dyDescent="0.25">
      <c r="A108" s="48">
        <v>9090323</v>
      </c>
      <c r="AF108" s="48"/>
      <c r="AG108" s="48"/>
      <c r="AH108" s="48"/>
      <c r="AI108" s="48"/>
      <c r="AJ108" s="48"/>
      <c r="TR108">
        <v>150</v>
      </c>
      <c r="TS108">
        <v>1</v>
      </c>
      <c r="TV108">
        <v>1</v>
      </c>
      <c r="TY108">
        <v>3</v>
      </c>
      <c r="TZ108">
        <v>5</v>
      </c>
      <c r="UA108">
        <v>3</v>
      </c>
      <c r="UB108">
        <v>0</v>
      </c>
      <c r="UE108">
        <v>600</v>
      </c>
      <c r="UF108">
        <v>1</v>
      </c>
      <c r="UI108">
        <v>1</v>
      </c>
      <c r="UK108">
        <v>732</v>
      </c>
      <c r="UM108">
        <v>9</v>
      </c>
      <c r="UN108">
        <v>0</v>
      </c>
      <c r="UQ108">
        <v>1500</v>
      </c>
      <c r="UR108">
        <v>1</v>
      </c>
      <c r="UU108">
        <v>1</v>
      </c>
      <c r="UW108">
        <v>2</v>
      </c>
      <c r="UX108">
        <v>4</v>
      </c>
      <c r="UY108">
        <v>3</v>
      </c>
      <c r="UZ108">
        <v>0</v>
      </c>
      <c r="WI108" s="48">
        <v>1500</v>
      </c>
      <c r="WJ108" s="48">
        <v>1</v>
      </c>
      <c r="WK108" s="48"/>
      <c r="WM108">
        <v>1</v>
      </c>
      <c r="WN108">
        <v>2</v>
      </c>
      <c r="WO108">
        <v>4</v>
      </c>
      <c r="WP108">
        <v>3</v>
      </c>
      <c r="ZR108">
        <v>1</v>
      </c>
      <c r="ZT108">
        <v>7</v>
      </c>
      <c r="ZU108">
        <v>6</v>
      </c>
      <c r="ZV108">
        <v>0</v>
      </c>
      <c r="ZW108">
        <v>0</v>
      </c>
      <c r="AQJ108">
        <v>1.5</v>
      </c>
      <c r="AQK108">
        <v>1</v>
      </c>
      <c r="AQL108">
        <v>1</v>
      </c>
      <c r="AQO108">
        <v>1</v>
      </c>
      <c r="AQP108">
        <v>6</v>
      </c>
      <c r="AQQ108">
        <v>6</v>
      </c>
      <c r="AQR108">
        <v>0</v>
      </c>
      <c r="BIB108">
        <v>1</v>
      </c>
      <c r="BIE108">
        <v>1</v>
      </c>
      <c r="BIF108" s="35">
        <v>999</v>
      </c>
      <c r="BIG108">
        <v>999</v>
      </c>
      <c r="BIH108">
        <v>0</v>
      </c>
      <c r="BII108">
        <v>999</v>
      </c>
      <c r="CHM108">
        <v>40</v>
      </c>
      <c r="CHN108">
        <v>1</v>
      </c>
      <c r="CHR108" s="35">
        <v>999</v>
      </c>
      <c r="CHS108">
        <v>5</v>
      </c>
      <c r="CHT108">
        <v>0</v>
      </c>
      <c r="CHU108">
        <v>999</v>
      </c>
      <c r="CPG108">
        <v>2</v>
      </c>
      <c r="CPH108">
        <v>1</v>
      </c>
      <c r="CPK108">
        <v>1</v>
      </c>
      <c r="CPM108">
        <v>7</v>
      </c>
      <c r="CPN108">
        <v>6</v>
      </c>
      <c r="CPO108">
        <v>0</v>
      </c>
      <c r="CPP108">
        <v>0</v>
      </c>
      <c r="ERO108">
        <v>1</v>
      </c>
    </row>
    <row r="109" spans="1:903 1112:2046 2049:3068 3186:3863" x14ac:dyDescent="0.25">
      <c r="A109" s="48">
        <v>9105492</v>
      </c>
      <c r="AF109" s="48"/>
      <c r="AG109" s="48"/>
      <c r="AH109" s="48"/>
      <c r="AI109" s="48"/>
      <c r="AJ109" s="48"/>
      <c r="TV109">
        <v>1</v>
      </c>
      <c r="TY109">
        <v>732</v>
      </c>
      <c r="TZ109">
        <v>732</v>
      </c>
      <c r="UA109">
        <v>1</v>
      </c>
      <c r="UB109">
        <v>0</v>
      </c>
      <c r="VC109">
        <v>100</v>
      </c>
      <c r="VD109">
        <v>1</v>
      </c>
      <c r="VG109">
        <v>1</v>
      </c>
      <c r="VH109">
        <v>999</v>
      </c>
      <c r="VI109">
        <v>999</v>
      </c>
      <c r="VJ109">
        <v>1</v>
      </c>
      <c r="VK109">
        <v>0</v>
      </c>
      <c r="WI109" s="48"/>
      <c r="WJ109" s="48"/>
      <c r="WK109" s="48"/>
      <c r="ACI109">
        <v>200</v>
      </c>
      <c r="ACJ109">
        <v>1</v>
      </c>
      <c r="ACM109">
        <v>1</v>
      </c>
      <c r="ACN109">
        <v>2</v>
      </c>
      <c r="ACO109">
        <v>6</v>
      </c>
      <c r="ACP109">
        <v>5</v>
      </c>
      <c r="APT109">
        <v>1</v>
      </c>
      <c r="APU109">
        <v>4</v>
      </c>
      <c r="APV109">
        <v>3</v>
      </c>
      <c r="APW109">
        <v>0</v>
      </c>
      <c r="APX109">
        <v>0</v>
      </c>
      <c r="BQR109">
        <v>95</v>
      </c>
      <c r="BQS109">
        <v>1</v>
      </c>
      <c r="BQV109">
        <v>1</v>
      </c>
      <c r="BQW109" s="35">
        <v>999</v>
      </c>
      <c r="BQX109">
        <v>999</v>
      </c>
      <c r="BQY109">
        <v>0</v>
      </c>
      <c r="BQZ109">
        <v>999</v>
      </c>
      <c r="BZO109">
        <v>250</v>
      </c>
      <c r="BZP109">
        <v>1</v>
      </c>
      <c r="BZR109">
        <v>1</v>
      </c>
      <c r="BZU109">
        <v>1</v>
      </c>
      <c r="BZV109">
        <v>3</v>
      </c>
      <c r="BZW109">
        <v>3</v>
      </c>
      <c r="BZX109">
        <v>0</v>
      </c>
      <c r="DMH109">
        <v>7.5</v>
      </c>
      <c r="DMI109">
        <v>1</v>
      </c>
      <c r="DML109">
        <v>1</v>
      </c>
      <c r="DMM109">
        <v>999</v>
      </c>
      <c r="DMN109">
        <v>999</v>
      </c>
      <c r="DMO109">
        <v>1</v>
      </c>
      <c r="DMP109">
        <v>0</v>
      </c>
      <c r="DRN109">
        <v>10</v>
      </c>
      <c r="DRO109">
        <v>1</v>
      </c>
      <c r="DRR109">
        <v>1</v>
      </c>
      <c r="DRS109">
        <v>1</v>
      </c>
      <c r="DRT109">
        <v>3</v>
      </c>
      <c r="DRU109">
        <v>3</v>
      </c>
      <c r="DTM109">
        <v>4</v>
      </c>
      <c r="DTN109">
        <v>1</v>
      </c>
      <c r="DTO109">
        <v>1</v>
      </c>
      <c r="DTR109">
        <v>1</v>
      </c>
      <c r="DTS109">
        <v>3</v>
      </c>
      <c r="DTT109">
        <v>3</v>
      </c>
      <c r="DTU109">
        <v>0</v>
      </c>
      <c r="DWP109">
        <v>600</v>
      </c>
      <c r="DWQ109">
        <v>1</v>
      </c>
      <c r="DWT109">
        <v>1</v>
      </c>
      <c r="DWU109" s="35">
        <v>999</v>
      </c>
      <c r="DWV109">
        <v>999</v>
      </c>
      <c r="DWW109">
        <v>0</v>
      </c>
      <c r="DWX109">
        <v>999</v>
      </c>
    </row>
    <row r="110" spans="1:903 1112:2046 2049:3068 3186:3863" x14ac:dyDescent="0.25">
      <c r="A110" s="48">
        <v>9138470</v>
      </c>
      <c r="AF110" s="48"/>
      <c r="AG110" s="48"/>
      <c r="AH110" s="48"/>
      <c r="AI110" s="48"/>
      <c r="AJ110" s="48"/>
      <c r="TV110">
        <v>1</v>
      </c>
      <c r="TY110" s="15">
        <v>999</v>
      </c>
      <c r="TZ110">
        <v>999</v>
      </c>
      <c r="UA110">
        <v>0</v>
      </c>
      <c r="UB110">
        <v>1</v>
      </c>
      <c r="WI110" s="48"/>
      <c r="WJ110" s="48"/>
      <c r="WK110" s="48"/>
      <c r="ZC110">
        <v>1</v>
      </c>
    </row>
    <row r="111" spans="1:903 1112:2046 2049:3068 3186:3863" x14ac:dyDescent="0.25">
      <c r="A111" s="48">
        <v>9150676</v>
      </c>
      <c r="AF111" s="48"/>
      <c r="AG111" s="48"/>
      <c r="AH111" s="48"/>
      <c r="AI111" s="48"/>
      <c r="AJ111" s="48"/>
      <c r="TV111">
        <v>1</v>
      </c>
      <c r="TY111">
        <v>122</v>
      </c>
      <c r="TZ111">
        <v>46</v>
      </c>
      <c r="UA111">
        <v>0</v>
      </c>
      <c r="UB111">
        <v>83</v>
      </c>
    </row>
    <row r="112" spans="1:903 1112:2046 2049:3068 3186:3863" x14ac:dyDescent="0.25">
      <c r="A112" s="48">
        <v>10010926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N112" s="3">
        <v>34.161700000000003</v>
      </c>
      <c r="O112" s="3">
        <v>33.356000000000002</v>
      </c>
      <c r="P112" s="3"/>
      <c r="T112">
        <v>34.000500000000002</v>
      </c>
      <c r="U112" s="3">
        <v>33.839399999999998</v>
      </c>
      <c r="V112" s="3"/>
      <c r="W112" s="3">
        <v>33.033700000000003</v>
      </c>
      <c r="X112" s="3">
        <v>32.228000000000002</v>
      </c>
      <c r="Y112" s="3"/>
      <c r="AF112" s="48"/>
      <c r="AG112" s="48"/>
      <c r="AH112" s="48"/>
      <c r="AI112" s="55"/>
      <c r="AJ112" s="48"/>
      <c r="BQ112">
        <v>137</v>
      </c>
      <c r="BR112">
        <v>146</v>
      </c>
      <c r="BS112">
        <v>145</v>
      </c>
      <c r="CE112">
        <v>138</v>
      </c>
      <c r="CW112">
        <v>6.3</v>
      </c>
      <c r="CX112">
        <v>4.4000000000000004</v>
      </c>
      <c r="CY112">
        <v>4.5</v>
      </c>
      <c r="DK112">
        <v>3.9</v>
      </c>
      <c r="DZ112">
        <v>2.2999999999999998</v>
      </c>
      <c r="EA112">
        <v>2.23</v>
      </c>
      <c r="EB112">
        <v>2.25</v>
      </c>
      <c r="EK112">
        <v>2.2200000000000002</v>
      </c>
      <c r="GL112">
        <v>6.8</v>
      </c>
      <c r="GM112">
        <v>6.2</v>
      </c>
      <c r="GW112" s="3">
        <v>133.3184</v>
      </c>
      <c r="GX112" s="3"/>
      <c r="TR112">
        <v>50</v>
      </c>
      <c r="TS112">
        <v>1</v>
      </c>
      <c r="TV112">
        <v>1</v>
      </c>
      <c r="TY112" s="15">
        <v>999</v>
      </c>
      <c r="TZ112">
        <v>999</v>
      </c>
      <c r="UA112">
        <v>0</v>
      </c>
      <c r="UB112">
        <v>0</v>
      </c>
      <c r="VC112">
        <v>100</v>
      </c>
      <c r="VD112">
        <v>1</v>
      </c>
      <c r="VG112">
        <v>1</v>
      </c>
      <c r="VH112" s="15">
        <v>999</v>
      </c>
      <c r="VI112">
        <v>999</v>
      </c>
      <c r="VJ112">
        <v>0</v>
      </c>
      <c r="VK112">
        <v>2</v>
      </c>
      <c r="AZN112">
        <v>25</v>
      </c>
      <c r="AZO112">
        <v>1</v>
      </c>
      <c r="AZR112">
        <v>1</v>
      </c>
      <c r="AZS112" s="15">
        <v>999</v>
      </c>
      <c r="AZT112">
        <v>999</v>
      </c>
      <c r="AZU112">
        <v>0</v>
      </c>
      <c r="AZV112">
        <v>0</v>
      </c>
      <c r="BCF112">
        <v>4</v>
      </c>
      <c r="BCG112">
        <v>1</v>
      </c>
      <c r="BCJ112">
        <v>1</v>
      </c>
      <c r="BES112">
        <v>1</v>
      </c>
      <c r="BET112" s="15">
        <v>999</v>
      </c>
      <c r="BEU112">
        <v>999</v>
      </c>
      <c r="BEV112">
        <v>0</v>
      </c>
      <c r="BEW112">
        <v>0</v>
      </c>
      <c r="BHQ112">
        <v>10</v>
      </c>
      <c r="BHR112">
        <v>1</v>
      </c>
      <c r="BHU112">
        <v>1</v>
      </c>
      <c r="BHV112" s="15">
        <v>999</v>
      </c>
      <c r="BHW112">
        <v>999</v>
      </c>
      <c r="BHX112">
        <v>0</v>
      </c>
      <c r="BHY112">
        <v>0</v>
      </c>
      <c r="BLY112">
        <v>7.0000000000000007E-2</v>
      </c>
      <c r="BLZ112">
        <v>1</v>
      </c>
      <c r="BMC112">
        <v>1</v>
      </c>
      <c r="BRL112">
        <v>10</v>
      </c>
      <c r="BRM112">
        <v>1</v>
      </c>
      <c r="BRP112">
        <v>1</v>
      </c>
      <c r="BRQ112" s="15">
        <v>999</v>
      </c>
      <c r="BRR112">
        <v>999</v>
      </c>
      <c r="BRS112">
        <v>0</v>
      </c>
      <c r="BRT112">
        <v>1</v>
      </c>
      <c r="CAM112">
        <v>65</v>
      </c>
      <c r="CAN112">
        <v>3</v>
      </c>
      <c r="CBH112">
        <v>2000</v>
      </c>
      <c r="CBI112">
        <v>1</v>
      </c>
      <c r="CBL112">
        <v>1</v>
      </c>
      <c r="CBM112" s="15">
        <v>999</v>
      </c>
      <c r="CBN112">
        <v>999</v>
      </c>
      <c r="CBO112">
        <v>1</v>
      </c>
      <c r="CBP112">
        <v>0</v>
      </c>
      <c r="DKJ112">
        <v>75</v>
      </c>
      <c r="DKK112">
        <v>1</v>
      </c>
      <c r="DKN112">
        <v>1</v>
      </c>
      <c r="DKO112" s="15">
        <v>999</v>
      </c>
      <c r="DKP112">
        <v>999</v>
      </c>
      <c r="DKQ112">
        <v>0</v>
      </c>
      <c r="DKR112">
        <v>0</v>
      </c>
      <c r="DZU112">
        <v>1.5</v>
      </c>
      <c r="DZV112">
        <v>1</v>
      </c>
      <c r="EQB112">
        <v>1500</v>
      </c>
      <c r="EQC112">
        <v>1</v>
      </c>
      <c r="EQF112">
        <v>1</v>
      </c>
    </row>
    <row r="113" spans="1:984 1325:2958 3228:4072" x14ac:dyDescent="0.25">
      <c r="A113" s="48">
        <v>10016588</v>
      </c>
      <c r="AF113" s="48"/>
      <c r="AG113" s="48"/>
      <c r="AH113" s="48"/>
      <c r="AI113" s="48"/>
      <c r="AJ113" s="48"/>
      <c r="TV113">
        <v>1</v>
      </c>
      <c r="TY113">
        <v>53</v>
      </c>
      <c r="TZ113">
        <v>94</v>
      </c>
      <c r="UA113">
        <v>41</v>
      </c>
      <c r="UB113">
        <v>0</v>
      </c>
      <c r="CVT113">
        <v>34</v>
      </c>
      <c r="CVU113">
        <v>38</v>
      </c>
      <c r="CVV113">
        <v>5</v>
      </c>
      <c r="CVW113">
        <v>0</v>
      </c>
    </row>
    <row r="114" spans="1:984 1325:2958 3228:4072" x14ac:dyDescent="0.25">
      <c r="A114" s="48">
        <v>10030897</v>
      </c>
      <c r="AF114" s="48"/>
      <c r="AG114" s="48"/>
      <c r="AH114" s="48"/>
      <c r="AI114" s="48"/>
      <c r="AJ114" s="48"/>
      <c r="TS114">
        <v>50</v>
      </c>
      <c r="TT114">
        <v>1</v>
      </c>
      <c r="TV114">
        <v>1</v>
      </c>
      <c r="TY114">
        <v>8</v>
      </c>
      <c r="TZ114">
        <v>2</v>
      </c>
      <c r="UA114">
        <v>0</v>
      </c>
      <c r="UB114">
        <v>5</v>
      </c>
      <c r="VC114">
        <v>100</v>
      </c>
      <c r="VD114">
        <v>1</v>
      </c>
      <c r="VG114">
        <v>1</v>
      </c>
      <c r="AFL114">
        <v>7.5</v>
      </c>
      <c r="AFM114">
        <v>1</v>
      </c>
      <c r="AFP114">
        <v>1</v>
      </c>
      <c r="AFQ114">
        <v>20</v>
      </c>
      <c r="AFR114">
        <v>14</v>
      </c>
      <c r="AFS114">
        <v>0</v>
      </c>
      <c r="AFT114">
        <v>5</v>
      </c>
      <c r="AZN114">
        <v>50</v>
      </c>
      <c r="AZO114">
        <v>1</v>
      </c>
      <c r="AZR114">
        <v>1</v>
      </c>
      <c r="BIA114">
        <v>2.5</v>
      </c>
      <c r="BIB114">
        <v>1</v>
      </c>
      <c r="BIE114">
        <v>1</v>
      </c>
      <c r="BIF114">
        <v>999</v>
      </c>
      <c r="BIG114">
        <v>999</v>
      </c>
      <c r="BIH114">
        <v>0</v>
      </c>
      <c r="BII114">
        <v>72</v>
      </c>
      <c r="BQR114">
        <v>47.5</v>
      </c>
      <c r="BQS114">
        <v>1</v>
      </c>
      <c r="BQV114">
        <v>1</v>
      </c>
      <c r="CBH114">
        <v>850</v>
      </c>
      <c r="CBI114">
        <v>1</v>
      </c>
      <c r="CBL114">
        <v>1</v>
      </c>
      <c r="CBM114">
        <v>999</v>
      </c>
      <c r="CBN114">
        <v>999</v>
      </c>
      <c r="CBO114">
        <v>0</v>
      </c>
      <c r="CBP114">
        <v>5</v>
      </c>
      <c r="CHC114">
        <v>20</v>
      </c>
      <c r="CHD114">
        <v>1</v>
      </c>
      <c r="CHG114">
        <v>1</v>
      </c>
      <c r="CHH114">
        <v>8</v>
      </c>
      <c r="CHI114">
        <v>2</v>
      </c>
      <c r="CHJ114">
        <v>0</v>
      </c>
      <c r="CHK114">
        <v>5</v>
      </c>
      <c r="DHR114">
        <v>40</v>
      </c>
      <c r="DHS114">
        <v>1</v>
      </c>
      <c r="DHV114">
        <v>1</v>
      </c>
      <c r="DHW114" s="35">
        <v>999</v>
      </c>
      <c r="DHX114">
        <v>32</v>
      </c>
      <c r="DHY114">
        <v>0</v>
      </c>
      <c r="DHZ114">
        <v>999</v>
      </c>
      <c r="DIL114">
        <v>15</v>
      </c>
      <c r="DIM114">
        <v>1</v>
      </c>
      <c r="DIP114">
        <v>1</v>
      </c>
      <c r="DIQ114">
        <v>11</v>
      </c>
      <c r="DIR114">
        <v>5</v>
      </c>
      <c r="DIS114">
        <v>0</v>
      </c>
      <c r="DIT114">
        <v>5</v>
      </c>
    </row>
    <row r="115" spans="1:984 1325:2958 3228:4072" x14ac:dyDescent="0.25">
      <c r="A115" s="48">
        <v>324</v>
      </c>
      <c r="AF115" s="48"/>
      <c r="AG115" s="48"/>
      <c r="AH115" s="48"/>
      <c r="AI115" s="48"/>
      <c r="AJ115" s="48"/>
      <c r="BQ115">
        <v>146</v>
      </c>
      <c r="CI115">
        <v>135</v>
      </c>
      <c r="CW115">
        <v>5.07</v>
      </c>
      <c r="GW115">
        <v>79</v>
      </c>
      <c r="KE115">
        <v>41</v>
      </c>
      <c r="KF115">
        <v>1</v>
      </c>
      <c r="KH115">
        <v>29.6</v>
      </c>
      <c r="KJ115">
        <v>1</v>
      </c>
      <c r="KK115">
        <v>33</v>
      </c>
      <c r="KL115">
        <v>1</v>
      </c>
      <c r="LU115">
        <v>1</v>
      </c>
      <c r="LW115">
        <v>1</v>
      </c>
      <c r="TB115">
        <v>1</v>
      </c>
      <c r="TS115">
        <v>2.5</v>
      </c>
      <c r="TV115">
        <v>1</v>
      </c>
      <c r="TY115">
        <v>8</v>
      </c>
      <c r="TZ115">
        <v>7</v>
      </c>
      <c r="UA115">
        <v>0</v>
      </c>
      <c r="UB115">
        <v>0</v>
      </c>
      <c r="BAH115">
        <v>300</v>
      </c>
      <c r="BAI115">
        <v>1</v>
      </c>
      <c r="BAL115">
        <v>1</v>
      </c>
      <c r="BAM115">
        <v>9</v>
      </c>
      <c r="BAN115">
        <v>215</v>
      </c>
      <c r="BAO115">
        <v>183</v>
      </c>
      <c r="BAP115">
        <v>0</v>
      </c>
    </row>
    <row r="116" spans="1:984 1325:2958 3228:4072" x14ac:dyDescent="0.25">
      <c r="A116" s="48">
        <v>3909</v>
      </c>
      <c r="AF116" s="48"/>
      <c r="AG116" s="48"/>
      <c r="AH116" s="48"/>
      <c r="AI116" s="48"/>
      <c r="AJ116" s="48"/>
      <c r="BU116">
        <v>139</v>
      </c>
      <c r="CL116">
        <v>140</v>
      </c>
      <c r="DA116">
        <v>3.5</v>
      </c>
      <c r="DP116">
        <v>4.7</v>
      </c>
      <c r="ED116">
        <v>2.15</v>
      </c>
      <c r="GW116">
        <v>113</v>
      </c>
      <c r="HP116">
        <v>98</v>
      </c>
      <c r="KE116">
        <v>59</v>
      </c>
      <c r="KG116">
        <v>1</v>
      </c>
      <c r="KJ116">
        <v>1</v>
      </c>
      <c r="QU116">
        <v>1</v>
      </c>
      <c r="TR116">
        <v>50</v>
      </c>
      <c r="TV116">
        <v>1</v>
      </c>
      <c r="XX116">
        <v>12.5</v>
      </c>
      <c r="XY116">
        <v>1</v>
      </c>
      <c r="YB116">
        <v>1</v>
      </c>
      <c r="YC116">
        <v>7</v>
      </c>
      <c r="YD116">
        <v>6</v>
      </c>
      <c r="YE116">
        <v>0</v>
      </c>
      <c r="YF116">
        <v>0</v>
      </c>
      <c r="ESZ116">
        <v>1</v>
      </c>
      <c r="EWX116">
        <v>1</v>
      </c>
      <c r="EXB116">
        <v>1</v>
      </c>
      <c r="EXF116">
        <v>1</v>
      </c>
    </row>
    <row r="117" spans="1:984 1325:2958 3228:4072" x14ac:dyDescent="0.25">
      <c r="A117" s="48">
        <v>4663</v>
      </c>
      <c r="KE117">
        <v>59</v>
      </c>
      <c r="KG117">
        <v>1</v>
      </c>
      <c r="KI117">
        <v>1</v>
      </c>
      <c r="LE117">
        <v>1</v>
      </c>
      <c r="OP117">
        <v>1</v>
      </c>
      <c r="QT117">
        <v>1</v>
      </c>
      <c r="RD117">
        <v>1</v>
      </c>
      <c r="TR117">
        <v>50</v>
      </c>
      <c r="TS117">
        <v>1</v>
      </c>
      <c r="TV117">
        <v>1</v>
      </c>
      <c r="TY117">
        <v>244</v>
      </c>
      <c r="TZ117">
        <v>200</v>
      </c>
      <c r="UA117">
        <v>0</v>
      </c>
      <c r="UB117">
        <v>21</v>
      </c>
      <c r="ADX117">
        <v>100</v>
      </c>
      <c r="ADY117">
        <v>1</v>
      </c>
      <c r="AEB117">
        <v>1</v>
      </c>
      <c r="AEC117">
        <v>458</v>
      </c>
      <c r="AED117">
        <v>414</v>
      </c>
      <c r="AEE117">
        <v>0</v>
      </c>
      <c r="AEF117">
        <v>23</v>
      </c>
      <c r="BSK117">
        <v>1</v>
      </c>
      <c r="BSL117">
        <v>26</v>
      </c>
      <c r="BSM117">
        <v>11</v>
      </c>
      <c r="BSN117">
        <v>0</v>
      </c>
      <c r="BSO117">
        <v>14</v>
      </c>
      <c r="CHM117">
        <v>40</v>
      </c>
      <c r="CHN117">
        <v>1</v>
      </c>
      <c r="CHQ117">
        <v>1</v>
      </c>
      <c r="CHR117">
        <v>702</v>
      </c>
      <c r="CHS117">
        <v>671</v>
      </c>
      <c r="CHT117">
        <v>0</v>
      </c>
      <c r="CHU117">
        <v>23</v>
      </c>
      <c r="CYR117">
        <v>10</v>
      </c>
      <c r="CYS117">
        <v>1</v>
      </c>
      <c r="CYV117">
        <v>1</v>
      </c>
      <c r="CYW117">
        <v>153</v>
      </c>
      <c r="CYX117">
        <v>87</v>
      </c>
      <c r="CYY117">
        <v>0</v>
      </c>
      <c r="CYZ117">
        <v>21</v>
      </c>
      <c r="EIN117">
        <v>1</v>
      </c>
      <c r="EIO117">
        <v>92</v>
      </c>
      <c r="EIP117">
        <v>28</v>
      </c>
      <c r="EIQ117">
        <v>0</v>
      </c>
      <c r="EIR117">
        <v>23</v>
      </c>
      <c r="EJT117">
        <v>1</v>
      </c>
      <c r="EJU117">
        <v>702</v>
      </c>
      <c r="EJV117">
        <v>671</v>
      </c>
      <c r="EJW117">
        <v>0</v>
      </c>
      <c r="EJX117">
        <v>23</v>
      </c>
      <c r="ELG117">
        <v>15</v>
      </c>
      <c r="ELH117">
        <v>1</v>
      </c>
      <c r="ELK117">
        <v>1</v>
      </c>
      <c r="ELL117">
        <v>641</v>
      </c>
      <c r="ELM117">
        <v>619</v>
      </c>
      <c r="ELN117">
        <v>0</v>
      </c>
      <c r="ELO117">
        <v>23</v>
      </c>
      <c r="ESU117">
        <v>1</v>
      </c>
      <c r="ESZ117">
        <v>1</v>
      </c>
      <c r="ETA117">
        <v>1</v>
      </c>
      <c r="EUE117">
        <v>1</v>
      </c>
      <c r="EWB117">
        <v>1</v>
      </c>
      <c r="EWX117">
        <v>1</v>
      </c>
    </row>
    <row r="118" spans="1:984 1325:2958 3228:4072" x14ac:dyDescent="0.25">
      <c r="A118" s="48">
        <v>1005522</v>
      </c>
      <c r="B118">
        <v>34.700000000000003</v>
      </c>
      <c r="C118">
        <v>37.299999999999997</v>
      </c>
      <c r="M118">
        <v>35</v>
      </c>
      <c r="T118">
        <v>33.9</v>
      </c>
      <c r="X118">
        <v>32.799999999999997</v>
      </c>
      <c r="KE118">
        <v>30</v>
      </c>
      <c r="KF118">
        <v>1</v>
      </c>
      <c r="KJ118">
        <v>1</v>
      </c>
      <c r="PH118">
        <v>1</v>
      </c>
      <c r="SY118">
        <v>1</v>
      </c>
      <c r="TS118">
        <v>2</v>
      </c>
      <c r="TV118">
        <v>1</v>
      </c>
      <c r="TY118">
        <v>3</v>
      </c>
      <c r="DTD118">
        <v>1</v>
      </c>
      <c r="DTG118">
        <v>1</v>
      </c>
    </row>
    <row r="119" spans="1:984 1325:2958 3228:4072" x14ac:dyDescent="0.25">
      <c r="A119" s="48">
        <v>1007631</v>
      </c>
      <c r="GX119">
        <v>84</v>
      </c>
      <c r="KE119">
        <v>14</v>
      </c>
      <c r="KG119">
        <v>1</v>
      </c>
      <c r="KH119">
        <v>27</v>
      </c>
      <c r="KK119">
        <v>5</v>
      </c>
      <c r="TV119">
        <v>1</v>
      </c>
      <c r="TY119">
        <v>3</v>
      </c>
      <c r="TZ119">
        <v>2</v>
      </c>
      <c r="UA119">
        <v>0</v>
      </c>
      <c r="UB119">
        <v>0</v>
      </c>
      <c r="AKS119">
        <v>3</v>
      </c>
      <c r="AKT119">
        <v>2</v>
      </c>
      <c r="AKU119">
        <v>0</v>
      </c>
      <c r="AKV119">
        <v>0</v>
      </c>
      <c r="CEE119">
        <v>3</v>
      </c>
      <c r="CEF119">
        <v>2</v>
      </c>
      <c r="CEG119">
        <v>0</v>
      </c>
      <c r="CEH119">
        <v>0</v>
      </c>
      <c r="CNO119">
        <v>3</v>
      </c>
      <c r="CNP119">
        <v>2</v>
      </c>
      <c r="CNQ119">
        <v>0</v>
      </c>
      <c r="CNR119">
        <v>0</v>
      </c>
      <c r="ERQ119">
        <v>1</v>
      </c>
      <c r="EST119">
        <v>1</v>
      </c>
      <c r="EUF119">
        <v>1</v>
      </c>
      <c r="EXA119">
        <v>1</v>
      </c>
      <c r="EXB119">
        <v>1</v>
      </c>
      <c r="EYF119">
        <v>1</v>
      </c>
    </row>
    <row r="120" spans="1:984 1325:2958 3228:4072" x14ac:dyDescent="0.25">
      <c r="A120" s="48">
        <v>1009760</v>
      </c>
      <c r="P120">
        <v>31.7</v>
      </c>
      <c r="U120">
        <v>33.4</v>
      </c>
      <c r="W120">
        <v>31.9</v>
      </c>
      <c r="Y120">
        <v>32.6</v>
      </c>
      <c r="BT120">
        <v>140</v>
      </c>
      <c r="EC120">
        <v>2.2200000000000002</v>
      </c>
      <c r="GZ120">
        <v>97</v>
      </c>
      <c r="KE120">
        <v>48</v>
      </c>
      <c r="KG120">
        <v>1</v>
      </c>
      <c r="KJ120">
        <v>1</v>
      </c>
      <c r="SD120">
        <v>1</v>
      </c>
      <c r="TR120">
        <v>75</v>
      </c>
      <c r="TS120">
        <v>1</v>
      </c>
      <c r="TV120">
        <v>1</v>
      </c>
      <c r="TY120">
        <v>11</v>
      </c>
      <c r="TZ120">
        <v>25</v>
      </c>
      <c r="UA120">
        <v>17</v>
      </c>
      <c r="UB120">
        <v>0</v>
      </c>
      <c r="ERQ120">
        <v>1</v>
      </c>
      <c r="ESU120">
        <v>1</v>
      </c>
      <c r="ESX120">
        <v>1</v>
      </c>
      <c r="ESZ120">
        <v>1</v>
      </c>
      <c r="ETA120">
        <v>1</v>
      </c>
      <c r="EXA120">
        <v>1</v>
      </c>
      <c r="EXB120">
        <v>1</v>
      </c>
      <c r="EXC120">
        <v>1</v>
      </c>
      <c r="EXO120">
        <v>1</v>
      </c>
      <c r="EYF120">
        <v>1</v>
      </c>
    </row>
    <row r="121" spans="1:984 1325:2958 3228:4072" x14ac:dyDescent="0.25">
      <c r="A121" s="48">
        <v>2000646</v>
      </c>
      <c r="M121">
        <v>33.5</v>
      </c>
      <c r="N121">
        <v>34.5</v>
      </c>
      <c r="T121">
        <v>34</v>
      </c>
      <c r="U121">
        <v>34</v>
      </c>
      <c r="V121">
        <v>34</v>
      </c>
      <c r="BQ121">
        <v>139</v>
      </c>
      <c r="BR121">
        <v>138</v>
      </c>
      <c r="BY121">
        <v>140</v>
      </c>
      <c r="BZ121">
        <v>136</v>
      </c>
      <c r="CA121">
        <v>138</v>
      </c>
      <c r="CW121">
        <v>3.9</v>
      </c>
      <c r="CX121">
        <v>4.05</v>
      </c>
      <c r="DD121">
        <v>4.7</v>
      </c>
      <c r="DE121">
        <v>4.7</v>
      </c>
      <c r="DF121">
        <v>4.5</v>
      </c>
      <c r="DG121">
        <v>5.2</v>
      </c>
      <c r="DZ121">
        <v>2.4</v>
      </c>
      <c r="EA121">
        <v>2.19</v>
      </c>
      <c r="EI121">
        <v>2.4700000000000002</v>
      </c>
      <c r="KE121">
        <v>22</v>
      </c>
      <c r="KF121">
        <v>1</v>
      </c>
      <c r="TV121">
        <v>1</v>
      </c>
      <c r="EVM121">
        <v>1</v>
      </c>
      <c r="EVP121">
        <v>1</v>
      </c>
      <c r="EWO121">
        <v>1</v>
      </c>
    </row>
    <row r="122" spans="1:984 1325:2958 3228:4072" x14ac:dyDescent="0.25">
      <c r="A122" s="48">
        <v>2003761</v>
      </c>
      <c r="BQ122">
        <v>134</v>
      </c>
      <c r="CW122">
        <v>6.7</v>
      </c>
      <c r="CX122">
        <v>6.54</v>
      </c>
      <c r="KE122">
        <v>78</v>
      </c>
      <c r="KG122">
        <v>1</v>
      </c>
      <c r="MG122">
        <v>1</v>
      </c>
      <c r="NX122">
        <v>1</v>
      </c>
      <c r="NZ122">
        <v>1</v>
      </c>
      <c r="OP122">
        <v>1</v>
      </c>
      <c r="QM122">
        <v>1</v>
      </c>
      <c r="QX122">
        <v>1</v>
      </c>
      <c r="TR122">
        <v>100</v>
      </c>
      <c r="TS122">
        <v>2</v>
      </c>
      <c r="TV122">
        <v>1</v>
      </c>
      <c r="TY122">
        <v>182</v>
      </c>
      <c r="TZ122">
        <v>182</v>
      </c>
      <c r="UA122">
        <v>0</v>
      </c>
      <c r="UB122">
        <v>1</v>
      </c>
      <c r="AXY122">
        <v>20</v>
      </c>
      <c r="AXZ122">
        <v>1</v>
      </c>
      <c r="AYC122">
        <v>1</v>
      </c>
      <c r="AYD122" s="35">
        <v>999</v>
      </c>
      <c r="AYE122">
        <v>183</v>
      </c>
      <c r="AYF122">
        <v>0</v>
      </c>
      <c r="AYG122">
        <v>999</v>
      </c>
      <c r="BAH122">
        <v>300</v>
      </c>
      <c r="BAI122">
        <v>1</v>
      </c>
      <c r="BAL122">
        <v>1</v>
      </c>
      <c r="BAM122" s="35">
        <v>999</v>
      </c>
      <c r="BAN122">
        <v>732</v>
      </c>
      <c r="BAO122">
        <v>0</v>
      </c>
      <c r="BAP122">
        <v>999</v>
      </c>
      <c r="BGM122">
        <v>0.4</v>
      </c>
      <c r="BGN122">
        <v>1</v>
      </c>
      <c r="BGQ122">
        <v>1</v>
      </c>
      <c r="BGR122">
        <v>999</v>
      </c>
      <c r="BGS122">
        <v>183</v>
      </c>
      <c r="BGT122">
        <v>0</v>
      </c>
      <c r="BGU122">
        <v>999</v>
      </c>
      <c r="BIK122">
        <v>10</v>
      </c>
      <c r="BIL122">
        <v>3</v>
      </c>
      <c r="BIO122">
        <v>1</v>
      </c>
      <c r="BIP122">
        <v>999</v>
      </c>
      <c r="BIQ122">
        <v>183</v>
      </c>
      <c r="BIR122">
        <v>0</v>
      </c>
      <c r="BIS122">
        <v>999</v>
      </c>
      <c r="BNN122">
        <v>20</v>
      </c>
      <c r="BNO122">
        <v>3</v>
      </c>
      <c r="BNR122">
        <v>1</v>
      </c>
      <c r="BNS122">
        <v>999</v>
      </c>
      <c r="BNT122">
        <v>999</v>
      </c>
      <c r="BNU122">
        <v>0</v>
      </c>
      <c r="BNV122">
        <v>999</v>
      </c>
      <c r="BPW122">
        <v>2</v>
      </c>
      <c r="BPX122">
        <v>1</v>
      </c>
      <c r="BQA122">
        <v>1</v>
      </c>
      <c r="BQB122">
        <v>999</v>
      </c>
      <c r="BQC122">
        <v>999</v>
      </c>
      <c r="BQD122">
        <v>0</v>
      </c>
      <c r="BQE122">
        <v>999</v>
      </c>
      <c r="BSG122">
        <v>3</v>
      </c>
      <c r="BSH122">
        <v>5</v>
      </c>
      <c r="BSK122">
        <v>1</v>
      </c>
      <c r="BSL122">
        <v>183</v>
      </c>
      <c r="BSM122">
        <v>183</v>
      </c>
      <c r="BSN122">
        <v>2</v>
      </c>
      <c r="BSO122">
        <v>0</v>
      </c>
      <c r="BZP122">
        <v>30</v>
      </c>
      <c r="BZQ122">
        <v>1</v>
      </c>
      <c r="BZT122">
        <v>1</v>
      </c>
      <c r="BZU122">
        <v>4</v>
      </c>
      <c r="BZV122">
        <v>2</v>
      </c>
      <c r="BZW122">
        <v>0</v>
      </c>
      <c r="BZX122">
        <v>1</v>
      </c>
      <c r="CKE122">
        <v>250</v>
      </c>
      <c r="CKF122">
        <v>1</v>
      </c>
      <c r="CKJ122">
        <v>1</v>
      </c>
      <c r="CKK122">
        <v>8</v>
      </c>
      <c r="CKL122">
        <v>9</v>
      </c>
      <c r="CKM122">
        <v>2</v>
      </c>
      <c r="CKN122">
        <v>0</v>
      </c>
      <c r="ESZ122">
        <v>1</v>
      </c>
      <c r="ETB122">
        <v>1</v>
      </c>
      <c r="EXK122">
        <v>1</v>
      </c>
      <c r="EXQ122">
        <v>1</v>
      </c>
      <c r="EXZ122">
        <v>1</v>
      </c>
      <c r="EYG122">
        <v>1</v>
      </c>
      <c r="EZP122">
        <v>1</v>
      </c>
    </row>
    <row r="123" spans="1:984 1325:2958 3228:4072" x14ac:dyDescent="0.25">
      <c r="A123" s="48">
        <v>2004061</v>
      </c>
      <c r="CW123" s="14">
        <v>3.8</v>
      </c>
      <c r="CX123">
        <v>3.7</v>
      </c>
      <c r="CY123">
        <v>3.3</v>
      </c>
      <c r="CZ123">
        <v>4</v>
      </c>
      <c r="GW123" s="14">
        <v>160</v>
      </c>
      <c r="GX123">
        <v>84</v>
      </c>
      <c r="KE123">
        <v>60</v>
      </c>
      <c r="KF123">
        <v>1</v>
      </c>
      <c r="KH123">
        <v>23.4</v>
      </c>
      <c r="KJ123">
        <v>1</v>
      </c>
      <c r="KK123">
        <v>4</v>
      </c>
      <c r="TR123">
        <v>50</v>
      </c>
      <c r="TS123">
        <v>1</v>
      </c>
      <c r="TV123">
        <v>1</v>
      </c>
      <c r="TY123">
        <v>1</v>
      </c>
      <c r="TZ123">
        <v>0</v>
      </c>
      <c r="UA123">
        <v>0</v>
      </c>
      <c r="UB123">
        <v>0</v>
      </c>
      <c r="ESM123">
        <v>1</v>
      </c>
      <c r="EVI123">
        <v>1</v>
      </c>
      <c r="EVK123">
        <v>1</v>
      </c>
      <c r="EVS123">
        <v>1</v>
      </c>
      <c r="EVV123">
        <v>1</v>
      </c>
      <c r="EVW123">
        <v>1</v>
      </c>
      <c r="EXX123">
        <v>1</v>
      </c>
    </row>
    <row r="124" spans="1:984 1325:2958 3228:4072" x14ac:dyDescent="0.25">
      <c r="A124" s="48">
        <v>2006469</v>
      </c>
      <c r="KE124">
        <v>59</v>
      </c>
      <c r="KG124">
        <v>1</v>
      </c>
      <c r="KJ124">
        <v>1</v>
      </c>
      <c r="QT124">
        <v>1</v>
      </c>
      <c r="RI124">
        <v>1</v>
      </c>
      <c r="TS124">
        <v>3</v>
      </c>
      <c r="TV124">
        <v>1</v>
      </c>
      <c r="TZ124">
        <v>92</v>
      </c>
      <c r="UD124">
        <v>1</v>
      </c>
      <c r="ERG124">
        <v>1</v>
      </c>
      <c r="ERJ124">
        <v>1</v>
      </c>
    </row>
    <row r="125" spans="1:984 1325:2958 3228:4072" x14ac:dyDescent="0.25">
      <c r="A125" s="48">
        <v>3005132</v>
      </c>
      <c r="KE125">
        <v>56</v>
      </c>
      <c r="KG125">
        <v>1</v>
      </c>
      <c r="KI125">
        <v>1</v>
      </c>
      <c r="KK125">
        <v>1</v>
      </c>
      <c r="TQ125" s="48"/>
      <c r="TR125" s="48">
        <v>50</v>
      </c>
      <c r="TS125" s="48">
        <v>1</v>
      </c>
      <c r="TT125" s="48"/>
      <c r="TU125" s="48">
        <v>1</v>
      </c>
      <c r="TV125" s="48"/>
      <c r="TZ125">
        <v>1</v>
      </c>
      <c r="ETJ125">
        <v>1</v>
      </c>
      <c r="EUL125">
        <v>1</v>
      </c>
      <c r="EUT125">
        <v>1</v>
      </c>
      <c r="EUZ125">
        <v>1</v>
      </c>
      <c r="EVH125">
        <v>1</v>
      </c>
      <c r="EVJ125">
        <v>1</v>
      </c>
      <c r="EWH125">
        <v>1</v>
      </c>
      <c r="EYA125">
        <v>1</v>
      </c>
      <c r="EYB125">
        <v>1</v>
      </c>
    </row>
    <row r="126" spans="1:984 1325:2958 3228:4072" x14ac:dyDescent="0.25">
      <c r="A126" s="48">
        <v>3009119</v>
      </c>
      <c r="KG126">
        <v>1</v>
      </c>
      <c r="NS126">
        <v>1</v>
      </c>
      <c r="QK126">
        <v>1</v>
      </c>
      <c r="TQ126" s="48"/>
      <c r="TR126" s="48"/>
      <c r="TS126" s="48"/>
      <c r="TT126" s="48"/>
      <c r="TU126" s="48"/>
      <c r="TV126" s="48"/>
      <c r="TY126">
        <v>3</v>
      </c>
      <c r="TZ126">
        <v>2</v>
      </c>
      <c r="UA126">
        <v>0</v>
      </c>
      <c r="UB126">
        <v>0</v>
      </c>
      <c r="CKP126">
        <v>1</v>
      </c>
    </row>
    <row r="127" spans="1:984 1325:2958 3228:4072" x14ac:dyDescent="0.25">
      <c r="A127" s="48">
        <v>3009936</v>
      </c>
      <c r="KE127">
        <v>49</v>
      </c>
      <c r="KF127">
        <v>1</v>
      </c>
      <c r="KH127">
        <v>23</v>
      </c>
      <c r="QU127">
        <v>1</v>
      </c>
      <c r="TQ127" s="48"/>
      <c r="TR127" s="48">
        <v>50</v>
      </c>
      <c r="TS127" s="48">
        <v>4</v>
      </c>
      <c r="TT127" s="48"/>
      <c r="TU127" s="48"/>
      <c r="TV127" s="48">
        <v>1</v>
      </c>
      <c r="UA127">
        <v>0</v>
      </c>
      <c r="EWY127">
        <v>1</v>
      </c>
      <c r="EXA127">
        <v>1</v>
      </c>
    </row>
    <row r="128" spans="1:984 1325:2958 3228:4072" x14ac:dyDescent="0.25">
      <c r="A128" s="48">
        <v>3011094</v>
      </c>
      <c r="KE128">
        <v>22</v>
      </c>
      <c r="KF128">
        <v>1</v>
      </c>
      <c r="KH128">
        <v>23.9</v>
      </c>
      <c r="KJ128">
        <v>1</v>
      </c>
      <c r="KK128">
        <v>1</v>
      </c>
      <c r="KN128">
        <v>1</v>
      </c>
      <c r="TQ128" s="48"/>
      <c r="TR128" s="48">
        <v>50</v>
      </c>
      <c r="TS128" s="48">
        <v>20</v>
      </c>
      <c r="TT128" s="48"/>
      <c r="TU128" s="48"/>
      <c r="TV128" s="48">
        <v>1</v>
      </c>
      <c r="TY128">
        <v>1</v>
      </c>
      <c r="TZ128">
        <v>0</v>
      </c>
      <c r="UA128">
        <v>0</v>
      </c>
      <c r="UB128">
        <v>0</v>
      </c>
      <c r="VC128">
        <v>500</v>
      </c>
      <c r="VD128">
        <v>20</v>
      </c>
      <c r="VG128">
        <v>1</v>
      </c>
      <c r="VH128">
        <v>1</v>
      </c>
      <c r="VI128">
        <v>0</v>
      </c>
      <c r="VJ128">
        <v>0</v>
      </c>
      <c r="VK128">
        <v>0</v>
      </c>
      <c r="ERF128">
        <v>1</v>
      </c>
      <c r="ETP128">
        <v>1</v>
      </c>
    </row>
    <row r="129" spans="1:822 1102:2000 2067:2988 3247:4040" x14ac:dyDescent="0.25">
      <c r="A129" s="48">
        <v>3014643</v>
      </c>
      <c r="KE129">
        <v>46</v>
      </c>
      <c r="KF129">
        <v>1</v>
      </c>
      <c r="KJ129">
        <v>1</v>
      </c>
      <c r="KK129">
        <v>12</v>
      </c>
      <c r="TQ129" s="48"/>
      <c r="TR129" s="48">
        <v>10</v>
      </c>
      <c r="TS129" s="48">
        <v>1</v>
      </c>
      <c r="TT129" s="48"/>
      <c r="TU129" s="48"/>
      <c r="TV129" s="48">
        <v>1</v>
      </c>
      <c r="TY129">
        <v>353</v>
      </c>
      <c r="TZ129">
        <v>353</v>
      </c>
      <c r="UA129">
        <v>0</v>
      </c>
      <c r="UB129">
        <v>0</v>
      </c>
      <c r="BWK129">
        <v>10</v>
      </c>
      <c r="BWL129">
        <v>1</v>
      </c>
      <c r="BWO129">
        <v>1</v>
      </c>
      <c r="BWP129">
        <v>353</v>
      </c>
      <c r="BWQ129">
        <v>353</v>
      </c>
      <c r="BWR129">
        <v>0</v>
      </c>
      <c r="BWS129">
        <v>0</v>
      </c>
      <c r="ETD129">
        <v>1</v>
      </c>
    </row>
    <row r="130" spans="1:822 1102:2000 2067:2988 3247:4040" x14ac:dyDescent="0.25">
      <c r="A130" s="48">
        <v>3016056</v>
      </c>
      <c r="M130">
        <v>32.799999999999997</v>
      </c>
      <c r="AE130">
        <v>33.799999999999997</v>
      </c>
      <c r="KE130">
        <v>47</v>
      </c>
      <c r="KG130">
        <v>1</v>
      </c>
      <c r="TQ130" s="48"/>
      <c r="TR130" s="48">
        <v>150</v>
      </c>
      <c r="TS130" s="48">
        <v>1</v>
      </c>
      <c r="TT130" s="48"/>
      <c r="TU130" s="48"/>
      <c r="TV130" s="48">
        <v>1</v>
      </c>
      <c r="TY130" s="35">
        <v>999</v>
      </c>
      <c r="TZ130">
        <v>999</v>
      </c>
      <c r="UA130">
        <v>0</v>
      </c>
      <c r="UB130">
        <v>999</v>
      </c>
    </row>
    <row r="131" spans="1:822 1102:2000 2067:2988 3247:4040" x14ac:dyDescent="0.25">
      <c r="A131" s="48">
        <v>3900219</v>
      </c>
      <c r="BI131">
        <v>141</v>
      </c>
      <c r="CO131">
        <v>5.0999999999999996</v>
      </c>
      <c r="KE131">
        <v>83</v>
      </c>
      <c r="KG131">
        <v>1</v>
      </c>
      <c r="KJ131">
        <v>1</v>
      </c>
      <c r="KK131">
        <v>16</v>
      </c>
      <c r="NH131">
        <v>1</v>
      </c>
      <c r="NZ131">
        <v>1</v>
      </c>
      <c r="RD131">
        <v>1</v>
      </c>
      <c r="TQ131" s="48"/>
      <c r="TR131" s="48">
        <v>150</v>
      </c>
      <c r="TS131" s="48">
        <v>1</v>
      </c>
      <c r="TT131" s="48"/>
      <c r="TU131" s="48"/>
      <c r="TV131" s="48">
        <v>1</v>
      </c>
      <c r="TY131">
        <v>999</v>
      </c>
      <c r="TZ131">
        <v>9</v>
      </c>
      <c r="UA131">
        <v>0</v>
      </c>
      <c r="UB131">
        <v>999</v>
      </c>
      <c r="ADX131">
        <v>200</v>
      </c>
      <c r="ADY131">
        <v>1</v>
      </c>
      <c r="AEB131">
        <v>1</v>
      </c>
      <c r="AEC131">
        <v>999</v>
      </c>
      <c r="AED131">
        <v>7</v>
      </c>
      <c r="AEE131">
        <v>0</v>
      </c>
      <c r="AEF131">
        <v>999</v>
      </c>
      <c r="BHG131">
        <v>25</v>
      </c>
      <c r="BHH131">
        <v>1</v>
      </c>
      <c r="BHK131">
        <v>1</v>
      </c>
      <c r="BHL131" s="36">
        <v>999</v>
      </c>
      <c r="BHM131">
        <v>999</v>
      </c>
      <c r="BHN131">
        <v>0</v>
      </c>
      <c r="BHO131">
        <v>999</v>
      </c>
      <c r="CEJ131">
        <v>450</v>
      </c>
      <c r="CEK131">
        <v>1</v>
      </c>
      <c r="CEN131">
        <v>1</v>
      </c>
      <c r="CEO131" s="35">
        <v>999</v>
      </c>
      <c r="CEP131">
        <v>9</v>
      </c>
      <c r="CEQ131">
        <v>0</v>
      </c>
      <c r="CER131">
        <v>999</v>
      </c>
      <c r="DIL131" s="48">
        <v>45</v>
      </c>
      <c r="DIM131">
        <v>1</v>
      </c>
      <c r="DIP131">
        <v>1</v>
      </c>
      <c r="DIQ131" s="35">
        <v>999</v>
      </c>
      <c r="DIR131">
        <v>9</v>
      </c>
      <c r="DIS131">
        <v>0</v>
      </c>
      <c r="DIT131">
        <v>999</v>
      </c>
      <c r="DTW131">
        <v>75</v>
      </c>
      <c r="DTX131">
        <v>1</v>
      </c>
      <c r="DUA131">
        <v>1</v>
      </c>
      <c r="DUB131" s="36">
        <v>999</v>
      </c>
      <c r="DUC131">
        <v>999</v>
      </c>
      <c r="DUD131">
        <v>0</v>
      </c>
      <c r="DUE131">
        <v>999</v>
      </c>
      <c r="EIJ131">
        <v>250</v>
      </c>
      <c r="EIK131">
        <v>1</v>
      </c>
      <c r="EIN131">
        <v>1</v>
      </c>
      <c r="EIO131" s="36">
        <v>999</v>
      </c>
      <c r="EIP131">
        <v>999</v>
      </c>
      <c r="EIQ131">
        <v>0</v>
      </c>
      <c r="EIR131">
        <v>999</v>
      </c>
    </row>
    <row r="132" spans="1:822 1102:2000 2067:2988 3247:4040" x14ac:dyDescent="0.25">
      <c r="A132" s="48">
        <v>4000158</v>
      </c>
      <c r="BR132">
        <v>141</v>
      </c>
      <c r="CX132">
        <v>4.7699999999999996</v>
      </c>
      <c r="KE132">
        <v>44</v>
      </c>
      <c r="KF132">
        <v>1</v>
      </c>
      <c r="KH132">
        <v>24.2</v>
      </c>
      <c r="KJ132">
        <v>1</v>
      </c>
      <c r="KK132">
        <v>11</v>
      </c>
      <c r="KL132">
        <v>1</v>
      </c>
      <c r="KM132">
        <v>1</v>
      </c>
      <c r="LQ132">
        <v>1</v>
      </c>
      <c r="QO132">
        <v>1</v>
      </c>
      <c r="SP132">
        <v>1</v>
      </c>
      <c r="TQ132" s="48"/>
      <c r="TR132" s="48">
        <v>50</v>
      </c>
      <c r="TS132" s="48">
        <v>1</v>
      </c>
      <c r="TT132" s="48"/>
      <c r="TU132" s="48"/>
      <c r="TV132" s="48">
        <v>1</v>
      </c>
      <c r="TY132">
        <v>275</v>
      </c>
      <c r="TZ132">
        <v>275</v>
      </c>
      <c r="UA132">
        <v>0</v>
      </c>
      <c r="UB132">
        <v>2</v>
      </c>
      <c r="XX132">
        <v>25</v>
      </c>
      <c r="XY132">
        <v>1</v>
      </c>
      <c r="YB132">
        <v>1</v>
      </c>
      <c r="YC132">
        <v>183</v>
      </c>
      <c r="YD132">
        <v>181</v>
      </c>
      <c r="YE132">
        <v>0</v>
      </c>
      <c r="YF132">
        <v>2</v>
      </c>
      <c r="AUT132">
        <v>50</v>
      </c>
      <c r="AUU132">
        <v>1</v>
      </c>
      <c r="AUX132">
        <v>1</v>
      </c>
      <c r="AVA132">
        <v>183</v>
      </c>
      <c r="AVB132">
        <v>181</v>
      </c>
      <c r="AVC132">
        <v>0</v>
      </c>
      <c r="AVY132">
        <v>2</v>
      </c>
      <c r="BXE132">
        <v>40</v>
      </c>
      <c r="BXF132">
        <v>1</v>
      </c>
      <c r="BXI132">
        <v>1</v>
      </c>
      <c r="BXJ132">
        <v>999</v>
      </c>
      <c r="BXK132">
        <v>360</v>
      </c>
      <c r="BXL132">
        <v>0</v>
      </c>
      <c r="BXM132">
        <v>999</v>
      </c>
    </row>
    <row r="133" spans="1:822 1102:2000 2067:2988 3247:4040" x14ac:dyDescent="0.25">
      <c r="A133" s="48">
        <v>4000304</v>
      </c>
      <c r="KE133">
        <v>68</v>
      </c>
      <c r="KF133">
        <v>1</v>
      </c>
      <c r="KH133">
        <v>25.2</v>
      </c>
      <c r="LY133">
        <v>1</v>
      </c>
      <c r="MB133">
        <v>1</v>
      </c>
      <c r="NS133">
        <v>1</v>
      </c>
      <c r="SO133">
        <v>1</v>
      </c>
      <c r="SR133">
        <v>1</v>
      </c>
      <c r="TQ133" s="48"/>
      <c r="TR133" s="48">
        <v>50</v>
      </c>
      <c r="TS133" s="48">
        <v>1</v>
      </c>
      <c r="TT133" s="48"/>
      <c r="TU133" s="48"/>
      <c r="TV133" s="48">
        <v>1</v>
      </c>
      <c r="TY133">
        <v>244</v>
      </c>
      <c r="TZ133">
        <v>244</v>
      </c>
      <c r="UA133">
        <v>0</v>
      </c>
      <c r="UB133">
        <v>0</v>
      </c>
      <c r="VD133">
        <v>2</v>
      </c>
      <c r="VG133">
        <v>1</v>
      </c>
      <c r="VH133">
        <v>275</v>
      </c>
      <c r="VI133">
        <v>275</v>
      </c>
      <c r="VJ133">
        <v>0</v>
      </c>
      <c r="VK133">
        <v>0</v>
      </c>
      <c r="AXY133">
        <v>25</v>
      </c>
      <c r="AXZ133">
        <v>1</v>
      </c>
      <c r="AYC133">
        <v>1</v>
      </c>
      <c r="AYD133">
        <v>360</v>
      </c>
      <c r="AYE133">
        <v>360</v>
      </c>
      <c r="AYF133">
        <v>0</v>
      </c>
      <c r="AYG133">
        <v>0</v>
      </c>
      <c r="BEY133">
        <v>20</v>
      </c>
      <c r="BEZ133">
        <v>1</v>
      </c>
      <c r="BFC133">
        <v>1</v>
      </c>
      <c r="BFD133">
        <v>360</v>
      </c>
      <c r="BFE133">
        <v>360</v>
      </c>
      <c r="BFF133">
        <v>0</v>
      </c>
      <c r="BFG133">
        <v>0</v>
      </c>
      <c r="BXP133">
        <v>40</v>
      </c>
      <c r="BXQ133">
        <v>1</v>
      </c>
      <c r="BXT133">
        <v>1</v>
      </c>
      <c r="BXU133">
        <v>244</v>
      </c>
      <c r="BXV133">
        <v>244</v>
      </c>
      <c r="BXW133">
        <v>0</v>
      </c>
      <c r="BXX133">
        <v>0</v>
      </c>
      <c r="CAM133">
        <v>40</v>
      </c>
      <c r="CAN133">
        <v>1</v>
      </c>
      <c r="CAQ133">
        <v>1</v>
      </c>
      <c r="CAS133">
        <v>999</v>
      </c>
      <c r="CAT133">
        <v>999</v>
      </c>
      <c r="CAU133">
        <v>0</v>
      </c>
      <c r="CAV133">
        <v>9</v>
      </c>
      <c r="CAX133">
        <v>1.5</v>
      </c>
      <c r="CAY133">
        <v>1</v>
      </c>
      <c r="CBB133">
        <v>1</v>
      </c>
      <c r="CBC133">
        <v>488</v>
      </c>
      <c r="CBD133">
        <v>488</v>
      </c>
      <c r="CBE133">
        <v>0</v>
      </c>
      <c r="CBF133">
        <v>0</v>
      </c>
      <c r="EXA133">
        <v>1</v>
      </c>
    </row>
    <row r="134" spans="1:822 1102:2000 2067:2988 3247:4040" x14ac:dyDescent="0.25">
      <c r="A134" s="48">
        <v>4001905</v>
      </c>
      <c r="KE134">
        <v>20</v>
      </c>
      <c r="KF134">
        <v>1</v>
      </c>
      <c r="KH134">
        <v>20.5</v>
      </c>
      <c r="KJ134">
        <v>1</v>
      </c>
      <c r="KK134">
        <v>8</v>
      </c>
      <c r="LS134">
        <v>1</v>
      </c>
      <c r="TQ134" s="48"/>
      <c r="TR134" s="48">
        <v>75</v>
      </c>
      <c r="TS134" s="48">
        <v>1</v>
      </c>
      <c r="TT134" s="48"/>
      <c r="TU134" s="48"/>
      <c r="TV134" s="48">
        <v>1</v>
      </c>
      <c r="TX134">
        <v>1</v>
      </c>
      <c r="TY134">
        <v>43</v>
      </c>
      <c r="TZ134">
        <v>42</v>
      </c>
      <c r="UA134">
        <v>0</v>
      </c>
      <c r="UB134">
        <v>0</v>
      </c>
      <c r="DGM134">
        <v>5</v>
      </c>
      <c r="DGN134">
        <v>1</v>
      </c>
      <c r="DGQ134">
        <v>1</v>
      </c>
      <c r="DGR134">
        <v>999</v>
      </c>
      <c r="DGS134">
        <v>999</v>
      </c>
      <c r="DGT134">
        <v>0</v>
      </c>
      <c r="DGU134">
        <v>0</v>
      </c>
      <c r="DHG134">
        <v>20</v>
      </c>
      <c r="DHH134">
        <v>1</v>
      </c>
      <c r="DHK134">
        <v>1</v>
      </c>
      <c r="DHL134">
        <v>732</v>
      </c>
      <c r="DHM134">
        <v>732</v>
      </c>
      <c r="DHN134">
        <v>0</v>
      </c>
      <c r="DHO134">
        <v>0</v>
      </c>
      <c r="ERU134">
        <v>1</v>
      </c>
      <c r="EUF134">
        <v>1</v>
      </c>
      <c r="EVG134">
        <v>1</v>
      </c>
    </row>
    <row r="135" spans="1:822 1102:2000 2067:2988 3247:4040" x14ac:dyDescent="0.25">
      <c r="A135" s="48">
        <v>4002206</v>
      </c>
      <c r="BQ135">
        <v>135</v>
      </c>
      <c r="CW135">
        <v>5.0599999999999996</v>
      </c>
      <c r="DZ135">
        <v>2.35</v>
      </c>
      <c r="KE135">
        <v>36</v>
      </c>
      <c r="KF135">
        <v>1</v>
      </c>
      <c r="KH135">
        <v>26.7</v>
      </c>
      <c r="KJ135">
        <v>1</v>
      </c>
      <c r="KK135">
        <v>8</v>
      </c>
      <c r="QW135">
        <v>1</v>
      </c>
      <c r="TQ135" s="48"/>
      <c r="TR135" s="48">
        <v>75</v>
      </c>
      <c r="TS135" s="48">
        <v>2</v>
      </c>
      <c r="TT135" s="48"/>
      <c r="TU135" s="48"/>
      <c r="TV135" s="48">
        <v>1</v>
      </c>
      <c r="TY135">
        <v>305</v>
      </c>
      <c r="TZ135">
        <v>305</v>
      </c>
      <c r="UA135">
        <v>0</v>
      </c>
      <c r="UB135">
        <v>0</v>
      </c>
      <c r="ESZ135">
        <v>1</v>
      </c>
      <c r="EUD135">
        <v>1</v>
      </c>
      <c r="EXR135">
        <v>1</v>
      </c>
    </row>
    <row r="136" spans="1:822 1102:2000 2067:2988 3247:4040" x14ac:dyDescent="0.25">
      <c r="A136" s="48">
        <v>4002715</v>
      </c>
      <c r="KE136">
        <v>60</v>
      </c>
      <c r="KG136">
        <v>1</v>
      </c>
      <c r="KH136">
        <v>22.1</v>
      </c>
      <c r="TQ136" s="48"/>
      <c r="TR136" s="48">
        <v>50</v>
      </c>
      <c r="TS136" s="48">
        <v>2</v>
      </c>
      <c r="TT136" s="48"/>
      <c r="TU136" s="48"/>
      <c r="TV136" s="48">
        <v>1</v>
      </c>
      <c r="TY136" s="35">
        <v>999</v>
      </c>
      <c r="TZ136">
        <v>214</v>
      </c>
      <c r="UA136">
        <v>0</v>
      </c>
      <c r="UB136">
        <v>999</v>
      </c>
      <c r="ERG136">
        <v>1</v>
      </c>
    </row>
    <row r="137" spans="1:822 1102:2000 2067:2988 3247:4040" x14ac:dyDescent="0.25">
      <c r="A137" s="48">
        <v>4003924</v>
      </c>
      <c r="KE137">
        <v>53</v>
      </c>
      <c r="KF137">
        <v>1</v>
      </c>
      <c r="KH137">
        <v>23.4</v>
      </c>
      <c r="KM137">
        <v>1</v>
      </c>
      <c r="LD137">
        <v>1</v>
      </c>
      <c r="MJ137">
        <v>1</v>
      </c>
      <c r="TF137">
        <v>1</v>
      </c>
      <c r="TQ137" s="48"/>
      <c r="TR137" s="48">
        <v>50</v>
      </c>
      <c r="TS137" s="48">
        <v>1</v>
      </c>
      <c r="TT137" s="48"/>
      <c r="TU137" s="48"/>
      <c r="TV137" s="48">
        <v>1</v>
      </c>
      <c r="TY137">
        <v>31</v>
      </c>
      <c r="TZ137">
        <v>39</v>
      </c>
      <c r="UA137">
        <v>9</v>
      </c>
      <c r="UB137">
        <v>0</v>
      </c>
      <c r="VC137">
        <v>500</v>
      </c>
      <c r="VG137">
        <v>1</v>
      </c>
      <c r="VH137">
        <v>999</v>
      </c>
      <c r="VI137">
        <v>999</v>
      </c>
      <c r="VJ137">
        <v>0</v>
      </c>
      <c r="VK137">
        <v>0</v>
      </c>
      <c r="ERG137">
        <v>1</v>
      </c>
      <c r="ERH137">
        <v>1</v>
      </c>
      <c r="EXA137">
        <v>1</v>
      </c>
    </row>
    <row r="138" spans="1:822 1102:2000 2067:2988 3247:4040" x14ac:dyDescent="0.25">
      <c r="A138" s="48">
        <v>4006051</v>
      </c>
      <c r="KE138">
        <v>66</v>
      </c>
      <c r="KG138">
        <v>1</v>
      </c>
      <c r="KJ138">
        <v>1</v>
      </c>
      <c r="KK138">
        <v>49</v>
      </c>
      <c r="KX138">
        <v>1</v>
      </c>
      <c r="LF138">
        <v>1</v>
      </c>
      <c r="NZ138">
        <v>1</v>
      </c>
      <c r="TQ138" s="48"/>
      <c r="TR138" s="48">
        <v>75</v>
      </c>
      <c r="TS138" s="48">
        <v>1</v>
      </c>
      <c r="TT138" s="48"/>
      <c r="TU138" s="48">
        <v>1</v>
      </c>
      <c r="TV138" s="48"/>
      <c r="ESZ138">
        <v>1</v>
      </c>
      <c r="EWD138">
        <v>1</v>
      </c>
      <c r="EXB138">
        <v>1</v>
      </c>
      <c r="EYA138">
        <v>1</v>
      </c>
    </row>
    <row r="139" spans="1:822 1102:2000 2067:2988 3247:4040" x14ac:dyDescent="0.25">
      <c r="A139" s="48">
        <v>4008140</v>
      </c>
      <c r="KE139">
        <v>57</v>
      </c>
      <c r="KG139">
        <v>1</v>
      </c>
      <c r="TK139">
        <v>1</v>
      </c>
      <c r="TQ139" s="48"/>
      <c r="TR139" s="48"/>
      <c r="TS139" s="48"/>
      <c r="TT139" s="48"/>
      <c r="TU139" s="48"/>
      <c r="TV139" s="48">
        <v>1</v>
      </c>
      <c r="TY139">
        <v>2</v>
      </c>
      <c r="TZ139">
        <v>17</v>
      </c>
      <c r="UA139">
        <v>16</v>
      </c>
      <c r="UB139">
        <v>0</v>
      </c>
      <c r="YC139">
        <v>2</v>
      </c>
      <c r="YD139">
        <v>18</v>
      </c>
      <c r="YE139">
        <v>17</v>
      </c>
      <c r="YF139">
        <v>0</v>
      </c>
      <c r="AEC139">
        <v>17</v>
      </c>
      <c r="AED139">
        <v>15</v>
      </c>
      <c r="AEE139">
        <v>0</v>
      </c>
      <c r="AEF139">
        <v>1</v>
      </c>
      <c r="APJ139">
        <v>1</v>
      </c>
      <c r="APK139">
        <v>10</v>
      </c>
      <c r="APL139">
        <v>10</v>
      </c>
      <c r="APM139">
        <v>1</v>
      </c>
      <c r="APN139">
        <v>0</v>
      </c>
      <c r="ERU139">
        <v>1</v>
      </c>
      <c r="ETD139">
        <v>1</v>
      </c>
      <c r="EXB139">
        <v>1</v>
      </c>
      <c r="EYJ139">
        <v>1</v>
      </c>
    </row>
    <row r="140" spans="1:822 1102:2000 2067:2988 3247:4040" x14ac:dyDescent="0.25">
      <c r="A140" s="48">
        <v>4009906</v>
      </c>
      <c r="N140">
        <v>33.1</v>
      </c>
      <c r="AB140">
        <v>32.5</v>
      </c>
      <c r="AC140">
        <v>33.9</v>
      </c>
      <c r="AD140">
        <v>33.4</v>
      </c>
      <c r="KE140">
        <v>51</v>
      </c>
      <c r="KG140">
        <v>1</v>
      </c>
      <c r="KH140">
        <v>20.5</v>
      </c>
      <c r="KX140">
        <v>1</v>
      </c>
      <c r="TN140">
        <v>1</v>
      </c>
      <c r="TQ140" s="48"/>
      <c r="TR140" s="56"/>
      <c r="TS140" s="48"/>
      <c r="TT140" s="48"/>
      <c r="TU140" s="48"/>
      <c r="TV140" s="48"/>
      <c r="TX140">
        <v>1</v>
      </c>
      <c r="TY140">
        <v>519</v>
      </c>
      <c r="TZ140">
        <v>519</v>
      </c>
      <c r="UA140">
        <v>0</v>
      </c>
      <c r="DXT140">
        <v>50</v>
      </c>
      <c r="DXY140">
        <v>1</v>
      </c>
      <c r="DXZ140">
        <v>999</v>
      </c>
      <c r="DYA140">
        <v>999</v>
      </c>
      <c r="DYB140">
        <v>0</v>
      </c>
      <c r="DYC140">
        <v>90</v>
      </c>
      <c r="EUD140">
        <v>1</v>
      </c>
    </row>
    <row r="141" spans="1:822 1102:2000 2067:2988 3247:4040" x14ac:dyDescent="0.25">
      <c r="A141" s="48">
        <v>4011027</v>
      </c>
      <c r="BR141">
        <v>147</v>
      </c>
      <c r="BS141">
        <v>144</v>
      </c>
      <c r="CX141">
        <v>3.4</v>
      </c>
      <c r="CY141">
        <v>2.7</v>
      </c>
      <c r="EB141">
        <v>1.3</v>
      </c>
      <c r="EW141">
        <v>0.23</v>
      </c>
      <c r="FI141" s="3">
        <v>84.325999999999993</v>
      </c>
      <c r="FJ141" s="3"/>
      <c r="FK141" s="3"/>
      <c r="FT141" s="48"/>
      <c r="FU141" s="48"/>
      <c r="FV141" s="48">
        <v>72</v>
      </c>
      <c r="FW141" s="48"/>
      <c r="FX141" s="48"/>
      <c r="FY141" s="48"/>
      <c r="FZ141" s="48"/>
      <c r="GA141" s="48"/>
      <c r="GB141" s="48"/>
      <c r="GX141" s="3">
        <v>100.8896</v>
      </c>
      <c r="HW141">
        <v>4700</v>
      </c>
      <c r="KE141">
        <v>45</v>
      </c>
      <c r="KF141">
        <v>1</v>
      </c>
      <c r="KH141">
        <v>17.899999999999999</v>
      </c>
      <c r="KJ141">
        <v>1</v>
      </c>
      <c r="KK141">
        <v>19</v>
      </c>
      <c r="MP141">
        <v>1</v>
      </c>
      <c r="MQ141">
        <v>1</v>
      </c>
      <c r="QV141">
        <v>1</v>
      </c>
      <c r="TQ141" s="48"/>
      <c r="TR141" s="48">
        <v>50</v>
      </c>
      <c r="TS141" s="48">
        <v>2</v>
      </c>
      <c r="TT141" s="48"/>
      <c r="TU141" s="48"/>
      <c r="TV141" s="48">
        <v>1</v>
      </c>
      <c r="TY141">
        <v>3</v>
      </c>
      <c r="TZ141">
        <v>13</v>
      </c>
      <c r="UA141">
        <v>11</v>
      </c>
      <c r="UB141">
        <v>0</v>
      </c>
      <c r="AEH141">
        <v>4</v>
      </c>
      <c r="AEI141">
        <v>2</v>
      </c>
      <c r="AEL141">
        <v>1</v>
      </c>
      <c r="AEM141">
        <v>3</v>
      </c>
      <c r="AEN141">
        <v>13</v>
      </c>
      <c r="AEO141">
        <v>11</v>
      </c>
      <c r="AEP141">
        <v>0</v>
      </c>
      <c r="ERG141">
        <v>1</v>
      </c>
      <c r="ESP141">
        <v>1</v>
      </c>
      <c r="EXK141">
        <v>1</v>
      </c>
      <c r="EXN141">
        <v>1</v>
      </c>
    </row>
    <row r="142" spans="1:822 1102:2000 2067:2988 3247:4040" x14ac:dyDescent="0.25">
      <c r="A142" s="48">
        <v>4011920</v>
      </c>
      <c r="FT142" s="48"/>
      <c r="FU142" s="48"/>
      <c r="FV142" s="48"/>
      <c r="FW142" s="48"/>
      <c r="FX142" s="48"/>
      <c r="FY142" s="48"/>
      <c r="FZ142" s="48"/>
      <c r="GA142" s="48"/>
      <c r="GB142" s="48"/>
      <c r="KE142">
        <v>61</v>
      </c>
      <c r="KG142">
        <v>1</v>
      </c>
      <c r="KH142">
        <v>23.2</v>
      </c>
      <c r="KK142">
        <v>14</v>
      </c>
      <c r="QT142">
        <v>1</v>
      </c>
      <c r="TQ142" s="48"/>
      <c r="TR142" s="48">
        <v>50</v>
      </c>
      <c r="TS142" s="48">
        <v>1</v>
      </c>
      <c r="TT142" s="48"/>
      <c r="TU142" s="48"/>
      <c r="TV142" s="48">
        <v>1</v>
      </c>
      <c r="TY142">
        <v>54</v>
      </c>
      <c r="TZ142">
        <v>53</v>
      </c>
      <c r="UA142">
        <v>0</v>
      </c>
      <c r="UB142">
        <v>0</v>
      </c>
      <c r="CLB142">
        <v>3</v>
      </c>
      <c r="CLE142">
        <v>1</v>
      </c>
      <c r="CLF142">
        <v>54</v>
      </c>
      <c r="CLG142">
        <v>53</v>
      </c>
      <c r="CLH142">
        <v>0</v>
      </c>
      <c r="CLI142">
        <v>0</v>
      </c>
      <c r="CLV142">
        <v>20</v>
      </c>
      <c r="CLW142">
        <v>1</v>
      </c>
      <c r="CLZ142">
        <v>1</v>
      </c>
      <c r="CMA142" s="35">
        <v>999</v>
      </c>
      <c r="CMB142">
        <v>35</v>
      </c>
      <c r="CMC142">
        <v>0</v>
      </c>
      <c r="CMD142">
        <v>999</v>
      </c>
    </row>
    <row r="143" spans="1:822 1102:2000 2067:2988 3247:4040" x14ac:dyDescent="0.25">
      <c r="A143" s="48">
        <v>4012248</v>
      </c>
      <c r="FT143" s="48"/>
      <c r="FU143" s="48"/>
      <c r="FV143" s="48"/>
      <c r="FW143" s="48"/>
      <c r="FX143" s="48"/>
      <c r="FY143" s="48"/>
      <c r="FZ143" s="48"/>
      <c r="GA143" s="48"/>
      <c r="GB143" s="48"/>
      <c r="KE143">
        <v>45</v>
      </c>
      <c r="KF143">
        <v>1</v>
      </c>
      <c r="KJ143">
        <v>1</v>
      </c>
      <c r="KK143">
        <v>32</v>
      </c>
      <c r="LY143">
        <v>1</v>
      </c>
      <c r="TA143">
        <v>1</v>
      </c>
      <c r="TQ143" s="48"/>
      <c r="TR143" s="48"/>
      <c r="TS143" s="48"/>
      <c r="TT143" s="48"/>
      <c r="TU143" s="48"/>
      <c r="TV143" s="48"/>
      <c r="AWS143">
        <v>150</v>
      </c>
      <c r="AWT143">
        <v>1</v>
      </c>
      <c r="AWW143">
        <v>1</v>
      </c>
      <c r="AWX143">
        <v>29</v>
      </c>
      <c r="AWY143">
        <v>28</v>
      </c>
      <c r="AWZ143">
        <v>0</v>
      </c>
      <c r="AXA143">
        <v>0</v>
      </c>
      <c r="DFI143">
        <v>3</v>
      </c>
      <c r="DFJ143">
        <v>1</v>
      </c>
      <c r="DFM143">
        <v>1</v>
      </c>
      <c r="DFN143">
        <v>26</v>
      </c>
      <c r="DFO143">
        <v>25</v>
      </c>
      <c r="DFP143">
        <v>0</v>
      </c>
      <c r="DFQ143">
        <v>0</v>
      </c>
      <c r="DJP143">
        <v>1200</v>
      </c>
      <c r="DJQ143">
        <v>1</v>
      </c>
      <c r="DJT143">
        <v>1</v>
      </c>
      <c r="DJU143" s="35">
        <v>999</v>
      </c>
      <c r="DJV143">
        <v>28</v>
      </c>
      <c r="DJW143">
        <v>0</v>
      </c>
      <c r="DJX143">
        <v>999</v>
      </c>
      <c r="EWV143">
        <v>1</v>
      </c>
    </row>
    <row r="144" spans="1:822 1102:2000 2067:2988 3247:4040" x14ac:dyDescent="0.25">
      <c r="A144" s="48">
        <v>4013603</v>
      </c>
      <c r="FT144" s="48"/>
      <c r="FU144" s="48"/>
      <c r="FV144" s="48"/>
      <c r="FW144" s="48"/>
      <c r="FX144" s="48"/>
      <c r="FY144" s="48"/>
      <c r="FZ144" s="48"/>
      <c r="GA144" s="48"/>
      <c r="GB144" s="48"/>
      <c r="KE144">
        <v>38</v>
      </c>
      <c r="KG144">
        <v>1</v>
      </c>
      <c r="KH144">
        <v>30.1</v>
      </c>
      <c r="TQ144" s="48"/>
      <c r="TR144" s="48"/>
      <c r="TS144" s="48"/>
      <c r="TT144" s="48"/>
      <c r="TU144" s="48">
        <v>1</v>
      </c>
      <c r="TV144" s="48"/>
      <c r="TY144">
        <v>2</v>
      </c>
      <c r="TZ144">
        <v>2</v>
      </c>
      <c r="UA144">
        <v>1</v>
      </c>
      <c r="UB144">
        <v>0</v>
      </c>
      <c r="DFV144">
        <v>1</v>
      </c>
      <c r="DFX144" s="35">
        <v>999</v>
      </c>
      <c r="DFY144">
        <v>2</v>
      </c>
      <c r="DFZ144">
        <v>0</v>
      </c>
      <c r="DGA144">
        <v>999</v>
      </c>
      <c r="ESZ144">
        <v>1</v>
      </c>
      <c r="ETA144">
        <v>1</v>
      </c>
      <c r="EUE144">
        <v>1</v>
      </c>
      <c r="EWW144">
        <v>1</v>
      </c>
      <c r="EYD144">
        <v>1</v>
      </c>
      <c r="EYJ144">
        <v>1</v>
      </c>
    </row>
    <row r="145" spans="1:984 1046:1975 2179:2978 3131:4040 4225:4284" x14ac:dyDescent="0.25">
      <c r="A145" s="48">
        <v>5004654</v>
      </c>
      <c r="N145" s="3">
        <v>30.9389</v>
      </c>
      <c r="P145" s="3">
        <v>29.8109</v>
      </c>
      <c r="Q145" s="3">
        <v>29.8109</v>
      </c>
      <c r="R145" s="3">
        <v>31.4223</v>
      </c>
      <c r="S145" s="3"/>
      <c r="T145" s="3">
        <v>30.9389</v>
      </c>
      <c r="V145" s="3">
        <v>31.1</v>
      </c>
      <c r="X145" s="3">
        <v>30.9389</v>
      </c>
      <c r="BQ145">
        <v>141</v>
      </c>
      <c r="BW145">
        <v>143</v>
      </c>
      <c r="BY145">
        <v>143</v>
      </c>
      <c r="CF145">
        <v>143</v>
      </c>
      <c r="CX145">
        <v>4.1399999999999997</v>
      </c>
      <c r="DC145">
        <v>4.43</v>
      </c>
      <c r="DE145">
        <v>4.68</v>
      </c>
      <c r="DK145">
        <v>5.42</v>
      </c>
      <c r="EA145">
        <v>2.21</v>
      </c>
      <c r="EF145">
        <v>2.25</v>
      </c>
      <c r="EH145">
        <v>2.2799999999999998</v>
      </c>
      <c r="EK145">
        <v>2.35</v>
      </c>
      <c r="FI145" s="3">
        <v>45.792900000000003</v>
      </c>
      <c r="FJ145" s="3"/>
      <c r="FK145" s="3"/>
      <c r="FT145" s="48"/>
      <c r="FU145" s="54">
        <v>1999</v>
      </c>
      <c r="FV145" s="48"/>
      <c r="FW145" s="48"/>
      <c r="FX145" s="48"/>
      <c r="FY145" s="48"/>
      <c r="FZ145" s="48"/>
      <c r="GA145" s="48"/>
      <c r="GB145" s="48"/>
      <c r="GN145">
        <v>7.4</v>
      </c>
      <c r="GX145" s="3">
        <v>100.8896</v>
      </c>
      <c r="GZ145" s="3">
        <v>136.92160000000001</v>
      </c>
      <c r="HA145" s="3">
        <v>99.087999999999994</v>
      </c>
      <c r="HB145" s="3">
        <v>138.72319999999999</v>
      </c>
      <c r="HC145" s="3">
        <v>100.8896</v>
      </c>
      <c r="HD145" s="3"/>
      <c r="HE145" s="3">
        <v>153.136</v>
      </c>
      <c r="HF145" s="3">
        <v>180.16</v>
      </c>
      <c r="HG145" s="3">
        <v>167.5488</v>
      </c>
      <c r="HH145" s="3">
        <v>165.74719999999999</v>
      </c>
      <c r="HI145" s="3">
        <v>111.51900000000001</v>
      </c>
      <c r="HJ145" s="3">
        <v>129.71520000000001</v>
      </c>
      <c r="HK145" s="3">
        <v>104.4928</v>
      </c>
      <c r="HL145" s="3">
        <v>122.50879999999999</v>
      </c>
      <c r="HM145" s="3">
        <v>113.5008</v>
      </c>
      <c r="HN145" s="3"/>
      <c r="HO145" s="3"/>
      <c r="HQ145" s="3"/>
      <c r="HR145" s="3"/>
      <c r="HS145" s="3"/>
      <c r="HT145" s="3"/>
      <c r="HX145">
        <v>5500</v>
      </c>
      <c r="HZ145">
        <v>6400</v>
      </c>
      <c r="KE145">
        <v>64</v>
      </c>
      <c r="KG145">
        <v>1</v>
      </c>
      <c r="KS145">
        <v>1</v>
      </c>
      <c r="LY145">
        <v>1</v>
      </c>
      <c r="NZ145">
        <v>1</v>
      </c>
      <c r="OD145">
        <v>1</v>
      </c>
      <c r="QP145">
        <v>1</v>
      </c>
      <c r="QQ145">
        <v>1</v>
      </c>
      <c r="SP145">
        <v>1</v>
      </c>
      <c r="TQ145" s="48"/>
      <c r="TR145" s="48"/>
      <c r="TS145" s="48"/>
      <c r="TT145" s="48"/>
      <c r="TU145" s="48"/>
      <c r="TV145" s="48">
        <v>1</v>
      </c>
      <c r="TY145" s="35">
        <v>999</v>
      </c>
      <c r="UA145">
        <v>0</v>
      </c>
      <c r="UB145">
        <v>999</v>
      </c>
      <c r="BBP145">
        <v>1</v>
      </c>
      <c r="BES145">
        <v>1</v>
      </c>
      <c r="BEY145">
        <v>10</v>
      </c>
      <c r="BFC145">
        <v>1</v>
      </c>
      <c r="BWU145">
        <v>10</v>
      </c>
      <c r="BWY145">
        <v>1</v>
      </c>
      <c r="EXA145">
        <v>1</v>
      </c>
    </row>
    <row r="146" spans="1:984 1046:1975 2179:2978 3131:4040 4225:4284" x14ac:dyDescent="0.25">
      <c r="A146" s="52"/>
      <c r="FT146" s="48"/>
      <c r="FU146" s="48"/>
      <c r="FV146" s="48"/>
      <c r="FW146" s="48"/>
      <c r="FX146" s="48"/>
      <c r="FY146" s="48"/>
      <c r="FZ146" s="48"/>
      <c r="GA146" s="48"/>
      <c r="GB146" s="48"/>
      <c r="TQ146" s="48"/>
      <c r="TR146" s="48"/>
      <c r="TS146" s="48"/>
      <c r="TT146" s="48"/>
      <c r="TU146" s="48"/>
      <c r="TV146" s="48"/>
    </row>
    <row r="147" spans="1:984 1046:1975 2179:2978 3131:4040 4225:4284" x14ac:dyDescent="0.25">
      <c r="A147" s="50" t="s">
        <v>109</v>
      </c>
      <c r="FT147" s="48"/>
      <c r="FU147" s="48"/>
      <c r="FV147" s="48"/>
      <c r="FW147" s="48"/>
      <c r="FX147" s="48"/>
      <c r="FY147" s="48"/>
      <c r="FZ147" s="48"/>
      <c r="GA147" s="48"/>
      <c r="GB147" s="48"/>
      <c r="TQ147" s="48"/>
      <c r="TR147" s="48"/>
      <c r="TS147" s="48"/>
      <c r="TT147" s="48"/>
      <c r="TU147" s="48"/>
      <c r="TV147" s="48"/>
    </row>
    <row r="148" spans="1:984 1046:1975 2179:2978 3131:4040 4225:4284" x14ac:dyDescent="0.25">
      <c r="A148" s="48">
        <v>4289</v>
      </c>
      <c r="DZ148">
        <v>2.1</v>
      </c>
      <c r="EA148">
        <v>1.9</v>
      </c>
      <c r="EB148">
        <v>1.6</v>
      </c>
      <c r="FT148" s="48"/>
      <c r="FU148" s="48"/>
      <c r="FV148" s="48"/>
      <c r="FW148" s="48"/>
      <c r="FX148" s="48"/>
      <c r="FY148" s="48"/>
      <c r="FZ148" s="48"/>
      <c r="GA148" s="48"/>
      <c r="GB148" s="48"/>
      <c r="GG148">
        <v>42.2</v>
      </c>
      <c r="KE148">
        <v>17</v>
      </c>
      <c r="KG148">
        <v>1</v>
      </c>
      <c r="KH148">
        <v>20.2</v>
      </c>
      <c r="KJ148">
        <v>1</v>
      </c>
      <c r="KK148">
        <v>274</v>
      </c>
      <c r="TQ148" s="48"/>
      <c r="TR148" s="48"/>
      <c r="TS148" s="48"/>
      <c r="TT148" s="48"/>
      <c r="TU148" s="48"/>
      <c r="TV148" s="48"/>
      <c r="UE148">
        <v>8000</v>
      </c>
      <c r="UF148">
        <v>1</v>
      </c>
      <c r="UI148">
        <v>1</v>
      </c>
      <c r="UK148">
        <v>1</v>
      </c>
      <c r="UL148">
        <v>0</v>
      </c>
      <c r="UM148">
        <v>0</v>
      </c>
      <c r="UN148">
        <v>0</v>
      </c>
      <c r="BQR148">
        <v>2.5</v>
      </c>
      <c r="BQT148">
        <v>1</v>
      </c>
      <c r="BQW148">
        <v>2</v>
      </c>
      <c r="BQX148">
        <v>0</v>
      </c>
      <c r="BQY148">
        <v>0</v>
      </c>
      <c r="BQZ148">
        <v>1</v>
      </c>
      <c r="DIV148">
        <v>1725</v>
      </c>
      <c r="DIZ148">
        <v>1</v>
      </c>
      <c r="DJA148">
        <v>1</v>
      </c>
      <c r="DJB148">
        <v>0</v>
      </c>
      <c r="DJC148">
        <v>0</v>
      </c>
      <c r="DJD148">
        <v>0</v>
      </c>
      <c r="DJF148">
        <v>4500</v>
      </c>
      <c r="DJG148">
        <v>1</v>
      </c>
      <c r="DJJ148">
        <v>1</v>
      </c>
      <c r="DJK148">
        <v>1</v>
      </c>
      <c r="DJL148">
        <v>0</v>
      </c>
      <c r="DJM148">
        <v>0</v>
      </c>
      <c r="DJN148">
        <v>0</v>
      </c>
      <c r="DRH148">
        <v>1</v>
      </c>
      <c r="DRI148">
        <v>1</v>
      </c>
      <c r="DRJ148">
        <v>0</v>
      </c>
      <c r="DRK148">
        <v>0</v>
      </c>
      <c r="DRL148">
        <v>0</v>
      </c>
      <c r="ESI148">
        <v>1</v>
      </c>
      <c r="ESK148">
        <v>1</v>
      </c>
      <c r="ETE148">
        <v>1</v>
      </c>
      <c r="ETJ148">
        <v>1</v>
      </c>
      <c r="EUR148">
        <v>1</v>
      </c>
      <c r="EVG148">
        <v>1</v>
      </c>
      <c r="EVJ148">
        <v>1</v>
      </c>
      <c r="EVN148">
        <v>1</v>
      </c>
      <c r="EVR148">
        <v>1</v>
      </c>
      <c r="EWO148">
        <v>1</v>
      </c>
      <c r="EWW148">
        <v>1</v>
      </c>
      <c r="EYA148">
        <v>1</v>
      </c>
    </row>
    <row r="149" spans="1:984 1046:1975 2179:2978 3131:4040 4225:4284" x14ac:dyDescent="0.25">
      <c r="A149" s="48">
        <v>500245</v>
      </c>
      <c r="BQ149">
        <v>122</v>
      </c>
      <c r="BT149">
        <v>150</v>
      </c>
      <c r="BZ149">
        <v>150</v>
      </c>
      <c r="DZ149">
        <v>2.8</v>
      </c>
      <c r="EC149">
        <v>212</v>
      </c>
      <c r="EI149">
        <v>2.31</v>
      </c>
      <c r="FT149" s="48"/>
      <c r="FU149" s="48"/>
      <c r="FV149" s="48"/>
      <c r="FW149" s="48"/>
      <c r="FX149" s="48"/>
      <c r="FY149" s="48"/>
      <c r="FZ149" s="48"/>
      <c r="GA149" s="48"/>
      <c r="GB149" s="48"/>
      <c r="GW149" s="3">
        <v>70.2624</v>
      </c>
      <c r="KE149">
        <v>55</v>
      </c>
      <c r="KF149">
        <v>1</v>
      </c>
      <c r="KH149">
        <v>27.8</v>
      </c>
      <c r="KM149">
        <v>1</v>
      </c>
      <c r="TQ149" s="48"/>
      <c r="TR149" s="48"/>
      <c r="TS149" s="48"/>
      <c r="TT149" s="48"/>
      <c r="TU149" s="48"/>
      <c r="TV149" s="48"/>
      <c r="UE149">
        <v>200</v>
      </c>
      <c r="UF149">
        <v>3</v>
      </c>
      <c r="UI149">
        <v>1</v>
      </c>
      <c r="UK149">
        <v>3</v>
      </c>
      <c r="UL149">
        <v>3</v>
      </c>
      <c r="UM149">
        <v>1</v>
      </c>
      <c r="UN149">
        <v>0</v>
      </c>
      <c r="VC149">
        <v>500</v>
      </c>
      <c r="VD149">
        <v>2</v>
      </c>
      <c r="VG149">
        <v>1</v>
      </c>
      <c r="VH149">
        <v>11</v>
      </c>
      <c r="VI149">
        <v>10</v>
      </c>
      <c r="VJ149">
        <v>0</v>
      </c>
      <c r="VK149">
        <v>0</v>
      </c>
      <c r="AHK149">
        <v>500</v>
      </c>
      <c r="AHL149">
        <v>3</v>
      </c>
      <c r="AHO149">
        <v>1</v>
      </c>
      <c r="AHP149">
        <v>3</v>
      </c>
      <c r="AHQ149">
        <v>3</v>
      </c>
      <c r="AHR149">
        <v>1</v>
      </c>
      <c r="AHS149">
        <v>0</v>
      </c>
      <c r="ETE149">
        <v>1</v>
      </c>
      <c r="EUW149">
        <v>1</v>
      </c>
      <c r="EUZ149">
        <v>1</v>
      </c>
      <c r="EXA149">
        <v>1</v>
      </c>
      <c r="EXD149">
        <v>1</v>
      </c>
      <c r="FHQ149">
        <v>1</v>
      </c>
      <c r="FHT149">
        <v>1</v>
      </c>
    </row>
    <row r="150" spans="1:984 1046:1975 2179:2978 3131:4040 4225:4284" x14ac:dyDescent="0.25">
      <c r="A150" s="48">
        <v>2002573</v>
      </c>
      <c r="BX150">
        <v>136</v>
      </c>
      <c r="DD150">
        <v>3.9</v>
      </c>
      <c r="EG150">
        <v>2.2599999999999998</v>
      </c>
      <c r="FT150" s="48"/>
      <c r="FU150" s="48"/>
      <c r="FV150" s="48"/>
      <c r="FW150" s="48"/>
      <c r="FX150" s="48"/>
      <c r="FY150" s="48"/>
      <c r="FZ150" s="48"/>
      <c r="GA150" s="48"/>
      <c r="GB150" s="48"/>
      <c r="HD150" s="3">
        <v>104.4928</v>
      </c>
      <c r="KE150">
        <v>57</v>
      </c>
      <c r="KG150">
        <v>1</v>
      </c>
      <c r="KK150">
        <v>19</v>
      </c>
      <c r="NJ150">
        <v>1</v>
      </c>
      <c r="NK150">
        <v>1</v>
      </c>
      <c r="QJ150">
        <v>1</v>
      </c>
      <c r="QT150">
        <v>1</v>
      </c>
      <c r="SI150">
        <v>1</v>
      </c>
      <c r="TQ150" s="48"/>
      <c r="TR150" s="48"/>
      <c r="TS150" s="48"/>
      <c r="TT150" s="48"/>
      <c r="TU150" s="48"/>
      <c r="TV150" s="48"/>
      <c r="UE150">
        <v>600</v>
      </c>
      <c r="UF150">
        <v>1</v>
      </c>
      <c r="UI150">
        <v>1</v>
      </c>
      <c r="UK150" s="15">
        <v>999</v>
      </c>
      <c r="UL150">
        <v>999</v>
      </c>
      <c r="UM150">
        <v>7</v>
      </c>
      <c r="UN150">
        <v>0</v>
      </c>
      <c r="DUG150">
        <v>40</v>
      </c>
      <c r="DUH150">
        <v>1</v>
      </c>
      <c r="DUK150">
        <v>11</v>
      </c>
      <c r="DUL150">
        <v>16</v>
      </c>
      <c r="DUM150">
        <v>9</v>
      </c>
      <c r="DUN150">
        <v>0</v>
      </c>
      <c r="DUO150">
        <v>6</v>
      </c>
      <c r="ESZ150">
        <v>1</v>
      </c>
      <c r="ETA150">
        <v>1</v>
      </c>
      <c r="ETG150">
        <v>1</v>
      </c>
      <c r="EXO150">
        <v>1</v>
      </c>
      <c r="EYF150">
        <v>1</v>
      </c>
      <c r="EYJ150">
        <v>1</v>
      </c>
    </row>
    <row r="151" spans="1:984 1046:1975 2179:2978 3131:4040 4225:4284" x14ac:dyDescent="0.25">
      <c r="A151" s="48">
        <v>2003539</v>
      </c>
      <c r="FT151" s="48"/>
      <c r="FU151" s="48"/>
      <c r="FV151" s="48"/>
      <c r="FW151" s="48"/>
      <c r="FX151" s="48"/>
      <c r="FY151" s="48"/>
      <c r="FZ151" s="48"/>
      <c r="GA151" s="48"/>
      <c r="GB151" s="48"/>
      <c r="KE151">
        <v>62</v>
      </c>
      <c r="KG151">
        <v>1</v>
      </c>
      <c r="KH151">
        <v>24.6</v>
      </c>
      <c r="TQ151" s="48"/>
      <c r="TR151" s="48"/>
      <c r="TS151" s="48"/>
      <c r="TT151" s="48"/>
      <c r="TU151" s="48"/>
      <c r="TV151" s="48"/>
      <c r="UE151">
        <v>400</v>
      </c>
      <c r="UF151">
        <v>3</v>
      </c>
      <c r="UI151">
        <v>1</v>
      </c>
      <c r="UK151">
        <v>7</v>
      </c>
      <c r="UL151">
        <v>7</v>
      </c>
      <c r="UM151">
        <v>1</v>
      </c>
      <c r="UN151">
        <v>0</v>
      </c>
      <c r="EBK151">
        <v>2</v>
      </c>
      <c r="EBO151">
        <v>1</v>
      </c>
      <c r="EBP151">
        <v>7</v>
      </c>
      <c r="EBQ151">
        <v>7</v>
      </c>
      <c r="EBR151">
        <v>1</v>
      </c>
      <c r="EBS151">
        <v>0</v>
      </c>
      <c r="EXA151">
        <v>1</v>
      </c>
      <c r="FFM151">
        <v>1</v>
      </c>
    </row>
    <row r="152" spans="1:984 1046:1975 2179:2978 3131:4040 4225:4284" x14ac:dyDescent="0.25">
      <c r="A152" s="48">
        <v>2003649</v>
      </c>
      <c r="FT152" s="48"/>
      <c r="FU152" s="48"/>
      <c r="FV152" s="48"/>
      <c r="FW152" s="48"/>
      <c r="FX152" s="48"/>
      <c r="FY152" s="48"/>
      <c r="FZ152" s="48"/>
      <c r="GA152" s="48"/>
      <c r="GB152" s="48"/>
      <c r="KE152">
        <v>48</v>
      </c>
      <c r="KF152">
        <v>1</v>
      </c>
      <c r="KH152">
        <v>24</v>
      </c>
      <c r="KJ152">
        <v>1</v>
      </c>
      <c r="KL152">
        <v>1</v>
      </c>
      <c r="KM152">
        <v>1</v>
      </c>
      <c r="MT152">
        <v>1</v>
      </c>
      <c r="PH152">
        <v>1</v>
      </c>
      <c r="QL152">
        <v>1</v>
      </c>
      <c r="SP152">
        <v>1</v>
      </c>
      <c r="TQ152" s="48"/>
      <c r="TR152" s="48"/>
      <c r="TS152" s="48"/>
      <c r="TT152" s="48"/>
      <c r="TU152" s="48"/>
      <c r="TV152" s="48"/>
      <c r="UE152">
        <v>600</v>
      </c>
      <c r="UF152">
        <v>2</v>
      </c>
      <c r="UI152">
        <v>1</v>
      </c>
      <c r="UK152">
        <v>336</v>
      </c>
      <c r="UL152">
        <v>335</v>
      </c>
      <c r="UM152">
        <v>0</v>
      </c>
      <c r="UN152">
        <v>1</v>
      </c>
      <c r="BAH152">
        <v>100</v>
      </c>
      <c r="BAI152">
        <v>1</v>
      </c>
      <c r="BAL152">
        <v>1</v>
      </c>
      <c r="BAM152" s="35">
        <v>999</v>
      </c>
      <c r="BAN152">
        <v>335</v>
      </c>
      <c r="BAO152">
        <v>0</v>
      </c>
      <c r="BAP152">
        <v>999</v>
      </c>
      <c r="BWA152">
        <v>20</v>
      </c>
      <c r="BWB152">
        <v>1</v>
      </c>
      <c r="BWE152">
        <v>1</v>
      </c>
      <c r="BWF152">
        <v>336</v>
      </c>
      <c r="BWG152">
        <v>335</v>
      </c>
      <c r="BWH152">
        <v>0</v>
      </c>
      <c r="BWI152">
        <v>0</v>
      </c>
      <c r="DQJ152">
        <v>50</v>
      </c>
      <c r="DQK152">
        <v>1</v>
      </c>
      <c r="DQN152">
        <v>1</v>
      </c>
      <c r="DQO152">
        <v>336</v>
      </c>
      <c r="DQP152">
        <v>335</v>
      </c>
      <c r="DQQ152">
        <v>0</v>
      </c>
      <c r="DQR152">
        <v>8</v>
      </c>
      <c r="EXB152">
        <v>1</v>
      </c>
      <c r="EXO152">
        <v>1</v>
      </c>
    </row>
    <row r="153" spans="1:984 1046:1975 2179:2978 3131:4040 4225:4284" x14ac:dyDescent="0.25">
      <c r="A153" s="48">
        <v>2005572</v>
      </c>
      <c r="BQ153">
        <v>138</v>
      </c>
      <c r="BS153">
        <v>138</v>
      </c>
      <c r="BV153">
        <v>138</v>
      </c>
      <c r="CW153">
        <v>3.5</v>
      </c>
      <c r="CY153">
        <v>3.8</v>
      </c>
      <c r="DB153">
        <v>3.8</v>
      </c>
      <c r="DZ153">
        <v>2.31</v>
      </c>
      <c r="EB153">
        <v>2.41</v>
      </c>
      <c r="EE153">
        <v>2.31</v>
      </c>
      <c r="FT153" s="48"/>
      <c r="FU153" s="48"/>
      <c r="FV153" s="48"/>
      <c r="FW153" s="48"/>
      <c r="FX153" s="48"/>
      <c r="FY153" s="48"/>
      <c r="FZ153" s="48"/>
      <c r="GA153" s="48"/>
      <c r="GB153" s="48"/>
      <c r="KE153">
        <v>22</v>
      </c>
      <c r="KG153">
        <v>1</v>
      </c>
      <c r="KH153">
        <v>19.2</v>
      </c>
      <c r="KJ153">
        <v>1</v>
      </c>
      <c r="KK153">
        <v>6</v>
      </c>
      <c r="LB153">
        <v>1</v>
      </c>
      <c r="LZ153">
        <v>1</v>
      </c>
      <c r="TQ153" s="48"/>
      <c r="TR153" s="48"/>
      <c r="TS153" s="48"/>
      <c r="TT153" s="48"/>
      <c r="TU153" s="48"/>
      <c r="TV153" s="48"/>
      <c r="UE153">
        <v>400</v>
      </c>
      <c r="UF153">
        <v>2</v>
      </c>
      <c r="UI153">
        <v>1</v>
      </c>
      <c r="UK153">
        <v>7</v>
      </c>
      <c r="UL153">
        <v>13</v>
      </c>
      <c r="UM153">
        <v>7</v>
      </c>
      <c r="UN153">
        <v>0</v>
      </c>
      <c r="VC153">
        <v>500</v>
      </c>
      <c r="VD153">
        <v>2</v>
      </c>
      <c r="VG153">
        <v>1</v>
      </c>
      <c r="VH153">
        <v>7</v>
      </c>
      <c r="VI153">
        <v>13</v>
      </c>
      <c r="VJ153">
        <v>7</v>
      </c>
      <c r="VK153">
        <v>0</v>
      </c>
      <c r="DAQ153">
        <v>25</v>
      </c>
      <c r="DAR153">
        <v>3</v>
      </c>
      <c r="DAU153">
        <v>1</v>
      </c>
      <c r="DAV153">
        <v>7</v>
      </c>
      <c r="DAW153">
        <v>13</v>
      </c>
      <c r="DAX153">
        <v>7</v>
      </c>
      <c r="DAY153">
        <v>0</v>
      </c>
      <c r="ESP153">
        <v>1</v>
      </c>
      <c r="ESX153">
        <v>1</v>
      </c>
      <c r="ETA153">
        <v>1</v>
      </c>
      <c r="EUD153">
        <v>1</v>
      </c>
      <c r="EWW153">
        <v>1</v>
      </c>
    </row>
    <row r="154" spans="1:984 1046:1975 2179:2978 3131:4040 4225:4284" x14ac:dyDescent="0.25">
      <c r="A154" s="48">
        <v>2013117</v>
      </c>
      <c r="FT154" s="48"/>
      <c r="FU154" s="48"/>
      <c r="FV154" s="48"/>
      <c r="FW154" s="48"/>
      <c r="FX154" s="48"/>
      <c r="FY154" s="48"/>
      <c r="FZ154" s="48"/>
      <c r="GA154" s="48"/>
      <c r="GB154" s="48"/>
      <c r="KE154">
        <v>63</v>
      </c>
      <c r="KG154">
        <v>1</v>
      </c>
      <c r="KH154">
        <v>29.41</v>
      </c>
      <c r="KK154">
        <v>30</v>
      </c>
      <c r="LD154">
        <v>1</v>
      </c>
      <c r="MR154">
        <v>1</v>
      </c>
      <c r="QL154">
        <v>1</v>
      </c>
      <c r="QM154">
        <v>1</v>
      </c>
      <c r="TQ154" s="48"/>
      <c r="TR154" s="48"/>
      <c r="TS154" s="48"/>
      <c r="TT154" s="48"/>
      <c r="TU154" s="48"/>
      <c r="TV154" s="48"/>
      <c r="UE154">
        <v>600</v>
      </c>
      <c r="UF154">
        <v>1</v>
      </c>
      <c r="UI154">
        <v>1</v>
      </c>
      <c r="UK154">
        <v>92</v>
      </c>
      <c r="DZD154">
        <v>1</v>
      </c>
      <c r="ERJ154">
        <v>1</v>
      </c>
      <c r="EXA154">
        <v>1</v>
      </c>
    </row>
    <row r="155" spans="1:984 1046:1975 2179:2978 3131:4040 4225:4284" x14ac:dyDescent="0.25">
      <c r="A155" s="48">
        <v>3009633</v>
      </c>
      <c r="CE155">
        <v>141</v>
      </c>
      <c r="DK155">
        <v>4.08</v>
      </c>
      <c r="EK155">
        <v>2.31</v>
      </c>
      <c r="FT155" s="48"/>
      <c r="FU155" s="48"/>
      <c r="FV155" s="48"/>
      <c r="FW155" s="48"/>
      <c r="FX155" s="48"/>
      <c r="FY155" s="48"/>
      <c r="FZ155" s="48"/>
      <c r="GA155" s="48"/>
      <c r="GB155" s="48"/>
      <c r="KE155">
        <v>67</v>
      </c>
      <c r="KG155">
        <v>1</v>
      </c>
      <c r="KH155">
        <v>33.200000000000003</v>
      </c>
      <c r="KK155">
        <v>23</v>
      </c>
      <c r="NG155">
        <v>1</v>
      </c>
      <c r="QO155">
        <v>1</v>
      </c>
      <c r="TQ155" s="48"/>
      <c r="TR155" s="48"/>
      <c r="TS155" s="48"/>
      <c r="TT155" s="48"/>
      <c r="TU155" s="48"/>
      <c r="TV155" s="48"/>
      <c r="UE155">
        <v>600</v>
      </c>
      <c r="UF155">
        <v>3</v>
      </c>
      <c r="UI155">
        <v>1</v>
      </c>
      <c r="UK155">
        <v>7</v>
      </c>
      <c r="UL155">
        <v>7</v>
      </c>
      <c r="UM155">
        <v>1</v>
      </c>
      <c r="UN155">
        <v>0</v>
      </c>
      <c r="DTW155" s="48"/>
      <c r="DTX155">
        <v>1</v>
      </c>
      <c r="DUA155">
        <v>1</v>
      </c>
      <c r="DUB155" s="35">
        <v>999</v>
      </c>
      <c r="DUC155">
        <v>999</v>
      </c>
      <c r="DUD155">
        <v>0</v>
      </c>
      <c r="DUE155">
        <v>999</v>
      </c>
      <c r="ESU155">
        <v>1</v>
      </c>
      <c r="ESZ155">
        <v>1</v>
      </c>
      <c r="ETD155">
        <v>1</v>
      </c>
      <c r="EUD155">
        <v>1</v>
      </c>
      <c r="EXB155">
        <v>1</v>
      </c>
      <c r="EYF155">
        <v>1</v>
      </c>
    </row>
    <row r="156" spans="1:984 1046:1975 2179:2978 3131:4040 4225:4284" x14ac:dyDescent="0.25">
      <c r="A156" s="48">
        <v>3010583</v>
      </c>
      <c r="FT156" s="48"/>
      <c r="FU156" s="48"/>
      <c r="FV156" s="48"/>
      <c r="FW156" s="48"/>
      <c r="FX156" s="48"/>
      <c r="FY156" s="48"/>
      <c r="FZ156" s="48"/>
      <c r="GA156" s="48"/>
      <c r="GB156" s="48"/>
      <c r="KE156">
        <v>36</v>
      </c>
      <c r="KF156">
        <v>1</v>
      </c>
      <c r="KH156">
        <v>27.8</v>
      </c>
      <c r="PN156">
        <v>1</v>
      </c>
      <c r="PX156">
        <v>1</v>
      </c>
      <c r="TQ156" s="48"/>
      <c r="TR156" s="48"/>
      <c r="TS156" s="48"/>
      <c r="TT156" s="48"/>
      <c r="TU156" s="48"/>
      <c r="TV156" s="48"/>
      <c r="UE156">
        <v>1200</v>
      </c>
      <c r="UF156">
        <v>1</v>
      </c>
      <c r="UI156">
        <v>1</v>
      </c>
      <c r="UK156">
        <v>3</v>
      </c>
      <c r="UL156">
        <v>2</v>
      </c>
      <c r="UM156">
        <v>0</v>
      </c>
      <c r="UN156">
        <v>0</v>
      </c>
      <c r="ANF156">
        <v>800</v>
      </c>
      <c r="ANG156">
        <v>1</v>
      </c>
      <c r="ANJ156">
        <v>1</v>
      </c>
      <c r="ANK156">
        <v>3</v>
      </c>
      <c r="ANL156">
        <v>2</v>
      </c>
      <c r="ANM156">
        <v>0</v>
      </c>
      <c r="ANN156">
        <v>0</v>
      </c>
      <c r="ERZ156">
        <v>1</v>
      </c>
      <c r="ESZ156">
        <v>1</v>
      </c>
      <c r="EUE156">
        <v>1</v>
      </c>
      <c r="EUP156">
        <v>1</v>
      </c>
      <c r="EXA156">
        <v>1</v>
      </c>
      <c r="EXO156">
        <v>1</v>
      </c>
    </row>
    <row r="157" spans="1:984 1046:1975 2179:2978 3131:4040 4225:4284" x14ac:dyDescent="0.25">
      <c r="A157" s="23">
        <v>3011892</v>
      </c>
      <c r="BZ157">
        <v>142</v>
      </c>
      <c r="DF157">
        <v>3.7</v>
      </c>
      <c r="EI157">
        <v>2.4</v>
      </c>
      <c r="FK157" s="3">
        <v>351.26510000000002</v>
      </c>
      <c r="FT157" s="48"/>
      <c r="FU157" s="48"/>
      <c r="FV157" s="48"/>
      <c r="FW157" s="48"/>
      <c r="FX157" s="48">
        <v>12989</v>
      </c>
      <c r="FY157" s="48"/>
      <c r="FZ157" s="48">
        <v>2022</v>
      </c>
      <c r="GA157" s="48"/>
      <c r="GB157" s="48"/>
      <c r="HF157" s="3">
        <v>81.072000000000003</v>
      </c>
      <c r="KE157">
        <v>48</v>
      </c>
      <c r="KG157">
        <v>1</v>
      </c>
      <c r="KH157">
        <v>24.2</v>
      </c>
      <c r="KJ157">
        <v>1</v>
      </c>
      <c r="KK157">
        <v>25</v>
      </c>
      <c r="KM157">
        <v>1</v>
      </c>
      <c r="PH157">
        <v>1</v>
      </c>
      <c r="QP157">
        <v>1</v>
      </c>
      <c r="RD157">
        <v>1</v>
      </c>
      <c r="TQ157" s="48"/>
      <c r="TR157" s="48"/>
      <c r="TS157" s="48"/>
      <c r="TT157" s="48"/>
      <c r="TU157" s="48"/>
      <c r="TV157" s="48"/>
      <c r="UE157">
        <v>800</v>
      </c>
      <c r="UF157">
        <v>0.1429</v>
      </c>
      <c r="UI157">
        <v>1</v>
      </c>
      <c r="UK157">
        <v>999</v>
      </c>
      <c r="UL157">
        <v>999</v>
      </c>
      <c r="UM157">
        <v>0</v>
      </c>
      <c r="UN157">
        <v>9</v>
      </c>
      <c r="CEU157">
        <v>0.14000000000000001</v>
      </c>
      <c r="CEX157">
        <v>1</v>
      </c>
      <c r="CEY157">
        <v>999</v>
      </c>
      <c r="CEZ157">
        <v>999</v>
      </c>
      <c r="CHM157">
        <v>20</v>
      </c>
      <c r="CHN157">
        <v>1</v>
      </c>
      <c r="CHQ157">
        <v>1</v>
      </c>
      <c r="CHR157">
        <v>999</v>
      </c>
      <c r="CHS157">
        <v>999</v>
      </c>
      <c r="CHT157">
        <v>0</v>
      </c>
      <c r="CHU157">
        <v>8</v>
      </c>
      <c r="DPK157">
        <v>1</v>
      </c>
      <c r="DPL157">
        <v>1</v>
      </c>
      <c r="DPM157" s="35">
        <v>999</v>
      </c>
      <c r="DPN157">
        <v>999</v>
      </c>
      <c r="DPO157">
        <v>0</v>
      </c>
      <c r="DPP157">
        <v>999</v>
      </c>
      <c r="DQC157">
        <v>1</v>
      </c>
      <c r="DQD157">
        <v>1</v>
      </c>
      <c r="DQE157" s="35">
        <v>999</v>
      </c>
      <c r="DQF157">
        <v>999</v>
      </c>
      <c r="DQG157">
        <v>0</v>
      </c>
      <c r="DQH157">
        <v>999</v>
      </c>
      <c r="DQJ157">
        <v>10</v>
      </c>
      <c r="DQK157">
        <v>3</v>
      </c>
      <c r="DQN157">
        <v>1</v>
      </c>
      <c r="DQO157">
        <v>123</v>
      </c>
      <c r="DQP157">
        <v>123</v>
      </c>
      <c r="DQQ157">
        <v>1</v>
      </c>
      <c r="DQR157">
        <v>0</v>
      </c>
      <c r="EPG157">
        <v>1</v>
      </c>
      <c r="EPJ157">
        <v>1</v>
      </c>
      <c r="EPK157" s="35">
        <v>999</v>
      </c>
      <c r="EPL157">
        <v>999</v>
      </c>
      <c r="EPM157">
        <v>0</v>
      </c>
      <c r="EPN157">
        <v>999</v>
      </c>
      <c r="ERH157">
        <v>1</v>
      </c>
      <c r="ERU157">
        <v>1</v>
      </c>
      <c r="ESU157">
        <v>1</v>
      </c>
      <c r="ESV157">
        <v>1</v>
      </c>
      <c r="EXA157">
        <v>1</v>
      </c>
      <c r="EXB157">
        <v>1</v>
      </c>
      <c r="EXO157">
        <v>1</v>
      </c>
      <c r="EYF157">
        <v>1</v>
      </c>
    </row>
    <row r="158" spans="1:984 1046:1975 2179:2978 3131:4040 4225:4284" x14ac:dyDescent="0.25">
      <c r="A158">
        <v>4001382</v>
      </c>
      <c r="FN158" s="14">
        <v>201.5</v>
      </c>
      <c r="FT158" s="48"/>
      <c r="FU158" s="48"/>
      <c r="FV158" s="48"/>
      <c r="FW158" s="48"/>
      <c r="FX158" s="48"/>
      <c r="FY158" s="48"/>
      <c r="FZ158" s="48"/>
      <c r="GA158" s="48"/>
      <c r="GB158" s="48"/>
      <c r="KE158">
        <v>26</v>
      </c>
      <c r="KG158">
        <v>1</v>
      </c>
      <c r="KH158">
        <v>31.1</v>
      </c>
      <c r="KI158">
        <v>1</v>
      </c>
      <c r="KK158">
        <v>13</v>
      </c>
      <c r="TQ158" s="48"/>
      <c r="TR158" s="48"/>
      <c r="TS158" s="48"/>
      <c r="TT158" s="48"/>
      <c r="TU158" s="48"/>
      <c r="TV158" s="48"/>
      <c r="UE158">
        <v>800</v>
      </c>
      <c r="UF158">
        <v>2</v>
      </c>
      <c r="UK158">
        <v>3</v>
      </c>
      <c r="WI158">
        <v>40</v>
      </c>
      <c r="WJ158">
        <v>3</v>
      </c>
      <c r="WM158">
        <v>1</v>
      </c>
      <c r="WN158">
        <v>4</v>
      </c>
      <c r="XX158">
        <v>50</v>
      </c>
      <c r="XY158">
        <v>1</v>
      </c>
      <c r="YB158">
        <v>1</v>
      </c>
      <c r="YC158">
        <v>3</v>
      </c>
      <c r="DBL158">
        <v>2</v>
      </c>
      <c r="DBO158">
        <v>1</v>
      </c>
      <c r="DBP158">
        <v>3</v>
      </c>
      <c r="EUX158">
        <v>1</v>
      </c>
      <c r="EVX158">
        <v>1</v>
      </c>
      <c r="EWX158">
        <v>1</v>
      </c>
      <c r="EYA158">
        <v>1</v>
      </c>
    </row>
    <row r="159" spans="1:984 1046:1975 2179:2978 3131:4040 4225:4284" x14ac:dyDescent="0.25">
      <c r="A159" s="48">
        <v>5018675</v>
      </c>
      <c r="FT159" s="48"/>
      <c r="FU159" s="48"/>
      <c r="FV159" s="48"/>
      <c r="FW159" s="48"/>
      <c r="FX159" s="48"/>
      <c r="FY159" s="48"/>
      <c r="FZ159" s="48"/>
      <c r="GA159" s="48"/>
      <c r="GB159" s="48"/>
      <c r="KE159">
        <v>50</v>
      </c>
      <c r="KG159">
        <v>1</v>
      </c>
      <c r="KH159">
        <v>21.83</v>
      </c>
      <c r="NZ159">
        <v>1</v>
      </c>
      <c r="TQ159" s="48"/>
      <c r="TR159" s="48"/>
      <c r="TS159" s="48"/>
      <c r="TT159" s="48"/>
      <c r="TU159" s="48"/>
      <c r="TV159" s="48"/>
      <c r="UE159">
        <v>400</v>
      </c>
      <c r="UF159">
        <v>3</v>
      </c>
      <c r="UI159">
        <v>1</v>
      </c>
      <c r="UK159">
        <v>7</v>
      </c>
      <c r="UL159">
        <v>2</v>
      </c>
      <c r="UM159">
        <v>0</v>
      </c>
      <c r="UN159">
        <v>4</v>
      </c>
      <c r="UR159">
        <v>7.1400000000000005E-2</v>
      </c>
      <c r="UU159">
        <v>1</v>
      </c>
      <c r="UW159">
        <v>999</v>
      </c>
      <c r="UX159">
        <v>999</v>
      </c>
      <c r="UY159">
        <v>0</v>
      </c>
      <c r="UZ159">
        <v>6</v>
      </c>
      <c r="AKN159">
        <v>500</v>
      </c>
      <c r="AKO159">
        <v>2</v>
      </c>
      <c r="AKR159">
        <v>1</v>
      </c>
      <c r="AKS159">
        <v>3</v>
      </c>
      <c r="AKT159">
        <v>0</v>
      </c>
      <c r="AKU159">
        <v>0</v>
      </c>
      <c r="AKV159">
        <v>2</v>
      </c>
      <c r="BAR159">
        <v>1</v>
      </c>
      <c r="BAS159">
        <v>1</v>
      </c>
      <c r="BAV159">
        <v>1</v>
      </c>
      <c r="BAW159">
        <v>92</v>
      </c>
      <c r="BQG159">
        <v>0.5</v>
      </c>
      <c r="BQH159">
        <v>1</v>
      </c>
      <c r="BQK159">
        <v>1</v>
      </c>
      <c r="BQL159">
        <v>122</v>
      </c>
      <c r="BQN159">
        <v>0</v>
      </c>
      <c r="BQO159">
        <v>5</v>
      </c>
      <c r="DVL159">
        <v>1</v>
      </c>
      <c r="DVM159">
        <v>1</v>
      </c>
      <c r="DVP159">
        <v>1</v>
      </c>
      <c r="DVQ159">
        <v>999</v>
      </c>
      <c r="DVR159">
        <v>999</v>
      </c>
      <c r="DVS159">
        <v>999</v>
      </c>
      <c r="DVT159">
        <v>0</v>
      </c>
      <c r="ERH159">
        <v>1</v>
      </c>
      <c r="ESZ159">
        <v>1</v>
      </c>
      <c r="EXA159">
        <v>1</v>
      </c>
      <c r="EXB159">
        <v>1</v>
      </c>
    </row>
    <row r="160" spans="1:984 1046:1975 2179:2978 3131:4040 4225:4284" x14ac:dyDescent="0.25">
      <c r="A160" s="48">
        <v>6050168</v>
      </c>
      <c r="FT160" s="48"/>
      <c r="FU160" s="48"/>
      <c r="FV160" s="48"/>
      <c r="FW160" s="48"/>
      <c r="FX160" s="48"/>
      <c r="FY160" s="48"/>
      <c r="FZ160" s="48"/>
      <c r="GA160" s="48"/>
      <c r="GB160" s="48"/>
      <c r="KE160">
        <v>33</v>
      </c>
      <c r="KG160">
        <v>1</v>
      </c>
      <c r="KK160">
        <v>12</v>
      </c>
      <c r="UF160">
        <v>2</v>
      </c>
      <c r="UI160">
        <v>1</v>
      </c>
      <c r="UK160" s="35">
        <v>999</v>
      </c>
      <c r="UL160">
        <v>1</v>
      </c>
      <c r="UM160">
        <v>0</v>
      </c>
      <c r="UN160">
        <v>999</v>
      </c>
      <c r="EXA160">
        <v>1</v>
      </c>
    </row>
    <row r="161" spans="1:984 1112:1977 2067:2907 3115:4058 4208:4319" x14ac:dyDescent="0.25">
      <c r="A161" s="48">
        <v>5006592</v>
      </c>
      <c r="FT161" s="48"/>
      <c r="FU161" s="48"/>
      <c r="FV161" s="48"/>
      <c r="FW161" s="48"/>
      <c r="FX161" s="48"/>
      <c r="FY161" s="48"/>
      <c r="FZ161" s="48"/>
      <c r="GA161" s="48"/>
      <c r="GB161" s="48"/>
      <c r="KE161">
        <v>81</v>
      </c>
      <c r="KF161">
        <v>1</v>
      </c>
      <c r="KJ161">
        <v>1</v>
      </c>
      <c r="TQ161">
        <v>1</v>
      </c>
      <c r="UD161">
        <v>1</v>
      </c>
      <c r="BFI161" s="48">
        <v>125</v>
      </c>
      <c r="BFJ161">
        <v>2</v>
      </c>
      <c r="BFM161">
        <v>1</v>
      </c>
      <c r="BFN161">
        <v>336</v>
      </c>
      <c r="BFO161">
        <v>305</v>
      </c>
      <c r="BFP161">
        <v>0</v>
      </c>
      <c r="BFQ161">
        <v>36</v>
      </c>
      <c r="BMS161">
        <v>1</v>
      </c>
      <c r="BSF161">
        <v>1</v>
      </c>
      <c r="DYO161">
        <v>25</v>
      </c>
      <c r="DYP161">
        <v>1</v>
      </c>
      <c r="EPP161">
        <v>1</v>
      </c>
    </row>
    <row r="162" spans="1:984 1112:1977 2067:2907 3115:4058 4208:4319" x14ac:dyDescent="0.25">
      <c r="A162" s="48">
        <v>5007274</v>
      </c>
      <c r="FT162" s="48"/>
      <c r="FU162" s="48"/>
      <c r="FV162" s="48"/>
      <c r="FW162" s="48"/>
      <c r="FX162" s="48"/>
      <c r="FY162" s="48"/>
      <c r="FZ162" s="48"/>
      <c r="GA162" s="48"/>
      <c r="GB162" s="48"/>
      <c r="KE162">
        <v>50</v>
      </c>
      <c r="KG162">
        <v>1</v>
      </c>
      <c r="KJ162">
        <v>1</v>
      </c>
      <c r="KL162">
        <v>1</v>
      </c>
      <c r="UD162">
        <v>1</v>
      </c>
      <c r="AIJ162">
        <v>720</v>
      </c>
      <c r="CRP162">
        <v>1</v>
      </c>
      <c r="DYE162">
        <v>500</v>
      </c>
      <c r="DYF162">
        <v>1</v>
      </c>
      <c r="DYI162">
        <v>1</v>
      </c>
      <c r="DYJ162">
        <v>153</v>
      </c>
      <c r="DYK162">
        <v>153</v>
      </c>
      <c r="DYL162">
        <v>0</v>
      </c>
      <c r="DYM162">
        <v>0</v>
      </c>
      <c r="EGU162">
        <v>1</v>
      </c>
      <c r="EVZ162">
        <v>1</v>
      </c>
      <c r="EWQ162">
        <v>1</v>
      </c>
      <c r="EWX162">
        <v>1</v>
      </c>
      <c r="EWY162">
        <v>1</v>
      </c>
      <c r="EXA162">
        <v>1</v>
      </c>
      <c r="EXB162">
        <v>1</v>
      </c>
      <c r="EXO162">
        <v>1</v>
      </c>
      <c r="EYF162">
        <v>1</v>
      </c>
      <c r="EYJ162">
        <v>1</v>
      </c>
    </row>
    <row r="163" spans="1:984 1112:1977 2067:2907 3115:4058 4208:4319" x14ac:dyDescent="0.25">
      <c r="A163" s="48">
        <v>5015851</v>
      </c>
      <c r="BQ163" s="14">
        <v>3.45</v>
      </c>
      <c r="FO163" s="3">
        <v>16.753499999999999</v>
      </c>
      <c r="FP163" s="3">
        <v>49.143599999999999</v>
      </c>
      <c r="FT163" s="48"/>
      <c r="FU163" s="48"/>
      <c r="FV163" s="48"/>
      <c r="FW163" s="48"/>
      <c r="FX163" s="48"/>
      <c r="FY163" s="48"/>
      <c r="FZ163" s="48"/>
      <c r="GA163" s="48"/>
      <c r="GB163" s="48"/>
      <c r="HN163" s="3">
        <v>120.7072</v>
      </c>
      <c r="HO163" s="3">
        <v>95.484800000000007</v>
      </c>
      <c r="HQ163" s="3">
        <v>81.072000000000003</v>
      </c>
      <c r="HR163" s="3"/>
      <c r="HS163" s="3"/>
      <c r="HT163" s="3"/>
      <c r="KE163">
        <v>29</v>
      </c>
      <c r="KG163">
        <v>1</v>
      </c>
      <c r="KJ163">
        <v>1</v>
      </c>
      <c r="KS163">
        <v>1</v>
      </c>
      <c r="UC163" s="48"/>
      <c r="UD163" s="48"/>
      <c r="UE163" s="48"/>
      <c r="UF163" s="48"/>
      <c r="UI163">
        <v>1</v>
      </c>
      <c r="UK163">
        <v>1</v>
      </c>
      <c r="UL163">
        <v>1</v>
      </c>
      <c r="UM163">
        <v>1</v>
      </c>
      <c r="UN163">
        <v>0</v>
      </c>
      <c r="WI163">
        <v>4000</v>
      </c>
      <c r="WJ163">
        <v>1</v>
      </c>
      <c r="WK163">
        <v>1</v>
      </c>
      <c r="WN163">
        <v>1</v>
      </c>
      <c r="WO163">
        <v>0</v>
      </c>
      <c r="WP163">
        <v>0</v>
      </c>
      <c r="WQ163">
        <v>0</v>
      </c>
      <c r="EOC163">
        <v>1</v>
      </c>
      <c r="EOF163">
        <v>1</v>
      </c>
      <c r="EOG163">
        <v>0</v>
      </c>
      <c r="EOH163">
        <v>0</v>
      </c>
      <c r="EOI163">
        <v>0</v>
      </c>
      <c r="EWW163">
        <v>1</v>
      </c>
      <c r="EWX163">
        <v>1</v>
      </c>
      <c r="EXB163">
        <v>1</v>
      </c>
      <c r="FIR163">
        <v>1</v>
      </c>
    </row>
    <row r="164" spans="1:984 1112:1977 2067:2907 3115:4058 4208:4319" x14ac:dyDescent="0.25">
      <c r="A164" s="48">
        <v>6015647</v>
      </c>
      <c r="M164">
        <v>33.5</v>
      </c>
      <c r="O164">
        <v>33.1</v>
      </c>
      <c r="P164">
        <v>33.1</v>
      </c>
      <c r="S164">
        <v>33.6</v>
      </c>
      <c r="U164">
        <v>33.5</v>
      </c>
      <c r="X164">
        <v>32.5</v>
      </c>
      <c r="AA164">
        <v>33.9</v>
      </c>
      <c r="CE164">
        <v>140</v>
      </c>
      <c r="CW164">
        <v>3.97</v>
      </c>
      <c r="CX164">
        <v>4</v>
      </c>
      <c r="CZ164">
        <v>4.0999999999999996</v>
      </c>
      <c r="DA164">
        <v>4.59</v>
      </c>
      <c r="DC164">
        <v>3.98</v>
      </c>
      <c r="DF164">
        <v>4.2</v>
      </c>
      <c r="DK164">
        <v>4</v>
      </c>
      <c r="DZ164">
        <v>2.33</v>
      </c>
      <c r="EC164">
        <v>2.2999999999999998</v>
      </c>
      <c r="ED164">
        <v>2.2000000000000002</v>
      </c>
      <c r="EF164">
        <v>2.2999999999999998</v>
      </c>
      <c r="EI164">
        <v>2.2999999999999998</v>
      </c>
      <c r="FK164">
        <v>36.4</v>
      </c>
      <c r="FM164">
        <v>24.7</v>
      </c>
      <c r="FT164" s="48"/>
      <c r="FU164" s="48"/>
      <c r="FV164" s="48"/>
      <c r="FW164" s="48"/>
      <c r="FX164" s="48"/>
      <c r="FY164" s="48"/>
      <c r="FZ164" s="48"/>
      <c r="GA164" s="48"/>
      <c r="GB164" s="48"/>
      <c r="GW164">
        <v>110</v>
      </c>
      <c r="HV164">
        <v>7550</v>
      </c>
      <c r="HX164">
        <v>6460</v>
      </c>
      <c r="KE164">
        <v>24</v>
      </c>
      <c r="KG164">
        <v>1</v>
      </c>
      <c r="KH164">
        <v>27.44</v>
      </c>
      <c r="KJ164">
        <v>1</v>
      </c>
      <c r="KS164">
        <v>1</v>
      </c>
      <c r="SQ164">
        <v>1</v>
      </c>
      <c r="SV164">
        <v>1</v>
      </c>
      <c r="UC164" s="48"/>
      <c r="UD164" s="48"/>
      <c r="UE164" s="48"/>
      <c r="UF164" s="48"/>
      <c r="UI164">
        <v>1</v>
      </c>
      <c r="ADO164">
        <v>1</v>
      </c>
      <c r="ADS164">
        <v>1</v>
      </c>
      <c r="ADT164">
        <v>81</v>
      </c>
      <c r="ADU164">
        <v>81</v>
      </c>
      <c r="ADV164">
        <v>0</v>
      </c>
      <c r="AXR164">
        <v>1</v>
      </c>
      <c r="AXS164">
        <v>1</v>
      </c>
      <c r="AXT164">
        <v>81</v>
      </c>
      <c r="AXU164">
        <v>81</v>
      </c>
      <c r="AXV164">
        <v>0</v>
      </c>
      <c r="BSV164">
        <v>1</v>
      </c>
      <c r="BVO164">
        <v>1</v>
      </c>
      <c r="DXN164">
        <v>1</v>
      </c>
      <c r="DXO164">
        <v>999</v>
      </c>
      <c r="ERP164">
        <v>1</v>
      </c>
      <c r="EUE164">
        <v>1</v>
      </c>
      <c r="EXA164">
        <v>1</v>
      </c>
      <c r="EXB164">
        <v>1</v>
      </c>
      <c r="FIR164">
        <v>1</v>
      </c>
    </row>
    <row r="165" spans="1:984 1112:1977 2067:2907 3115:4058 4208:4319" x14ac:dyDescent="0.25">
      <c r="A165" s="48">
        <v>6056633</v>
      </c>
      <c r="FT165" s="48"/>
      <c r="FU165" s="48"/>
      <c r="FV165" s="48"/>
      <c r="FW165" s="48"/>
      <c r="FX165" s="48"/>
      <c r="FY165" s="48"/>
      <c r="FZ165" s="48"/>
      <c r="GA165" s="48"/>
      <c r="GB165" s="48"/>
      <c r="KE165">
        <v>44</v>
      </c>
      <c r="KF165">
        <v>1</v>
      </c>
      <c r="KJ165">
        <v>1</v>
      </c>
      <c r="KK165">
        <v>18</v>
      </c>
      <c r="KP165">
        <v>1</v>
      </c>
      <c r="LD165">
        <v>1</v>
      </c>
      <c r="UC165" s="48"/>
      <c r="UD165" s="48"/>
      <c r="UE165" s="48">
        <v>200</v>
      </c>
      <c r="UF165" s="48">
        <v>1</v>
      </c>
      <c r="UI165">
        <v>1</v>
      </c>
      <c r="APT165">
        <v>1</v>
      </c>
      <c r="CWO165" s="35">
        <v>999</v>
      </c>
      <c r="CWP165">
        <v>2</v>
      </c>
      <c r="CWQ165">
        <v>0</v>
      </c>
      <c r="CWR165">
        <v>999</v>
      </c>
      <c r="ERH165">
        <v>1</v>
      </c>
      <c r="ERS165">
        <v>1</v>
      </c>
      <c r="ERV165">
        <v>1</v>
      </c>
      <c r="ESA165">
        <v>1</v>
      </c>
      <c r="ESF165">
        <v>1</v>
      </c>
      <c r="ESJ165">
        <v>1</v>
      </c>
      <c r="ESM165">
        <v>1</v>
      </c>
      <c r="ETE165">
        <v>1</v>
      </c>
      <c r="ETK165">
        <v>1</v>
      </c>
      <c r="ETN165">
        <v>1</v>
      </c>
      <c r="ETO165">
        <v>1</v>
      </c>
      <c r="ETP165">
        <v>1</v>
      </c>
      <c r="ETU165">
        <v>1</v>
      </c>
      <c r="ETV165">
        <v>1</v>
      </c>
      <c r="ETZ165">
        <v>1</v>
      </c>
      <c r="EWV165">
        <v>1</v>
      </c>
    </row>
    <row r="166" spans="1:984 1112:1977 2067:2907 3115:4058 4208:4319" x14ac:dyDescent="0.25">
      <c r="A166" s="48">
        <v>7086224</v>
      </c>
      <c r="CA166">
        <v>138</v>
      </c>
      <c r="DG166">
        <v>5</v>
      </c>
      <c r="EJ166">
        <v>2.2799999999999998</v>
      </c>
      <c r="EN166">
        <v>2.14</v>
      </c>
      <c r="FE166">
        <v>111</v>
      </c>
      <c r="FT166" s="48"/>
      <c r="FU166" s="48"/>
      <c r="FV166" s="48"/>
      <c r="FW166" s="48"/>
      <c r="FX166" s="48"/>
      <c r="FY166" s="48"/>
      <c r="FZ166" s="48"/>
      <c r="GA166" s="48"/>
      <c r="GB166" s="48"/>
      <c r="KE166">
        <v>50</v>
      </c>
      <c r="KG166">
        <v>1</v>
      </c>
      <c r="KH166">
        <v>47.05</v>
      </c>
      <c r="KK166">
        <v>29</v>
      </c>
      <c r="LD166">
        <v>1</v>
      </c>
      <c r="LU166">
        <v>1</v>
      </c>
      <c r="LW166">
        <v>1</v>
      </c>
      <c r="NC166">
        <v>1</v>
      </c>
      <c r="ND166">
        <v>1</v>
      </c>
      <c r="NG166">
        <v>1</v>
      </c>
      <c r="NL166">
        <v>1</v>
      </c>
      <c r="NZ166">
        <v>1</v>
      </c>
      <c r="PH166">
        <v>1</v>
      </c>
      <c r="QH166">
        <v>1</v>
      </c>
      <c r="QR166">
        <v>1</v>
      </c>
      <c r="SC166">
        <v>1</v>
      </c>
      <c r="TP166">
        <v>1</v>
      </c>
      <c r="UC166" s="48"/>
      <c r="UD166" s="48"/>
      <c r="UE166" s="48">
        <v>1600</v>
      </c>
      <c r="UF166" s="48">
        <v>1</v>
      </c>
      <c r="UI166">
        <v>1</v>
      </c>
      <c r="UK166">
        <v>74</v>
      </c>
      <c r="UL166">
        <v>62</v>
      </c>
      <c r="UM166">
        <v>0</v>
      </c>
      <c r="UN166">
        <v>11</v>
      </c>
      <c r="ZD166">
        <v>300</v>
      </c>
      <c r="ZE166">
        <v>1</v>
      </c>
      <c r="ZH166">
        <v>1</v>
      </c>
      <c r="ZI166">
        <v>75</v>
      </c>
      <c r="ZJ166">
        <v>62</v>
      </c>
      <c r="ZK166">
        <v>0</v>
      </c>
      <c r="ZL166">
        <v>12</v>
      </c>
      <c r="AYC166">
        <v>1</v>
      </c>
      <c r="AYD166">
        <v>36</v>
      </c>
      <c r="AYE166">
        <v>27</v>
      </c>
      <c r="AYF166">
        <v>0</v>
      </c>
      <c r="AYG166">
        <v>9</v>
      </c>
      <c r="AYT166">
        <v>10</v>
      </c>
      <c r="AYU166">
        <v>1</v>
      </c>
      <c r="AYX166">
        <v>1</v>
      </c>
      <c r="AYY166" s="35">
        <v>999</v>
      </c>
      <c r="AYZ166">
        <v>67</v>
      </c>
      <c r="AZA166">
        <v>0</v>
      </c>
      <c r="AZB166">
        <v>999</v>
      </c>
      <c r="BBL166">
        <v>5</v>
      </c>
      <c r="BBM166">
        <v>1</v>
      </c>
      <c r="BBP166">
        <v>1</v>
      </c>
      <c r="BBQ166">
        <v>427</v>
      </c>
      <c r="BBR166">
        <v>417</v>
      </c>
      <c r="BBS166">
        <v>0</v>
      </c>
      <c r="BBT166">
        <v>10</v>
      </c>
      <c r="BIA166">
        <v>2.5</v>
      </c>
      <c r="BIB166">
        <v>1</v>
      </c>
      <c r="BIE166">
        <v>1</v>
      </c>
      <c r="BIF166">
        <v>26</v>
      </c>
      <c r="BIG166">
        <v>52</v>
      </c>
      <c r="BIH166">
        <v>28</v>
      </c>
      <c r="BII166">
        <v>0</v>
      </c>
      <c r="CHC166">
        <v>80</v>
      </c>
      <c r="CHD166">
        <v>1</v>
      </c>
      <c r="CHG166">
        <v>1</v>
      </c>
      <c r="CHH166" s="35">
        <v>999</v>
      </c>
      <c r="CHI166">
        <v>732</v>
      </c>
      <c r="CHJ166">
        <v>0</v>
      </c>
      <c r="CHK166">
        <v>999</v>
      </c>
      <c r="DTW166">
        <v>25</v>
      </c>
      <c r="DTX166">
        <v>1</v>
      </c>
      <c r="DUA166">
        <v>1</v>
      </c>
      <c r="DUB166" s="35">
        <v>999</v>
      </c>
      <c r="DUC166">
        <v>999</v>
      </c>
      <c r="DUD166">
        <v>0</v>
      </c>
      <c r="DUE166">
        <v>999</v>
      </c>
      <c r="DZZ166">
        <v>1</v>
      </c>
      <c r="EAA166" s="35">
        <v>999</v>
      </c>
      <c r="EAB166">
        <v>999</v>
      </c>
      <c r="EAC166">
        <v>0</v>
      </c>
      <c r="EAD166">
        <v>999</v>
      </c>
      <c r="ERU166">
        <v>1</v>
      </c>
      <c r="ESP166">
        <v>1</v>
      </c>
      <c r="ETA166">
        <v>1</v>
      </c>
      <c r="ETG166">
        <v>1</v>
      </c>
      <c r="EUQ166">
        <v>1</v>
      </c>
      <c r="EVH166">
        <v>1</v>
      </c>
      <c r="EWW166">
        <v>1</v>
      </c>
      <c r="EXA166">
        <v>1</v>
      </c>
      <c r="EXB166">
        <v>1</v>
      </c>
      <c r="EZB166">
        <v>1</v>
      </c>
      <c r="FHQ166">
        <v>1</v>
      </c>
      <c r="FHS166">
        <v>1</v>
      </c>
    </row>
    <row r="167" spans="1:984 1112:1977 2067:2907 3115:4058 4208:4319" x14ac:dyDescent="0.25">
      <c r="A167" s="48">
        <v>8040959</v>
      </c>
      <c r="FT167" s="48"/>
      <c r="FU167" s="48"/>
      <c r="FV167" s="48"/>
      <c r="FW167" s="48"/>
      <c r="FX167" s="48"/>
      <c r="FY167" s="48"/>
      <c r="FZ167" s="48"/>
      <c r="GA167" s="48"/>
      <c r="GB167" s="48"/>
      <c r="KE167">
        <v>40</v>
      </c>
      <c r="KF167">
        <v>1</v>
      </c>
      <c r="KH167">
        <v>37.979999999999997</v>
      </c>
      <c r="LU167">
        <v>1</v>
      </c>
      <c r="UC167" s="48"/>
      <c r="UD167" s="48"/>
      <c r="UE167" s="48">
        <v>2400</v>
      </c>
      <c r="UF167" s="48">
        <v>1</v>
      </c>
      <c r="UK167">
        <v>30</v>
      </c>
      <c r="UL167">
        <v>36</v>
      </c>
      <c r="UM167">
        <v>7</v>
      </c>
      <c r="UN167">
        <v>0</v>
      </c>
      <c r="WN167" s="35">
        <v>999</v>
      </c>
      <c r="WO167">
        <v>50</v>
      </c>
      <c r="WP167">
        <v>0</v>
      </c>
      <c r="WQ167">
        <v>999</v>
      </c>
      <c r="CHC167">
        <v>40</v>
      </c>
      <c r="CHD167">
        <v>1</v>
      </c>
      <c r="CHH167" s="35">
        <v>999</v>
      </c>
      <c r="CHI167">
        <v>153</v>
      </c>
      <c r="CHJ167">
        <v>0</v>
      </c>
      <c r="CHK167">
        <v>999</v>
      </c>
      <c r="DGM167">
        <v>75</v>
      </c>
      <c r="DGN167">
        <v>1</v>
      </c>
      <c r="DGR167" s="35">
        <v>999</v>
      </c>
      <c r="DGS167">
        <v>76</v>
      </c>
      <c r="DGT167">
        <v>0</v>
      </c>
      <c r="DGU167">
        <v>999</v>
      </c>
      <c r="DVV167">
        <v>75</v>
      </c>
      <c r="DVW167">
        <v>2</v>
      </c>
      <c r="DWA167" s="35">
        <v>999</v>
      </c>
      <c r="DWB167">
        <v>153</v>
      </c>
      <c r="DWC167">
        <v>0</v>
      </c>
      <c r="DWD167">
        <v>999</v>
      </c>
      <c r="EYF167">
        <v>1</v>
      </c>
    </row>
    <row r="168" spans="1:984 1112:1977 2067:2907 3115:4058 4208:4319" x14ac:dyDescent="0.25">
      <c r="A168" s="48">
        <v>8107048</v>
      </c>
      <c r="FT168" s="48">
        <v>379</v>
      </c>
      <c r="FU168" s="48"/>
      <c r="FV168" s="48"/>
      <c r="FW168" s="48"/>
      <c r="FX168" s="48"/>
      <c r="FY168" s="48"/>
      <c r="FZ168" s="48"/>
      <c r="GA168" s="48"/>
      <c r="GB168" s="48"/>
      <c r="GL168">
        <v>6.52</v>
      </c>
      <c r="KE168">
        <v>56</v>
      </c>
      <c r="KF168">
        <v>1</v>
      </c>
      <c r="KJ168">
        <v>1</v>
      </c>
      <c r="KM168">
        <v>1</v>
      </c>
      <c r="LY168">
        <v>1</v>
      </c>
      <c r="NF168">
        <v>1</v>
      </c>
      <c r="NZ168">
        <v>1</v>
      </c>
      <c r="OE168">
        <v>1</v>
      </c>
      <c r="QS168">
        <v>1</v>
      </c>
      <c r="UC168" s="48"/>
      <c r="UD168" s="48"/>
      <c r="UE168" s="48"/>
      <c r="UF168" s="48"/>
      <c r="UK168">
        <v>999</v>
      </c>
      <c r="UL168">
        <v>999</v>
      </c>
      <c r="AYC168">
        <v>1</v>
      </c>
      <c r="AYD168" s="35">
        <v>999</v>
      </c>
      <c r="AYE168">
        <v>999</v>
      </c>
      <c r="AYF168">
        <v>0</v>
      </c>
      <c r="AYG168">
        <v>999</v>
      </c>
      <c r="BDN168">
        <v>1</v>
      </c>
      <c r="BDO168" s="35">
        <v>999</v>
      </c>
      <c r="BDP168">
        <v>999</v>
      </c>
      <c r="BDQ168">
        <v>0</v>
      </c>
      <c r="BDR168">
        <v>999</v>
      </c>
      <c r="BFW168">
        <v>1</v>
      </c>
      <c r="BFX168" s="35">
        <v>999</v>
      </c>
      <c r="BFY168">
        <v>999</v>
      </c>
      <c r="BFZ168">
        <v>0</v>
      </c>
      <c r="BGA168">
        <v>999</v>
      </c>
      <c r="BWY168">
        <v>1</v>
      </c>
      <c r="BWZ168" s="15">
        <v>999</v>
      </c>
      <c r="BXA168">
        <v>999</v>
      </c>
      <c r="DOU168" s="35">
        <v>999</v>
      </c>
      <c r="DOV168">
        <v>580</v>
      </c>
      <c r="DOW168">
        <v>0</v>
      </c>
      <c r="DOX168">
        <v>999</v>
      </c>
      <c r="EJE168" s="48">
        <v>50</v>
      </c>
      <c r="EJF168">
        <v>0.14000000000000001</v>
      </c>
      <c r="EJH168">
        <v>1</v>
      </c>
      <c r="EJK168">
        <v>79</v>
      </c>
      <c r="EJL168">
        <v>72</v>
      </c>
      <c r="EJM168">
        <v>14</v>
      </c>
      <c r="EJN168">
        <v>0</v>
      </c>
      <c r="ELG168">
        <v>10</v>
      </c>
      <c r="ELH168">
        <v>0.14000000000000001</v>
      </c>
      <c r="ELL168" s="35">
        <v>999</v>
      </c>
      <c r="ELM168">
        <v>999</v>
      </c>
      <c r="ELN168">
        <v>0</v>
      </c>
      <c r="ELO168">
        <v>999</v>
      </c>
      <c r="EXA168">
        <v>1</v>
      </c>
    </row>
    <row r="169" spans="1:984 1112:1977 2067:2907 3115:4058 4208:4319" x14ac:dyDescent="0.25">
      <c r="A169" s="48">
        <v>8124044</v>
      </c>
      <c r="FT169" s="48"/>
      <c r="FU169" s="48"/>
      <c r="FV169" s="48"/>
      <c r="FW169" s="48"/>
      <c r="FX169" s="48"/>
      <c r="FY169" s="48"/>
      <c r="FZ169" s="48"/>
      <c r="GA169" s="48"/>
      <c r="GB169" s="48"/>
      <c r="KE169">
        <v>19</v>
      </c>
      <c r="KF169">
        <v>1</v>
      </c>
      <c r="KH169">
        <v>23.39</v>
      </c>
      <c r="KJ169">
        <v>1</v>
      </c>
      <c r="KM169">
        <v>1</v>
      </c>
      <c r="LD169">
        <v>1</v>
      </c>
      <c r="LX169">
        <v>1</v>
      </c>
      <c r="LY169">
        <v>1</v>
      </c>
      <c r="MY169">
        <v>1</v>
      </c>
      <c r="PV169">
        <v>1</v>
      </c>
      <c r="UC169" s="48"/>
      <c r="UD169" s="48"/>
      <c r="UE169" s="48">
        <v>800</v>
      </c>
      <c r="UF169" s="48">
        <v>4</v>
      </c>
      <c r="UI169">
        <v>1</v>
      </c>
      <c r="UK169">
        <v>48</v>
      </c>
      <c r="UL169">
        <v>9</v>
      </c>
      <c r="UM169">
        <v>0</v>
      </c>
      <c r="UN169">
        <v>38</v>
      </c>
      <c r="VC169">
        <v>100</v>
      </c>
      <c r="VD169">
        <v>1</v>
      </c>
      <c r="VG169">
        <v>1</v>
      </c>
      <c r="VH169">
        <v>244</v>
      </c>
      <c r="VI169">
        <v>305</v>
      </c>
      <c r="VJ169">
        <v>9</v>
      </c>
      <c r="VK169">
        <v>0</v>
      </c>
      <c r="CAM169" s="48">
        <v>60</v>
      </c>
      <c r="CAN169">
        <v>1</v>
      </c>
      <c r="CAQ169">
        <v>1</v>
      </c>
      <c r="CAS169" s="35">
        <v>999</v>
      </c>
      <c r="CAT169">
        <v>999</v>
      </c>
      <c r="CAU169">
        <v>0</v>
      </c>
      <c r="CAV169">
        <v>999</v>
      </c>
      <c r="ERQ169">
        <v>1</v>
      </c>
      <c r="ETA169">
        <v>1</v>
      </c>
      <c r="EUD169">
        <v>1</v>
      </c>
      <c r="EXA169">
        <v>1</v>
      </c>
    </row>
    <row r="170" spans="1:984 1112:1977 2067:2907 3115:4058 4208:4319" x14ac:dyDescent="0.25">
      <c r="A170" s="48">
        <v>8142949</v>
      </c>
      <c r="FT170" s="48"/>
      <c r="FU170" s="48"/>
      <c r="FV170" s="48"/>
      <c r="FW170" s="48"/>
      <c r="FX170" s="48"/>
      <c r="FY170" s="48"/>
      <c r="FZ170" s="48"/>
      <c r="GA170" s="48"/>
      <c r="GB170" s="48"/>
      <c r="KE170">
        <v>37</v>
      </c>
      <c r="KG170">
        <v>1</v>
      </c>
      <c r="KH170">
        <v>17.149999999999999</v>
      </c>
      <c r="KJ170">
        <v>1</v>
      </c>
      <c r="KK170">
        <v>122</v>
      </c>
      <c r="LD170">
        <v>1</v>
      </c>
      <c r="TI170">
        <v>1</v>
      </c>
      <c r="TM170">
        <v>1</v>
      </c>
      <c r="UC170" s="48"/>
      <c r="UD170" s="48"/>
      <c r="UE170" s="48">
        <v>400</v>
      </c>
      <c r="UF170" s="48">
        <v>3</v>
      </c>
      <c r="UI170">
        <v>1</v>
      </c>
      <c r="UK170">
        <v>19</v>
      </c>
      <c r="UL170">
        <v>18</v>
      </c>
      <c r="UM170">
        <v>0</v>
      </c>
      <c r="UN170">
        <v>0</v>
      </c>
      <c r="WI170">
        <v>750</v>
      </c>
      <c r="WJ170">
        <v>1</v>
      </c>
      <c r="WM170">
        <v>1</v>
      </c>
      <c r="WN170">
        <v>15</v>
      </c>
      <c r="WO170">
        <v>18</v>
      </c>
      <c r="WP170">
        <v>5</v>
      </c>
      <c r="WQ170">
        <v>0</v>
      </c>
      <c r="ACI170">
        <v>75</v>
      </c>
      <c r="ACJ170">
        <v>1</v>
      </c>
      <c r="ACM170">
        <v>1</v>
      </c>
      <c r="ACN170">
        <v>1</v>
      </c>
      <c r="ACO170">
        <v>5</v>
      </c>
      <c r="ACP170">
        <v>5</v>
      </c>
      <c r="ACQ170">
        <v>0</v>
      </c>
      <c r="ATO170">
        <v>1</v>
      </c>
      <c r="ATP170">
        <v>1</v>
      </c>
      <c r="ATS170">
        <v>1</v>
      </c>
      <c r="ATT170">
        <v>13</v>
      </c>
      <c r="ATU170">
        <v>18</v>
      </c>
      <c r="ATV170">
        <v>6</v>
      </c>
      <c r="ATW170">
        <v>0</v>
      </c>
      <c r="BTB170">
        <v>3000</v>
      </c>
      <c r="BTC170">
        <v>1</v>
      </c>
      <c r="BTG170">
        <v>1</v>
      </c>
      <c r="BTH170">
        <v>16</v>
      </c>
      <c r="BTI170">
        <v>18</v>
      </c>
      <c r="BTJ170">
        <v>4</v>
      </c>
      <c r="BTK170">
        <v>0</v>
      </c>
      <c r="CHC170">
        <v>40</v>
      </c>
      <c r="CHD170">
        <v>1</v>
      </c>
      <c r="CHG170">
        <v>1</v>
      </c>
      <c r="CHH170">
        <v>19</v>
      </c>
      <c r="CHI170">
        <v>18</v>
      </c>
      <c r="CHJ170">
        <v>0</v>
      </c>
      <c r="CHK170">
        <v>0</v>
      </c>
      <c r="ERO170">
        <v>1</v>
      </c>
      <c r="ESZ170">
        <v>1</v>
      </c>
      <c r="EUD170">
        <v>1</v>
      </c>
      <c r="EXA170">
        <v>1</v>
      </c>
      <c r="EXB170">
        <v>1</v>
      </c>
      <c r="EYF170">
        <v>1</v>
      </c>
    </row>
    <row r="171" spans="1:984 1112:1977 2067:2907 3115:4058 4208:4319" x14ac:dyDescent="0.25">
      <c r="A171" s="48">
        <v>9023306</v>
      </c>
      <c r="FT171" s="48"/>
      <c r="FU171" s="48"/>
      <c r="FV171" s="48"/>
      <c r="FW171" s="48"/>
      <c r="FX171" s="48"/>
      <c r="FY171" s="48"/>
      <c r="FZ171" s="48"/>
      <c r="GA171" s="48"/>
      <c r="GB171" s="48"/>
      <c r="KE171">
        <v>46</v>
      </c>
      <c r="KG171">
        <v>1</v>
      </c>
      <c r="KH171">
        <v>24.83</v>
      </c>
      <c r="KJ171">
        <v>1</v>
      </c>
      <c r="KK171">
        <v>9</v>
      </c>
      <c r="UC171" s="48"/>
      <c r="UD171" s="48"/>
      <c r="UE171" s="48">
        <v>600</v>
      </c>
      <c r="UF171" s="48">
        <v>2</v>
      </c>
      <c r="UI171">
        <v>1</v>
      </c>
      <c r="UK171">
        <v>12</v>
      </c>
      <c r="UL171">
        <v>9</v>
      </c>
      <c r="UM171">
        <v>0</v>
      </c>
      <c r="UN171">
        <v>2</v>
      </c>
      <c r="WI171">
        <v>30</v>
      </c>
      <c r="WJ171">
        <v>3</v>
      </c>
      <c r="WM171">
        <v>1</v>
      </c>
      <c r="WN171">
        <v>2</v>
      </c>
      <c r="WO171">
        <v>4</v>
      </c>
      <c r="WP171">
        <v>3</v>
      </c>
      <c r="WQ171">
        <v>0</v>
      </c>
      <c r="ETD171">
        <v>1</v>
      </c>
      <c r="ETE171">
        <v>1</v>
      </c>
      <c r="ETG171">
        <v>1</v>
      </c>
    </row>
    <row r="172" spans="1:984 1112:1977 2067:2907 3115:4058 4208:4319" x14ac:dyDescent="0.25">
      <c r="A172" s="48">
        <v>9030615</v>
      </c>
      <c r="BQ172">
        <v>133</v>
      </c>
      <c r="CZ172">
        <v>4.05</v>
      </c>
      <c r="EC172">
        <v>2.29</v>
      </c>
      <c r="FT172" s="48"/>
      <c r="FU172" s="48"/>
      <c r="FV172" s="48"/>
      <c r="FW172" s="48"/>
      <c r="FX172" s="48"/>
      <c r="FY172" s="48"/>
      <c r="FZ172" s="48"/>
      <c r="GA172" s="48"/>
      <c r="GB172" s="48"/>
      <c r="UC172" s="48"/>
      <c r="UD172" s="48"/>
      <c r="UE172" s="48">
        <v>400</v>
      </c>
      <c r="UF172" s="48">
        <v>1</v>
      </c>
      <c r="UI172">
        <v>1</v>
      </c>
      <c r="UK172">
        <v>3</v>
      </c>
      <c r="DWZ172">
        <v>500</v>
      </c>
      <c r="DXA172">
        <v>1</v>
      </c>
      <c r="DXD172">
        <v>1</v>
      </c>
      <c r="DXE172" s="35">
        <v>999</v>
      </c>
      <c r="DXF172">
        <v>549</v>
      </c>
      <c r="DXG172">
        <v>0</v>
      </c>
      <c r="DXH172">
        <v>999</v>
      </c>
    </row>
    <row r="173" spans="1:984 1112:1977 2067:2907 3115:4058 4208:4319" x14ac:dyDescent="0.25">
      <c r="A173" s="48">
        <v>9034464</v>
      </c>
      <c r="FT173" s="48"/>
      <c r="FU173" s="48"/>
      <c r="FV173" s="48"/>
      <c r="FW173" s="48"/>
      <c r="FX173" s="48"/>
      <c r="FY173" s="48"/>
      <c r="FZ173" s="48"/>
      <c r="GA173" s="48"/>
      <c r="GB173" s="48"/>
      <c r="KE173">
        <v>66</v>
      </c>
      <c r="KF173">
        <v>1</v>
      </c>
      <c r="KH173">
        <v>26.59</v>
      </c>
      <c r="KJ173">
        <v>1</v>
      </c>
      <c r="KK173">
        <v>2</v>
      </c>
      <c r="UC173" s="48"/>
      <c r="UD173" s="48"/>
      <c r="UE173" s="48">
        <v>1800</v>
      </c>
      <c r="UF173" s="48">
        <v>1</v>
      </c>
      <c r="BVE173">
        <v>10</v>
      </c>
      <c r="BVF173">
        <v>1</v>
      </c>
      <c r="BVJ173">
        <v>2</v>
      </c>
      <c r="BVK173">
        <v>1</v>
      </c>
      <c r="BVL173">
        <v>0</v>
      </c>
      <c r="BVM173">
        <v>0</v>
      </c>
      <c r="CHC173">
        <v>40</v>
      </c>
      <c r="CHD173">
        <v>1</v>
      </c>
      <c r="ERH173">
        <v>1</v>
      </c>
      <c r="EWD173">
        <v>1</v>
      </c>
      <c r="EYQ173">
        <v>1</v>
      </c>
      <c r="FEV173">
        <v>1</v>
      </c>
    </row>
    <row r="174" spans="1:984 1112:1977 2067:2907 3115:4058 4208:4319" x14ac:dyDescent="0.25">
      <c r="A174" s="48">
        <v>9040167</v>
      </c>
      <c r="BN174">
        <v>123</v>
      </c>
      <c r="BQ174">
        <v>132</v>
      </c>
      <c r="CT174">
        <v>3.3</v>
      </c>
      <c r="CW174">
        <v>3.8</v>
      </c>
      <c r="DW174">
        <v>2.33</v>
      </c>
      <c r="DZ174">
        <v>2.4500000000000002</v>
      </c>
      <c r="FT174" s="48"/>
      <c r="FU174" s="48"/>
      <c r="FV174" s="48"/>
      <c r="FW174" s="48"/>
      <c r="FX174" s="48"/>
      <c r="FY174" s="48"/>
      <c r="FZ174" s="48"/>
      <c r="GA174" s="48"/>
      <c r="GB174" s="48"/>
      <c r="KE174">
        <v>84</v>
      </c>
      <c r="KG174">
        <v>1</v>
      </c>
      <c r="KH174">
        <v>26.35</v>
      </c>
      <c r="KJ174">
        <v>1</v>
      </c>
      <c r="KK174">
        <v>31</v>
      </c>
      <c r="LI174">
        <v>1</v>
      </c>
      <c r="MX174">
        <v>1</v>
      </c>
      <c r="NG174">
        <v>1</v>
      </c>
      <c r="NI174">
        <v>1</v>
      </c>
      <c r="NL174">
        <v>1</v>
      </c>
      <c r="NY174">
        <v>1</v>
      </c>
      <c r="NZ174">
        <v>1</v>
      </c>
      <c r="OF174">
        <v>1</v>
      </c>
      <c r="QN174">
        <v>1</v>
      </c>
      <c r="SK174">
        <v>1</v>
      </c>
      <c r="SL174">
        <v>1</v>
      </c>
      <c r="UC174" s="48"/>
      <c r="UD174" s="48"/>
      <c r="UE174" s="48">
        <v>600</v>
      </c>
      <c r="UF174" s="48">
        <v>2</v>
      </c>
      <c r="UI174">
        <v>1</v>
      </c>
      <c r="UK174">
        <v>61</v>
      </c>
      <c r="UL174">
        <v>59</v>
      </c>
      <c r="UM174">
        <v>2</v>
      </c>
      <c r="UN174">
        <v>0</v>
      </c>
      <c r="VG174">
        <v>1</v>
      </c>
      <c r="VH174">
        <v>824</v>
      </c>
      <c r="VI174">
        <v>822</v>
      </c>
      <c r="VJ174">
        <v>2</v>
      </c>
      <c r="VK174">
        <v>0</v>
      </c>
      <c r="XM174">
        <v>50</v>
      </c>
      <c r="XN174">
        <v>2</v>
      </c>
      <c r="XQ174">
        <v>1</v>
      </c>
      <c r="XR174">
        <v>31</v>
      </c>
      <c r="AXY174">
        <v>25</v>
      </c>
      <c r="AXZ174">
        <v>1</v>
      </c>
      <c r="AYC174">
        <v>1</v>
      </c>
      <c r="AYD174">
        <v>824</v>
      </c>
      <c r="AYE174">
        <v>822</v>
      </c>
      <c r="AYF174">
        <v>2</v>
      </c>
      <c r="AYG174">
        <v>0</v>
      </c>
      <c r="BBV174">
        <v>5</v>
      </c>
      <c r="BBW174">
        <v>1</v>
      </c>
      <c r="BBZ174">
        <v>1</v>
      </c>
      <c r="BCA174" s="35">
        <v>999</v>
      </c>
      <c r="BCB174">
        <v>999</v>
      </c>
      <c r="BCC174">
        <v>0</v>
      </c>
      <c r="BCD174">
        <v>999</v>
      </c>
      <c r="BHU174">
        <v>1</v>
      </c>
      <c r="BHV174">
        <v>824</v>
      </c>
      <c r="BHW174">
        <v>822</v>
      </c>
      <c r="BHX174">
        <v>2</v>
      </c>
      <c r="BHY174">
        <v>0</v>
      </c>
      <c r="CCB174">
        <v>36</v>
      </c>
      <c r="CCC174">
        <v>1</v>
      </c>
      <c r="CCF174">
        <v>1</v>
      </c>
      <c r="CCG174">
        <v>31</v>
      </c>
      <c r="CCH174">
        <v>30</v>
      </c>
      <c r="CCI174">
        <v>0</v>
      </c>
      <c r="CCJ174">
        <v>1</v>
      </c>
      <c r="DTW174">
        <v>50</v>
      </c>
      <c r="DTX174">
        <v>1</v>
      </c>
      <c r="DUA174">
        <v>1</v>
      </c>
      <c r="DUB174" s="35">
        <v>999</v>
      </c>
      <c r="DUC174">
        <v>999</v>
      </c>
      <c r="DUD174">
        <v>0</v>
      </c>
      <c r="DUE174">
        <v>999</v>
      </c>
      <c r="EST174">
        <v>1</v>
      </c>
      <c r="ESZ174">
        <v>1</v>
      </c>
      <c r="ETA174">
        <v>1</v>
      </c>
      <c r="ETU174">
        <v>1</v>
      </c>
      <c r="EUB174">
        <v>1</v>
      </c>
      <c r="EVY174">
        <v>1</v>
      </c>
      <c r="EWW174">
        <v>1</v>
      </c>
      <c r="EXL174">
        <v>1</v>
      </c>
      <c r="EXW174">
        <v>1</v>
      </c>
      <c r="EXY174">
        <v>1</v>
      </c>
    </row>
    <row r="175" spans="1:984 1112:1977 2067:2907 3115:4058 4208:4319" x14ac:dyDescent="0.25">
      <c r="A175" s="48">
        <v>9054567</v>
      </c>
      <c r="FT175" s="48"/>
      <c r="FU175" s="48"/>
      <c r="FV175" s="48"/>
      <c r="FW175" s="48"/>
      <c r="FX175" s="48"/>
      <c r="FY175" s="48"/>
      <c r="FZ175" s="48"/>
      <c r="GA175" s="48"/>
      <c r="GB175" s="48"/>
      <c r="KE175">
        <v>46</v>
      </c>
      <c r="KF175">
        <v>1</v>
      </c>
      <c r="KH175">
        <v>21.22</v>
      </c>
      <c r="KJ175">
        <v>1</v>
      </c>
      <c r="UC175" s="48"/>
      <c r="UD175" s="48"/>
      <c r="UE175" s="48">
        <v>600</v>
      </c>
      <c r="UF175" s="48">
        <v>1</v>
      </c>
      <c r="UI175">
        <v>1</v>
      </c>
      <c r="UK175">
        <v>7</v>
      </c>
      <c r="UL175">
        <v>14</v>
      </c>
      <c r="UM175">
        <v>8</v>
      </c>
      <c r="UN175">
        <v>0</v>
      </c>
      <c r="AKN175">
        <v>500</v>
      </c>
      <c r="AKO175">
        <v>1</v>
      </c>
      <c r="AKR175">
        <v>1</v>
      </c>
      <c r="AKS175">
        <v>7</v>
      </c>
      <c r="AKT175">
        <v>14</v>
      </c>
      <c r="AKU175">
        <v>8</v>
      </c>
      <c r="AKV175">
        <v>0</v>
      </c>
      <c r="EUP175">
        <v>1</v>
      </c>
      <c r="EXA175">
        <v>1</v>
      </c>
      <c r="EXB175">
        <v>1</v>
      </c>
    </row>
    <row r="176" spans="1:984 1112:1977 2067:2907 3115:4058 4208:4319" x14ac:dyDescent="0.25">
      <c r="A176" s="48">
        <v>9083682</v>
      </c>
      <c r="L176">
        <v>34.1</v>
      </c>
      <c r="BP176">
        <v>136</v>
      </c>
      <c r="CV176">
        <v>4.04</v>
      </c>
      <c r="DY176">
        <v>2.25</v>
      </c>
      <c r="FT176" s="48"/>
      <c r="FU176" s="48"/>
      <c r="FV176" s="48"/>
      <c r="FW176" s="48"/>
      <c r="FX176" s="48"/>
      <c r="FY176" s="48"/>
      <c r="FZ176" s="48"/>
      <c r="GA176" s="48"/>
      <c r="GB176" s="48"/>
      <c r="GW176">
        <v>120</v>
      </c>
      <c r="GZ176">
        <v>126</v>
      </c>
      <c r="IV176">
        <v>90</v>
      </c>
      <c r="KE176">
        <v>43</v>
      </c>
      <c r="KF176">
        <v>1</v>
      </c>
      <c r="KH176">
        <v>25.9</v>
      </c>
      <c r="KJ176">
        <v>1</v>
      </c>
      <c r="KY176">
        <v>1</v>
      </c>
      <c r="UC176" s="48"/>
      <c r="UD176" s="48"/>
      <c r="UE176" s="48">
        <v>400</v>
      </c>
      <c r="UF176" s="48">
        <v>1</v>
      </c>
      <c r="ZD176">
        <v>200</v>
      </c>
      <c r="ZE176">
        <v>1</v>
      </c>
      <c r="ZH176">
        <v>1</v>
      </c>
      <c r="ZI176" s="35">
        <v>999</v>
      </c>
      <c r="ZJ176">
        <v>35</v>
      </c>
      <c r="ZK176">
        <v>0</v>
      </c>
      <c r="ZL176">
        <v>999</v>
      </c>
      <c r="ACH176">
        <v>1</v>
      </c>
      <c r="BWU176">
        <v>40</v>
      </c>
      <c r="BWV176">
        <v>1</v>
      </c>
      <c r="BWY176">
        <v>1</v>
      </c>
      <c r="EOP176">
        <v>1</v>
      </c>
      <c r="ERU176">
        <v>1</v>
      </c>
      <c r="ESU176">
        <v>1</v>
      </c>
      <c r="ETA176">
        <v>1</v>
      </c>
      <c r="EUD176">
        <v>1</v>
      </c>
      <c r="EXA176">
        <v>1</v>
      </c>
      <c r="EXB176">
        <v>1</v>
      </c>
      <c r="EYF176">
        <v>1</v>
      </c>
      <c r="FJC176">
        <v>1</v>
      </c>
    </row>
    <row r="177" spans="1:994 1263:2948 3200:4082 4281:4288" x14ac:dyDescent="0.25">
      <c r="A177" s="48">
        <v>9102044</v>
      </c>
      <c r="FT177" s="48"/>
      <c r="FU177" s="48"/>
      <c r="FV177" s="48"/>
      <c r="FW177" s="48"/>
      <c r="FX177" s="48"/>
      <c r="FY177" s="48"/>
      <c r="FZ177" s="48"/>
      <c r="GA177" s="48"/>
      <c r="GB177" s="48"/>
      <c r="KG177">
        <v>1</v>
      </c>
      <c r="KH177">
        <v>23.59</v>
      </c>
      <c r="KJ177">
        <v>1</v>
      </c>
      <c r="KK177">
        <v>84</v>
      </c>
      <c r="UC177" s="48"/>
      <c r="UD177" s="48"/>
      <c r="UE177" s="48"/>
      <c r="UF177" s="48"/>
      <c r="UI177">
        <v>1</v>
      </c>
      <c r="UK177">
        <v>999</v>
      </c>
      <c r="UL177">
        <v>999</v>
      </c>
      <c r="UM177">
        <v>26</v>
      </c>
      <c r="UN177">
        <v>0</v>
      </c>
      <c r="BZP177">
        <v>1000</v>
      </c>
      <c r="BZQ177">
        <v>1</v>
      </c>
      <c r="BZR177">
        <v>1</v>
      </c>
      <c r="BZU177">
        <v>3</v>
      </c>
      <c r="BZV177">
        <v>30</v>
      </c>
      <c r="BZW177">
        <v>28</v>
      </c>
      <c r="BZX177">
        <v>0</v>
      </c>
      <c r="ERH177">
        <v>1</v>
      </c>
      <c r="EXA177">
        <v>1</v>
      </c>
    </row>
    <row r="178" spans="1:994 1263:2948 3200:4082 4281:4288" x14ac:dyDescent="0.25">
      <c r="A178" s="48">
        <v>9119854</v>
      </c>
      <c r="FT178" s="48"/>
      <c r="FU178" s="48"/>
      <c r="FV178" s="48"/>
      <c r="FW178" s="48"/>
      <c r="FX178" s="48"/>
      <c r="FY178" s="48"/>
      <c r="FZ178" s="48"/>
      <c r="GA178" s="48"/>
      <c r="GB178" s="48"/>
      <c r="KE178">
        <v>47</v>
      </c>
      <c r="KG178">
        <v>1</v>
      </c>
      <c r="KH178">
        <v>28.04</v>
      </c>
      <c r="UC178" s="48"/>
      <c r="UD178" s="48"/>
      <c r="UE178" s="48">
        <v>400</v>
      </c>
      <c r="UF178" s="48">
        <v>3</v>
      </c>
      <c r="UI178">
        <v>1</v>
      </c>
      <c r="UK178">
        <v>11</v>
      </c>
      <c r="UL178">
        <v>9</v>
      </c>
      <c r="UM178">
        <v>0</v>
      </c>
      <c r="UN178">
        <v>4</v>
      </c>
      <c r="EXA178">
        <v>1</v>
      </c>
    </row>
    <row r="179" spans="1:994 1263:2948 3200:4082 4281:4288" x14ac:dyDescent="0.25">
      <c r="A179" s="48">
        <v>9125126</v>
      </c>
      <c r="KE179">
        <v>55</v>
      </c>
      <c r="KF179">
        <v>1</v>
      </c>
      <c r="KH179">
        <v>21.85</v>
      </c>
      <c r="KK179">
        <v>40</v>
      </c>
      <c r="LD179">
        <v>1</v>
      </c>
      <c r="MY179">
        <v>1</v>
      </c>
      <c r="NF179">
        <v>1</v>
      </c>
      <c r="UC179" s="48"/>
      <c r="UD179" s="48"/>
      <c r="UE179" s="48">
        <v>400</v>
      </c>
      <c r="UF179" s="48"/>
      <c r="UI179">
        <v>1</v>
      </c>
      <c r="UK179">
        <v>10</v>
      </c>
      <c r="UL179">
        <v>3</v>
      </c>
      <c r="UM179">
        <v>0</v>
      </c>
      <c r="UN179">
        <v>6</v>
      </c>
      <c r="EXA179">
        <v>1</v>
      </c>
    </row>
    <row r="180" spans="1:994 1263:2948 3200:4082 4281:4288" x14ac:dyDescent="0.25">
      <c r="A180" s="48">
        <v>9174811</v>
      </c>
      <c r="KE180">
        <v>28</v>
      </c>
      <c r="KF180">
        <v>1</v>
      </c>
      <c r="KH180">
        <v>21.56</v>
      </c>
      <c r="KJ180">
        <v>1</v>
      </c>
      <c r="KP180">
        <v>1</v>
      </c>
      <c r="KW180">
        <v>1</v>
      </c>
      <c r="LD180">
        <v>1</v>
      </c>
      <c r="LG180">
        <v>1</v>
      </c>
      <c r="LL180">
        <v>1</v>
      </c>
      <c r="UC180" s="48"/>
      <c r="UD180" s="48"/>
      <c r="UE180" s="48">
        <v>200</v>
      </c>
      <c r="UF180" s="48">
        <v>3</v>
      </c>
      <c r="UI180">
        <v>1</v>
      </c>
      <c r="UK180">
        <v>8</v>
      </c>
      <c r="UL180">
        <v>29</v>
      </c>
      <c r="UM180">
        <v>22</v>
      </c>
      <c r="UN180">
        <v>0</v>
      </c>
      <c r="UU180">
        <v>1</v>
      </c>
      <c r="UW180">
        <v>8</v>
      </c>
      <c r="UX180">
        <v>29</v>
      </c>
      <c r="UY180">
        <v>22</v>
      </c>
      <c r="UZ180">
        <v>1</v>
      </c>
      <c r="CHB180">
        <v>1</v>
      </c>
      <c r="CSV180">
        <v>2</v>
      </c>
      <c r="CSW180">
        <v>1</v>
      </c>
      <c r="CSX180">
        <v>1</v>
      </c>
      <c r="CTA180" s="35">
        <v>999</v>
      </c>
      <c r="CTB180">
        <v>83</v>
      </c>
      <c r="CTC180">
        <v>0</v>
      </c>
      <c r="CTD180">
        <v>999</v>
      </c>
      <c r="DSB180">
        <v>1</v>
      </c>
      <c r="DSC180">
        <v>4</v>
      </c>
      <c r="DSD180">
        <v>20</v>
      </c>
      <c r="DSE180">
        <v>17</v>
      </c>
      <c r="DSF180">
        <v>0</v>
      </c>
      <c r="DSS180" t="s">
        <v>1644</v>
      </c>
      <c r="DSW180">
        <v>1</v>
      </c>
      <c r="DSX180">
        <v>3</v>
      </c>
      <c r="DSY180">
        <v>3</v>
      </c>
      <c r="DSZ180">
        <v>1</v>
      </c>
      <c r="DTA180">
        <v>0</v>
      </c>
      <c r="ESZ180">
        <v>1</v>
      </c>
      <c r="ETA180">
        <v>1</v>
      </c>
      <c r="EUD180">
        <v>1</v>
      </c>
    </row>
    <row r="181" spans="1:994 1263:2948 3200:4082 4281:4288" x14ac:dyDescent="0.25">
      <c r="A181" s="48">
        <v>10002875</v>
      </c>
      <c r="IF181">
        <v>66</v>
      </c>
      <c r="KE181">
        <v>51</v>
      </c>
      <c r="KG181">
        <v>1</v>
      </c>
      <c r="KH181">
        <v>26.57</v>
      </c>
      <c r="KJ181">
        <v>1</v>
      </c>
      <c r="KK181">
        <v>23</v>
      </c>
      <c r="KL181">
        <v>1</v>
      </c>
      <c r="KM181">
        <v>1</v>
      </c>
      <c r="KO181">
        <v>1</v>
      </c>
      <c r="LZ181">
        <v>1</v>
      </c>
      <c r="MB181">
        <v>1</v>
      </c>
      <c r="MD181">
        <v>1</v>
      </c>
      <c r="MH181">
        <v>1</v>
      </c>
      <c r="NZ181">
        <v>1</v>
      </c>
      <c r="QK181">
        <v>1</v>
      </c>
      <c r="UC181" s="48"/>
      <c r="UD181" s="48"/>
      <c r="UE181" s="48">
        <v>500</v>
      </c>
      <c r="UF181" s="48">
        <v>6</v>
      </c>
      <c r="UI181">
        <v>1</v>
      </c>
      <c r="UK181">
        <v>8</v>
      </c>
      <c r="UL181">
        <v>6</v>
      </c>
      <c r="UM181">
        <v>0</v>
      </c>
      <c r="UN181">
        <v>1</v>
      </c>
      <c r="UQ181">
        <v>500</v>
      </c>
      <c r="UR181">
        <v>6</v>
      </c>
      <c r="UU181">
        <v>1</v>
      </c>
      <c r="UW181">
        <v>999</v>
      </c>
      <c r="UX181">
        <v>999</v>
      </c>
      <c r="UY181">
        <v>7</v>
      </c>
      <c r="UZ181">
        <v>0</v>
      </c>
      <c r="CHC181">
        <v>80</v>
      </c>
      <c r="CHD181">
        <v>1</v>
      </c>
      <c r="CHG181">
        <v>1</v>
      </c>
      <c r="CHH181" s="35">
        <v>999</v>
      </c>
      <c r="CHI181">
        <v>999</v>
      </c>
      <c r="CHJ181">
        <v>0</v>
      </c>
      <c r="CHK181">
        <v>999</v>
      </c>
      <c r="DTC181">
        <v>1</v>
      </c>
      <c r="DTD181">
        <v>1</v>
      </c>
      <c r="DTG181">
        <v>1</v>
      </c>
      <c r="DTH181" s="15">
        <v>999</v>
      </c>
      <c r="DTI181">
        <v>999</v>
      </c>
      <c r="DTJ181">
        <v>0</v>
      </c>
      <c r="DTK181">
        <v>1</v>
      </c>
      <c r="ERQ181">
        <v>1</v>
      </c>
      <c r="EUP181">
        <v>1</v>
      </c>
      <c r="EWZ181">
        <v>1</v>
      </c>
      <c r="EXA181">
        <v>1</v>
      </c>
      <c r="EXB181">
        <v>1</v>
      </c>
      <c r="EXP181">
        <v>1</v>
      </c>
      <c r="EYJ181">
        <v>1</v>
      </c>
      <c r="EYL181">
        <v>1</v>
      </c>
      <c r="FHQ181">
        <v>1</v>
      </c>
      <c r="FHT181">
        <v>1</v>
      </c>
      <c r="FHW181">
        <v>1</v>
      </c>
    </row>
    <row r="182" spans="1:994 1263:2948 3200:4082 4281:4288" x14ac:dyDescent="0.25">
      <c r="A182" s="48">
        <v>10023080</v>
      </c>
      <c r="KE182">
        <v>55</v>
      </c>
      <c r="KF182">
        <v>1</v>
      </c>
      <c r="KH182">
        <v>28.67</v>
      </c>
      <c r="LD182">
        <v>1</v>
      </c>
      <c r="UC182" s="48"/>
      <c r="UD182" s="48"/>
      <c r="UE182" s="48">
        <v>600</v>
      </c>
      <c r="UF182" s="48">
        <v>2</v>
      </c>
      <c r="UI182">
        <v>1</v>
      </c>
      <c r="UK182">
        <v>13</v>
      </c>
      <c r="UL182">
        <v>13</v>
      </c>
      <c r="UM182">
        <v>1</v>
      </c>
      <c r="UN182">
        <v>0</v>
      </c>
      <c r="CHC182">
        <v>20</v>
      </c>
      <c r="CHD182">
        <v>1</v>
      </c>
      <c r="CHG182">
        <v>1</v>
      </c>
      <c r="CHH182">
        <v>13</v>
      </c>
      <c r="CHI182">
        <v>13</v>
      </c>
      <c r="CHJ182">
        <v>1</v>
      </c>
      <c r="CHK182">
        <v>0</v>
      </c>
      <c r="CHL182">
        <v>10</v>
      </c>
      <c r="EUP182">
        <v>1</v>
      </c>
      <c r="EXA182">
        <v>1</v>
      </c>
      <c r="EXB182">
        <v>1</v>
      </c>
      <c r="EXH182">
        <v>1</v>
      </c>
      <c r="FHX182">
        <v>1</v>
      </c>
    </row>
    <row r="183" spans="1:994 1263:2948 3200:4082 4281:4288" x14ac:dyDescent="0.25">
      <c r="A183" s="48">
        <v>10025212</v>
      </c>
      <c r="KE183">
        <v>61</v>
      </c>
      <c r="KF183">
        <v>1</v>
      </c>
      <c r="LU183">
        <v>1</v>
      </c>
      <c r="LY183">
        <v>1</v>
      </c>
      <c r="NZ183">
        <v>1</v>
      </c>
      <c r="OI183">
        <v>1</v>
      </c>
      <c r="OM183">
        <v>1</v>
      </c>
      <c r="UC183" s="48"/>
      <c r="UD183" s="48"/>
      <c r="UE183" s="48">
        <v>400</v>
      </c>
      <c r="UF183" s="48">
        <v>1</v>
      </c>
      <c r="UI183">
        <v>1</v>
      </c>
      <c r="UJ183">
        <v>999</v>
      </c>
      <c r="UK183">
        <v>999</v>
      </c>
      <c r="UL183">
        <v>0</v>
      </c>
      <c r="UM183">
        <v>2</v>
      </c>
      <c r="UN183">
        <v>0</v>
      </c>
      <c r="UO183">
        <v>50</v>
      </c>
      <c r="UQ183">
        <v>500</v>
      </c>
      <c r="UR183">
        <v>2</v>
      </c>
      <c r="UU183">
        <v>1</v>
      </c>
      <c r="UW183">
        <v>999</v>
      </c>
      <c r="UX183">
        <v>999</v>
      </c>
      <c r="UY183">
        <v>0</v>
      </c>
      <c r="UZ183">
        <v>16</v>
      </c>
      <c r="VA183">
        <v>30</v>
      </c>
      <c r="AHU183">
        <v>600</v>
      </c>
      <c r="AHV183">
        <v>3</v>
      </c>
      <c r="AHY183">
        <v>1</v>
      </c>
      <c r="AHZ183">
        <v>7</v>
      </c>
      <c r="AIA183">
        <v>3</v>
      </c>
      <c r="AIB183">
        <v>0</v>
      </c>
      <c r="AIC183">
        <v>3</v>
      </c>
      <c r="AID183">
        <v>30</v>
      </c>
      <c r="ESX183">
        <v>1</v>
      </c>
      <c r="ESZ183">
        <v>1</v>
      </c>
      <c r="EXA183">
        <v>1</v>
      </c>
    </row>
    <row r="184" spans="1:994 1263:2948 3200:4082 4281:4288" x14ac:dyDescent="0.25">
      <c r="A184" s="48">
        <v>10069407</v>
      </c>
      <c r="KE184">
        <v>61</v>
      </c>
      <c r="KG184">
        <v>1</v>
      </c>
      <c r="KH184">
        <v>30.41</v>
      </c>
      <c r="LY184">
        <v>1</v>
      </c>
      <c r="ND184">
        <v>1</v>
      </c>
      <c r="NS184">
        <v>1</v>
      </c>
      <c r="NV184">
        <v>1</v>
      </c>
      <c r="NZ184">
        <v>1</v>
      </c>
      <c r="OX184">
        <v>1</v>
      </c>
      <c r="PV184">
        <v>1</v>
      </c>
      <c r="QK184">
        <v>1</v>
      </c>
      <c r="UE184">
        <v>600</v>
      </c>
      <c r="UF184">
        <v>1</v>
      </c>
      <c r="UI184">
        <v>1</v>
      </c>
      <c r="UK184">
        <v>57</v>
      </c>
      <c r="UL184">
        <v>61</v>
      </c>
      <c r="UM184">
        <v>0</v>
      </c>
      <c r="UN184">
        <v>0</v>
      </c>
      <c r="ZD184">
        <v>100</v>
      </c>
      <c r="ZE184">
        <v>4</v>
      </c>
      <c r="ZH184">
        <v>1</v>
      </c>
      <c r="ZI184">
        <v>59</v>
      </c>
      <c r="ZJ184">
        <v>54</v>
      </c>
      <c r="ZK184">
        <v>0</v>
      </c>
      <c r="ZL184">
        <v>4</v>
      </c>
      <c r="AEB184">
        <v>1</v>
      </c>
      <c r="AEC184">
        <v>59</v>
      </c>
      <c r="AED184">
        <v>54</v>
      </c>
      <c r="AEE184">
        <v>0</v>
      </c>
      <c r="AEF184">
        <v>4</v>
      </c>
      <c r="BIA184">
        <v>2.5</v>
      </c>
      <c r="BIB184">
        <v>1</v>
      </c>
      <c r="BIE184">
        <v>1</v>
      </c>
      <c r="BIF184" s="35">
        <v>999</v>
      </c>
      <c r="BIG184">
        <v>999</v>
      </c>
      <c r="BIH184">
        <v>0</v>
      </c>
      <c r="BII184">
        <v>999</v>
      </c>
      <c r="BZP184">
        <v>20</v>
      </c>
      <c r="BZQ184">
        <v>1</v>
      </c>
      <c r="BZT184">
        <v>1</v>
      </c>
      <c r="BZU184">
        <v>8</v>
      </c>
      <c r="BZV184">
        <v>183</v>
      </c>
      <c r="BZW184">
        <v>175</v>
      </c>
      <c r="BZX184">
        <v>0</v>
      </c>
      <c r="CBR184">
        <v>100</v>
      </c>
      <c r="CBS184">
        <v>1</v>
      </c>
      <c r="CBV184">
        <v>1</v>
      </c>
      <c r="CBW184" s="35">
        <v>999</v>
      </c>
      <c r="CBY184">
        <v>0</v>
      </c>
      <c r="CBZ184">
        <v>999</v>
      </c>
      <c r="CTF184">
        <v>10</v>
      </c>
      <c r="CTG184">
        <v>1</v>
      </c>
      <c r="CTJ184">
        <v>1</v>
      </c>
      <c r="CTK184" s="35">
        <v>999</v>
      </c>
      <c r="CTL184">
        <v>153</v>
      </c>
      <c r="CTM184">
        <v>0</v>
      </c>
      <c r="CTN184">
        <v>999</v>
      </c>
      <c r="EXA184">
        <v>1</v>
      </c>
    </row>
    <row r="185" spans="1:994 1263:2948 3200:4082 4281:4288" x14ac:dyDescent="0.25">
      <c r="A185" s="48">
        <v>10071135</v>
      </c>
      <c r="CC185">
        <v>142</v>
      </c>
      <c r="CG185">
        <v>137</v>
      </c>
      <c r="DI185">
        <v>3.8</v>
      </c>
      <c r="DL185">
        <v>4</v>
      </c>
      <c r="EK185">
        <v>2.6</v>
      </c>
      <c r="EL185">
        <v>2.7</v>
      </c>
      <c r="KE185">
        <v>29</v>
      </c>
      <c r="KF185">
        <v>1</v>
      </c>
      <c r="KH185">
        <v>26.79</v>
      </c>
      <c r="KJ185">
        <v>1</v>
      </c>
      <c r="KK185">
        <v>20</v>
      </c>
      <c r="KL185">
        <v>1</v>
      </c>
      <c r="KM185">
        <v>1</v>
      </c>
      <c r="KR185">
        <v>1</v>
      </c>
      <c r="TJ185">
        <v>1</v>
      </c>
      <c r="UE185">
        <v>800</v>
      </c>
      <c r="UF185">
        <v>3</v>
      </c>
      <c r="UI185">
        <v>1</v>
      </c>
      <c r="UK185">
        <v>34</v>
      </c>
      <c r="UL185">
        <v>25</v>
      </c>
      <c r="UM185">
        <v>0</v>
      </c>
      <c r="UN185">
        <v>8</v>
      </c>
      <c r="AVO185">
        <v>384</v>
      </c>
      <c r="AVP185">
        <v>3</v>
      </c>
      <c r="AVS185">
        <v>1</v>
      </c>
      <c r="AVT185">
        <v>6</v>
      </c>
      <c r="AVU185">
        <v>25</v>
      </c>
      <c r="AVV185">
        <v>0</v>
      </c>
      <c r="AVW185">
        <v>11</v>
      </c>
      <c r="BVP185">
        <v>40</v>
      </c>
      <c r="BVQ185">
        <v>1</v>
      </c>
      <c r="BVT185">
        <v>1</v>
      </c>
      <c r="BVV185">
        <v>37</v>
      </c>
      <c r="BVW185">
        <v>25</v>
      </c>
      <c r="BVX185">
        <v>0</v>
      </c>
      <c r="BVY185">
        <v>11</v>
      </c>
      <c r="CHC185">
        <v>40</v>
      </c>
      <c r="CHD185">
        <v>1</v>
      </c>
      <c r="CHG185">
        <v>1</v>
      </c>
      <c r="CHH185" s="35">
        <v>999</v>
      </c>
      <c r="CHI185">
        <v>25</v>
      </c>
      <c r="CHJ185">
        <v>0</v>
      </c>
      <c r="CHK185">
        <v>999</v>
      </c>
      <c r="ETA185">
        <v>1</v>
      </c>
      <c r="EUD185">
        <v>1</v>
      </c>
      <c r="EUE185">
        <v>1</v>
      </c>
      <c r="EXB185">
        <v>1</v>
      </c>
      <c r="EXD185">
        <v>1</v>
      </c>
    </row>
    <row r="186" spans="1:994 1263:2948 3200:4082 4281:4288" x14ac:dyDescent="0.25">
      <c r="A186" s="48">
        <v>10083649</v>
      </c>
      <c r="KE186">
        <v>53</v>
      </c>
      <c r="KG186">
        <v>1</v>
      </c>
      <c r="KJ186">
        <v>1</v>
      </c>
      <c r="KL186">
        <v>1</v>
      </c>
      <c r="LQ186">
        <v>1</v>
      </c>
      <c r="UI186">
        <v>1</v>
      </c>
      <c r="UK186">
        <v>1</v>
      </c>
      <c r="UL186">
        <v>0</v>
      </c>
      <c r="UM186">
        <v>0</v>
      </c>
      <c r="UN186">
        <v>0</v>
      </c>
      <c r="ACM186">
        <v>1</v>
      </c>
      <c r="ACN186">
        <v>1</v>
      </c>
      <c r="ACO186">
        <v>0</v>
      </c>
      <c r="ACP186">
        <v>0</v>
      </c>
      <c r="ACQ186">
        <v>0</v>
      </c>
      <c r="BJT186">
        <v>1</v>
      </c>
      <c r="BJU186">
        <v>0</v>
      </c>
      <c r="BJV186">
        <v>0</v>
      </c>
      <c r="BJW186">
        <v>0</v>
      </c>
      <c r="DIB186">
        <v>2450</v>
      </c>
      <c r="DIC186">
        <v>1</v>
      </c>
      <c r="DIF186">
        <v>1</v>
      </c>
      <c r="DIG186">
        <v>1</v>
      </c>
      <c r="DIH186">
        <v>0</v>
      </c>
      <c r="DII186">
        <v>0</v>
      </c>
      <c r="DIJ186">
        <v>0</v>
      </c>
      <c r="ESB186">
        <v>1</v>
      </c>
    </row>
    <row r="187" spans="1:994 1263:2948 3200:4082 4281:4288" x14ac:dyDescent="0.25">
      <c r="A187" s="48">
        <v>10102021</v>
      </c>
      <c r="KE187">
        <v>1</v>
      </c>
      <c r="KF187">
        <v>1</v>
      </c>
      <c r="KH187">
        <v>13.49</v>
      </c>
      <c r="KK187">
        <v>1</v>
      </c>
      <c r="PR187">
        <v>1</v>
      </c>
      <c r="UI187">
        <v>1</v>
      </c>
      <c r="UK187" s="35">
        <v>999</v>
      </c>
      <c r="UL187">
        <v>0</v>
      </c>
      <c r="UM187">
        <v>0</v>
      </c>
      <c r="UN187">
        <v>999</v>
      </c>
      <c r="ESL187">
        <v>1</v>
      </c>
      <c r="ETA187">
        <v>1</v>
      </c>
      <c r="ETE187">
        <v>1</v>
      </c>
      <c r="EVJ187">
        <v>1</v>
      </c>
      <c r="EZZ187">
        <v>1</v>
      </c>
    </row>
    <row r="188" spans="1:994 1263:2948 3200:4082 4281:4288" x14ac:dyDescent="0.25">
      <c r="A188" s="48">
        <v>10123729</v>
      </c>
      <c r="KE188">
        <v>88</v>
      </c>
      <c r="KG188">
        <v>1</v>
      </c>
      <c r="KH188">
        <v>17.97</v>
      </c>
      <c r="NU188">
        <v>1</v>
      </c>
      <c r="NZ188">
        <v>1</v>
      </c>
      <c r="OM188">
        <v>1</v>
      </c>
      <c r="PW188">
        <v>1</v>
      </c>
      <c r="QT188">
        <v>1</v>
      </c>
      <c r="UI188">
        <v>1</v>
      </c>
      <c r="UK188">
        <v>180</v>
      </c>
      <c r="UL188">
        <v>180</v>
      </c>
      <c r="UM188">
        <v>1</v>
      </c>
      <c r="UN188">
        <v>0</v>
      </c>
      <c r="UO188">
        <v>50</v>
      </c>
      <c r="AZN188">
        <v>25</v>
      </c>
      <c r="AZO188">
        <v>1</v>
      </c>
      <c r="AZR188">
        <v>1</v>
      </c>
      <c r="AZS188" s="35">
        <v>999</v>
      </c>
      <c r="AZT188">
        <v>26</v>
      </c>
      <c r="AZU188">
        <v>0</v>
      </c>
      <c r="AZV188">
        <v>999</v>
      </c>
      <c r="BIA188">
        <v>2.5</v>
      </c>
      <c r="BIB188">
        <v>1</v>
      </c>
      <c r="BIE188">
        <v>1</v>
      </c>
      <c r="BIF188" s="35">
        <v>999</v>
      </c>
      <c r="BIG188">
        <v>153</v>
      </c>
      <c r="BIH188">
        <v>0</v>
      </c>
      <c r="BII188">
        <v>999</v>
      </c>
      <c r="BRL188">
        <v>15</v>
      </c>
      <c r="BRM188">
        <v>1</v>
      </c>
      <c r="BRP188">
        <v>1</v>
      </c>
      <c r="BRQ188">
        <v>122</v>
      </c>
      <c r="BRR188">
        <v>122</v>
      </c>
      <c r="BRS188">
        <v>0</v>
      </c>
      <c r="BRT188">
        <v>1</v>
      </c>
      <c r="BRU188">
        <v>50</v>
      </c>
      <c r="BZP188">
        <v>5</v>
      </c>
      <c r="BZQ188">
        <v>1</v>
      </c>
      <c r="BZT188">
        <v>1</v>
      </c>
      <c r="BZU188" s="35">
        <v>999</v>
      </c>
      <c r="BZV188">
        <v>915</v>
      </c>
      <c r="BZW188">
        <v>0</v>
      </c>
      <c r="BZX188">
        <v>999</v>
      </c>
      <c r="CHC188">
        <v>20</v>
      </c>
      <c r="CHD188">
        <v>1</v>
      </c>
      <c r="CHG188">
        <v>1</v>
      </c>
      <c r="CHH188" s="35">
        <v>999</v>
      </c>
      <c r="CHI188">
        <v>214</v>
      </c>
      <c r="CHJ188">
        <v>0</v>
      </c>
      <c r="CHK188">
        <v>999</v>
      </c>
      <c r="CUO188">
        <v>1</v>
      </c>
      <c r="CUP188">
        <v>92</v>
      </c>
      <c r="CUQ188">
        <v>92</v>
      </c>
      <c r="CUT188">
        <v>50</v>
      </c>
      <c r="EPP188">
        <v>1</v>
      </c>
      <c r="EXA188">
        <v>1</v>
      </c>
    </row>
    <row r="189" spans="1:994 1263:2948 3200:4082 4281:4288" x14ac:dyDescent="0.25">
      <c r="A189" s="48">
        <v>10144736</v>
      </c>
      <c r="KE189">
        <v>56</v>
      </c>
      <c r="KG189">
        <v>1</v>
      </c>
      <c r="KH189">
        <v>23.8</v>
      </c>
      <c r="LZ189">
        <v>1</v>
      </c>
      <c r="ND189">
        <v>1</v>
      </c>
      <c r="SN189">
        <v>1</v>
      </c>
      <c r="UE189">
        <v>800</v>
      </c>
      <c r="UF189">
        <v>1</v>
      </c>
      <c r="UI189">
        <v>1</v>
      </c>
      <c r="UK189">
        <v>732</v>
      </c>
      <c r="UL189">
        <v>732</v>
      </c>
      <c r="UM189">
        <v>1</v>
      </c>
      <c r="UN189">
        <v>0</v>
      </c>
      <c r="UO189">
        <v>30</v>
      </c>
      <c r="WM189">
        <v>1</v>
      </c>
      <c r="WN189">
        <v>1</v>
      </c>
      <c r="WO189">
        <v>1</v>
      </c>
      <c r="WP189">
        <v>1</v>
      </c>
      <c r="WQ189">
        <v>0</v>
      </c>
      <c r="WR189">
        <v>50</v>
      </c>
      <c r="ACM189">
        <v>1</v>
      </c>
      <c r="ACN189">
        <v>1</v>
      </c>
      <c r="ACO189">
        <v>1</v>
      </c>
      <c r="ACP189">
        <v>1</v>
      </c>
      <c r="ACQ189">
        <v>0</v>
      </c>
      <c r="ESZ189">
        <v>1</v>
      </c>
      <c r="ETA189">
        <v>1</v>
      </c>
      <c r="EUE189">
        <v>1</v>
      </c>
      <c r="EXA189">
        <v>1</v>
      </c>
    </row>
    <row r="190" spans="1:994 1263:2948 3200:4082 4281:4288" x14ac:dyDescent="0.25">
      <c r="A190" s="48">
        <v>10157275</v>
      </c>
      <c r="KE190">
        <v>71</v>
      </c>
      <c r="KG190">
        <v>1</v>
      </c>
      <c r="KH190">
        <v>25.08</v>
      </c>
      <c r="KJ190">
        <v>1</v>
      </c>
      <c r="NV190">
        <v>1</v>
      </c>
      <c r="OQ190">
        <v>1</v>
      </c>
      <c r="SR190">
        <v>1</v>
      </c>
      <c r="TG190">
        <v>1</v>
      </c>
      <c r="UE190">
        <v>3000</v>
      </c>
      <c r="UF190">
        <v>1</v>
      </c>
      <c r="UI190">
        <v>1</v>
      </c>
      <c r="UP190">
        <v>1</v>
      </c>
      <c r="VB190">
        <v>1</v>
      </c>
      <c r="WH190">
        <v>1</v>
      </c>
      <c r="XC190">
        <v>1660</v>
      </c>
      <c r="XD190">
        <v>1</v>
      </c>
      <c r="AKX190">
        <v>400</v>
      </c>
      <c r="AKY190">
        <v>1</v>
      </c>
      <c r="ALB190">
        <v>1</v>
      </c>
      <c r="ALC190">
        <v>11</v>
      </c>
      <c r="ALD190">
        <v>0</v>
      </c>
      <c r="ALE190">
        <v>0</v>
      </c>
      <c r="ALF190">
        <v>10</v>
      </c>
      <c r="BQQ190">
        <v>1</v>
      </c>
      <c r="BSL190">
        <v>22</v>
      </c>
      <c r="BSM190">
        <v>11</v>
      </c>
      <c r="BSN190">
        <v>0</v>
      </c>
      <c r="BSO190">
        <v>10</v>
      </c>
      <c r="BWU190">
        <v>10</v>
      </c>
      <c r="BWV190">
        <v>1</v>
      </c>
      <c r="BXP190">
        <v>20</v>
      </c>
      <c r="BXQ190">
        <v>2</v>
      </c>
      <c r="BXT190">
        <v>1</v>
      </c>
      <c r="DFI190">
        <v>1</v>
      </c>
      <c r="DFJ190">
        <v>1</v>
      </c>
      <c r="DFM190">
        <v>1</v>
      </c>
      <c r="ESC190">
        <v>1</v>
      </c>
      <c r="ESP190">
        <v>1</v>
      </c>
      <c r="ETS190">
        <v>1</v>
      </c>
      <c r="EWU190">
        <v>1</v>
      </c>
      <c r="EWX190">
        <v>1</v>
      </c>
      <c r="EXA190">
        <v>1</v>
      </c>
    </row>
    <row r="191" spans="1:994 1263:2948 3200:4082 4281:4288" x14ac:dyDescent="0.25">
      <c r="A191" s="52"/>
    </row>
    <row r="192" spans="1:994 1263:2948 3200:4082 4281:4288" x14ac:dyDescent="0.25">
      <c r="A192" s="50" t="s">
        <v>83</v>
      </c>
    </row>
    <row r="193" spans="1:984 1128:3028 3190:4040 4176:4281" x14ac:dyDescent="0.25">
      <c r="A193" s="48">
        <v>5281</v>
      </c>
      <c r="KE193">
        <v>24</v>
      </c>
      <c r="KG193">
        <v>1</v>
      </c>
      <c r="KH193">
        <v>18.8</v>
      </c>
      <c r="KJ193">
        <v>1</v>
      </c>
      <c r="KM193">
        <v>1</v>
      </c>
      <c r="TV193">
        <v>1</v>
      </c>
      <c r="TY193">
        <v>1</v>
      </c>
      <c r="TZ193">
        <v>0</v>
      </c>
      <c r="UA193">
        <v>0</v>
      </c>
      <c r="UB193">
        <v>0</v>
      </c>
      <c r="UQ193" s="48">
        <v>16</v>
      </c>
      <c r="UR193" s="48">
        <v>1</v>
      </c>
      <c r="UU193">
        <v>1</v>
      </c>
      <c r="UW193">
        <v>1</v>
      </c>
      <c r="UX193">
        <v>0</v>
      </c>
      <c r="UY193">
        <v>0</v>
      </c>
      <c r="UZ193">
        <v>0</v>
      </c>
      <c r="ACI193" s="48"/>
      <c r="ACJ193">
        <v>1</v>
      </c>
      <c r="ACM193">
        <v>1</v>
      </c>
      <c r="ACN193">
        <v>1</v>
      </c>
      <c r="ACO193">
        <v>0</v>
      </c>
      <c r="ACP193">
        <v>0</v>
      </c>
      <c r="ACQ193">
        <v>0</v>
      </c>
      <c r="CVE193">
        <v>20</v>
      </c>
      <c r="CVF193">
        <v>1</v>
      </c>
      <c r="CVI193">
        <v>1</v>
      </c>
      <c r="CVJ193">
        <v>1</v>
      </c>
      <c r="CVK193">
        <v>0</v>
      </c>
      <c r="CVL193">
        <v>0</v>
      </c>
      <c r="CVM193">
        <v>0</v>
      </c>
      <c r="EWV193">
        <v>1</v>
      </c>
    </row>
    <row r="194" spans="1:984 1128:3028 3190:4040 4176:4281" x14ac:dyDescent="0.25">
      <c r="A194" s="48">
        <v>200085</v>
      </c>
      <c r="KE194">
        <v>60</v>
      </c>
      <c r="KG194">
        <v>1</v>
      </c>
      <c r="KK194">
        <v>26</v>
      </c>
      <c r="NN194">
        <v>1</v>
      </c>
      <c r="RG194">
        <v>1</v>
      </c>
      <c r="UQ194" s="48">
        <v>500</v>
      </c>
      <c r="UR194" s="48">
        <v>3</v>
      </c>
      <c r="UU194">
        <v>1</v>
      </c>
      <c r="UW194">
        <v>13</v>
      </c>
      <c r="UX194">
        <v>11</v>
      </c>
      <c r="UY194">
        <v>0</v>
      </c>
      <c r="UZ194">
        <v>1</v>
      </c>
      <c r="VC194">
        <v>35000</v>
      </c>
      <c r="VE194">
        <v>1</v>
      </c>
      <c r="VH194">
        <v>5</v>
      </c>
      <c r="VI194">
        <v>6</v>
      </c>
      <c r="VJ194">
        <v>2</v>
      </c>
      <c r="VK194">
        <v>0</v>
      </c>
      <c r="BEO194">
        <v>2.5</v>
      </c>
      <c r="BEP194">
        <v>1</v>
      </c>
      <c r="BES194">
        <v>1</v>
      </c>
      <c r="BZP194">
        <v>80</v>
      </c>
      <c r="BZQ194">
        <v>1</v>
      </c>
      <c r="BZT194">
        <v>1</v>
      </c>
      <c r="BZU194">
        <v>5</v>
      </c>
      <c r="BZV194">
        <v>3</v>
      </c>
      <c r="BZW194">
        <v>0</v>
      </c>
      <c r="BZX194">
        <v>1</v>
      </c>
      <c r="CEJ194">
        <v>150</v>
      </c>
      <c r="CEK194">
        <v>1</v>
      </c>
      <c r="CEN194">
        <v>1</v>
      </c>
      <c r="CEO194">
        <v>5</v>
      </c>
      <c r="CEP194">
        <v>3</v>
      </c>
      <c r="CEQ194">
        <v>1</v>
      </c>
      <c r="DTW194">
        <v>50</v>
      </c>
      <c r="DTX194">
        <v>0.14299999999999999</v>
      </c>
      <c r="EXA194">
        <v>1</v>
      </c>
    </row>
    <row r="195" spans="1:984 1128:3028 3190:4040 4176:4281" x14ac:dyDescent="0.25">
      <c r="A195" s="48">
        <v>500129</v>
      </c>
      <c r="BV195">
        <v>135</v>
      </c>
      <c r="CB195">
        <v>144</v>
      </c>
      <c r="CC195">
        <v>141</v>
      </c>
      <c r="CJ195">
        <v>140</v>
      </c>
      <c r="DB195">
        <v>3.69</v>
      </c>
      <c r="DH195">
        <v>5.01</v>
      </c>
      <c r="DI195">
        <v>3.4</v>
      </c>
      <c r="DN195">
        <v>3.64</v>
      </c>
      <c r="KE195">
        <v>72</v>
      </c>
      <c r="KG195">
        <v>1</v>
      </c>
      <c r="KJ195">
        <v>1</v>
      </c>
      <c r="KO195">
        <v>1</v>
      </c>
      <c r="KZ195">
        <v>1</v>
      </c>
      <c r="LD195">
        <v>1</v>
      </c>
      <c r="LW195">
        <v>1</v>
      </c>
      <c r="LY195">
        <v>1</v>
      </c>
      <c r="MI195">
        <v>1</v>
      </c>
      <c r="NX195">
        <v>1</v>
      </c>
      <c r="NZ195">
        <v>1</v>
      </c>
      <c r="PX195">
        <v>1</v>
      </c>
      <c r="UQ195" s="48">
        <v>500</v>
      </c>
      <c r="UR195" s="48">
        <v>1</v>
      </c>
      <c r="UU195">
        <v>1</v>
      </c>
      <c r="UW195" s="15">
        <v>999</v>
      </c>
      <c r="UX195">
        <v>999</v>
      </c>
      <c r="UY195">
        <v>0</v>
      </c>
      <c r="UZ195">
        <v>9</v>
      </c>
      <c r="VD195">
        <v>3</v>
      </c>
      <c r="VG195">
        <v>1</v>
      </c>
      <c r="VH195" s="15">
        <v>999</v>
      </c>
      <c r="VI195">
        <v>999</v>
      </c>
      <c r="AYC195">
        <v>1</v>
      </c>
      <c r="AYD195" s="15">
        <v>999</v>
      </c>
      <c r="AYE195">
        <v>999</v>
      </c>
      <c r="AYF195">
        <v>0</v>
      </c>
      <c r="AYG195">
        <v>9</v>
      </c>
      <c r="BHU195">
        <v>1</v>
      </c>
      <c r="BHV195" s="15">
        <v>999</v>
      </c>
      <c r="BHW195">
        <v>999</v>
      </c>
      <c r="BHX195">
        <v>0</v>
      </c>
      <c r="BHY195">
        <v>9</v>
      </c>
      <c r="BLY195">
        <v>7.0000000000000007E-2</v>
      </c>
      <c r="BLZ195">
        <v>1</v>
      </c>
      <c r="BMC195">
        <v>1</v>
      </c>
      <c r="BPM195">
        <v>120</v>
      </c>
      <c r="BPN195">
        <v>2</v>
      </c>
      <c r="BPQ195">
        <v>1</v>
      </c>
      <c r="BPR195" s="15">
        <v>999</v>
      </c>
      <c r="BPS195">
        <v>999</v>
      </c>
      <c r="BPT195">
        <v>0</v>
      </c>
      <c r="BPU195">
        <v>9</v>
      </c>
      <c r="BZP195">
        <v>5</v>
      </c>
      <c r="BZQ195">
        <v>1</v>
      </c>
      <c r="BZT195">
        <v>1</v>
      </c>
      <c r="BZU195" s="35">
        <v>999</v>
      </c>
      <c r="BZV195">
        <v>360</v>
      </c>
      <c r="BZW195">
        <v>0</v>
      </c>
      <c r="BZX195">
        <v>999</v>
      </c>
      <c r="CUJ195">
        <v>8</v>
      </c>
      <c r="CUK195">
        <v>2</v>
      </c>
      <c r="CUN195">
        <v>1</v>
      </c>
      <c r="ERW195">
        <v>1</v>
      </c>
      <c r="ESQ195">
        <v>1</v>
      </c>
      <c r="ESZ195">
        <v>1</v>
      </c>
      <c r="ETA195">
        <v>1</v>
      </c>
      <c r="ETU195">
        <v>1</v>
      </c>
      <c r="EWW195">
        <v>1</v>
      </c>
      <c r="EXB195">
        <v>1</v>
      </c>
      <c r="EXO195">
        <v>1</v>
      </c>
      <c r="EYF195">
        <v>1</v>
      </c>
    </row>
    <row r="196" spans="1:984 1128:3028 3190:4040 4176:4281" x14ac:dyDescent="0.25">
      <c r="A196" s="51">
        <v>1002033</v>
      </c>
      <c r="KE196">
        <v>28</v>
      </c>
      <c r="KG196">
        <v>1</v>
      </c>
      <c r="KL196">
        <v>1</v>
      </c>
      <c r="LU196">
        <v>1</v>
      </c>
      <c r="UQ196" s="48">
        <v>2000</v>
      </c>
      <c r="UR196" s="48">
        <v>1</v>
      </c>
      <c r="UU196">
        <v>1</v>
      </c>
      <c r="UW196" s="35">
        <v>999</v>
      </c>
      <c r="UX196">
        <v>8</v>
      </c>
      <c r="UY196">
        <v>0</v>
      </c>
      <c r="UZ196">
        <v>999</v>
      </c>
      <c r="DGW196" s="48">
        <v>75</v>
      </c>
      <c r="DGX196">
        <v>1</v>
      </c>
      <c r="DHA196">
        <v>1</v>
      </c>
      <c r="DHB196">
        <v>12</v>
      </c>
      <c r="DHC196">
        <v>20</v>
      </c>
      <c r="DHD196">
        <v>9</v>
      </c>
      <c r="DHE196">
        <v>0</v>
      </c>
      <c r="DKT196">
        <v>20</v>
      </c>
      <c r="DKU196">
        <v>1</v>
      </c>
      <c r="DKX196">
        <v>1</v>
      </c>
      <c r="DKY196">
        <v>12</v>
      </c>
      <c r="DKZ196">
        <v>0</v>
      </c>
      <c r="DLA196">
        <v>0</v>
      </c>
      <c r="DLB196">
        <v>11</v>
      </c>
      <c r="DLD196">
        <v>5</v>
      </c>
      <c r="DLE196">
        <v>1</v>
      </c>
      <c r="DLH196">
        <v>1</v>
      </c>
      <c r="DLI196">
        <v>12</v>
      </c>
      <c r="DLJ196">
        <v>20</v>
      </c>
      <c r="DLK196">
        <v>9</v>
      </c>
      <c r="DLL196">
        <v>0</v>
      </c>
      <c r="EWV196">
        <v>1</v>
      </c>
    </row>
    <row r="197" spans="1:984 1128:3028 3190:4040 4176:4281" x14ac:dyDescent="0.25">
      <c r="A197" s="48">
        <v>1003457</v>
      </c>
      <c r="KE197">
        <v>48</v>
      </c>
      <c r="KG197">
        <v>1</v>
      </c>
      <c r="KK197">
        <v>35</v>
      </c>
      <c r="LT197">
        <v>1</v>
      </c>
      <c r="LV197">
        <v>1</v>
      </c>
      <c r="TE197">
        <v>1</v>
      </c>
      <c r="UQ197" s="48"/>
      <c r="UR197" s="48"/>
      <c r="UU197">
        <v>1</v>
      </c>
      <c r="UW197" s="35">
        <v>999</v>
      </c>
      <c r="UX197">
        <v>3</v>
      </c>
      <c r="UY197">
        <v>0</v>
      </c>
      <c r="UZ197">
        <v>999</v>
      </c>
      <c r="AFB197">
        <v>20</v>
      </c>
      <c r="AFC197">
        <v>1</v>
      </c>
      <c r="AFF197">
        <v>1</v>
      </c>
      <c r="AFG197" s="35">
        <v>999</v>
      </c>
      <c r="AFH197">
        <v>580</v>
      </c>
      <c r="AFI197">
        <v>0</v>
      </c>
      <c r="AFJ197">
        <v>999</v>
      </c>
      <c r="AVI197">
        <v>1</v>
      </c>
      <c r="AVJ197">
        <v>6</v>
      </c>
      <c r="AVK197">
        <v>4</v>
      </c>
      <c r="AVL197">
        <v>0</v>
      </c>
      <c r="AVM197">
        <v>1</v>
      </c>
      <c r="DDT197">
        <v>150</v>
      </c>
      <c r="DDU197">
        <v>1</v>
      </c>
      <c r="DDX197">
        <v>1</v>
      </c>
      <c r="DDY197">
        <v>5</v>
      </c>
      <c r="DDZ197">
        <v>3</v>
      </c>
      <c r="DEA197">
        <v>0</v>
      </c>
      <c r="DEB197">
        <v>1</v>
      </c>
      <c r="DKJ197">
        <v>375</v>
      </c>
      <c r="DKK197">
        <v>1</v>
      </c>
      <c r="DKN197">
        <v>1</v>
      </c>
      <c r="DKO197" s="35">
        <v>999</v>
      </c>
      <c r="DKP197">
        <v>32</v>
      </c>
      <c r="DKQ197">
        <v>0</v>
      </c>
      <c r="DKR197">
        <v>999</v>
      </c>
      <c r="DLD197" s="48">
        <v>5</v>
      </c>
      <c r="DLE197">
        <v>1</v>
      </c>
      <c r="DLH197">
        <v>1</v>
      </c>
      <c r="DLI197">
        <v>50</v>
      </c>
      <c r="DLJ197">
        <v>397</v>
      </c>
      <c r="DLK197">
        <v>336</v>
      </c>
      <c r="DLL197">
        <v>0</v>
      </c>
      <c r="ERQ197">
        <v>1</v>
      </c>
      <c r="EWV197">
        <v>1</v>
      </c>
    </row>
    <row r="198" spans="1:984 1128:3028 3190:4040 4176:4281" x14ac:dyDescent="0.25">
      <c r="A198" s="48">
        <v>2005223</v>
      </c>
      <c r="BQ198">
        <v>134.9</v>
      </c>
      <c r="FG198" s="48"/>
      <c r="FH198" s="48"/>
      <c r="FI198" s="48"/>
      <c r="FJ198" s="48"/>
      <c r="FK198" s="48"/>
      <c r="FL198" s="48"/>
      <c r="FM198" s="48"/>
      <c r="FN198" s="48"/>
      <c r="FO198" s="48"/>
      <c r="FP198" s="48"/>
      <c r="FQ198" s="48"/>
      <c r="FR198" s="48"/>
      <c r="FS198" s="48"/>
      <c r="FT198" s="48"/>
      <c r="FU198" s="48"/>
      <c r="FV198" s="48"/>
      <c r="FW198" s="48"/>
      <c r="FX198" s="48"/>
      <c r="GW198" s="3">
        <v>102.69119999999999</v>
      </c>
      <c r="KE198">
        <v>39</v>
      </c>
      <c r="KF198">
        <v>1</v>
      </c>
      <c r="KJ198">
        <v>1</v>
      </c>
      <c r="KK198">
        <v>28</v>
      </c>
      <c r="TA198">
        <v>1</v>
      </c>
      <c r="UQ198" s="48">
        <v>500</v>
      </c>
      <c r="UR198" s="48">
        <v>3</v>
      </c>
      <c r="UU198">
        <v>1</v>
      </c>
      <c r="UW198">
        <v>5</v>
      </c>
      <c r="UX198">
        <v>4</v>
      </c>
      <c r="UY198">
        <v>0</v>
      </c>
      <c r="UZ198">
        <v>0</v>
      </c>
      <c r="AHA198">
        <v>4.5</v>
      </c>
      <c r="AHB198">
        <v>1</v>
      </c>
      <c r="AHE198">
        <v>1</v>
      </c>
      <c r="AHF198">
        <v>5</v>
      </c>
      <c r="AHG198">
        <v>4</v>
      </c>
      <c r="AHH198">
        <v>0</v>
      </c>
      <c r="AHI198">
        <v>0</v>
      </c>
      <c r="CQZ198">
        <v>1</v>
      </c>
      <c r="CRA198">
        <v>5</v>
      </c>
      <c r="CRB198">
        <v>4</v>
      </c>
      <c r="CRC198">
        <v>0</v>
      </c>
      <c r="CRD198">
        <v>0</v>
      </c>
      <c r="CSB198">
        <v>250</v>
      </c>
      <c r="CSC198">
        <v>2</v>
      </c>
      <c r="CSF198">
        <v>1</v>
      </c>
      <c r="CSG198">
        <v>5</v>
      </c>
      <c r="CSH198">
        <v>4</v>
      </c>
      <c r="CSI198">
        <v>0</v>
      </c>
      <c r="CSJ198">
        <v>0</v>
      </c>
      <c r="ETA198">
        <v>1</v>
      </c>
      <c r="ETC198">
        <v>1</v>
      </c>
      <c r="ETE198">
        <v>1</v>
      </c>
      <c r="ETG198">
        <v>1</v>
      </c>
      <c r="EUC198">
        <v>1</v>
      </c>
      <c r="EUD198">
        <v>1</v>
      </c>
      <c r="EUE198">
        <v>1</v>
      </c>
      <c r="EUN198">
        <v>1</v>
      </c>
      <c r="EVB198">
        <v>1</v>
      </c>
      <c r="EXB198">
        <v>1</v>
      </c>
      <c r="EYJ198">
        <v>1</v>
      </c>
    </row>
    <row r="199" spans="1:984 1128:3028 3190:4040 4176:4281" x14ac:dyDescent="0.25">
      <c r="A199" s="48">
        <v>2006107</v>
      </c>
      <c r="FG199" s="48"/>
      <c r="FH199" s="48"/>
      <c r="FI199" s="48"/>
      <c r="FJ199" s="48"/>
      <c r="FK199" s="48"/>
      <c r="FL199" s="48"/>
      <c r="FM199" s="48"/>
      <c r="FN199" s="48"/>
      <c r="FO199" s="48"/>
      <c r="FP199" s="48"/>
      <c r="FQ199" s="48"/>
      <c r="FR199" s="48"/>
      <c r="FS199" s="48"/>
      <c r="FT199" s="48"/>
      <c r="FU199" s="48"/>
      <c r="FV199" s="48"/>
      <c r="FW199" s="48"/>
      <c r="FX199" s="48"/>
      <c r="KE199">
        <v>15</v>
      </c>
      <c r="KG199">
        <v>1</v>
      </c>
      <c r="UQ199" s="48"/>
      <c r="UR199" s="48"/>
      <c r="UU199">
        <v>1</v>
      </c>
      <c r="UW199" s="23">
        <v>1</v>
      </c>
      <c r="UX199">
        <v>1</v>
      </c>
      <c r="UY199">
        <v>0</v>
      </c>
      <c r="UZ199">
        <v>0</v>
      </c>
      <c r="DRR199">
        <v>1</v>
      </c>
      <c r="DRS199">
        <v>13</v>
      </c>
      <c r="DRT199">
        <v>12</v>
      </c>
      <c r="DRU199">
        <v>0</v>
      </c>
      <c r="DRV199">
        <v>0</v>
      </c>
      <c r="ESZ199">
        <v>1</v>
      </c>
      <c r="ETA199">
        <v>1</v>
      </c>
      <c r="EXB199">
        <v>1</v>
      </c>
    </row>
    <row r="200" spans="1:984 1128:3028 3190:4040 4176:4281" x14ac:dyDescent="0.25">
      <c r="A200" s="48">
        <v>2012014</v>
      </c>
      <c r="E200">
        <v>33.299999999999997</v>
      </c>
      <c r="O200">
        <v>33.5</v>
      </c>
      <c r="AF200" s="48"/>
      <c r="BH200">
        <v>142</v>
      </c>
      <c r="CN200">
        <v>4.4000000000000004</v>
      </c>
      <c r="CZ200">
        <v>3</v>
      </c>
      <c r="DR200">
        <v>2.4</v>
      </c>
      <c r="EC200">
        <v>2.46</v>
      </c>
      <c r="EP200">
        <v>0.8</v>
      </c>
      <c r="EX200">
        <v>0.67</v>
      </c>
      <c r="FF200">
        <v>62</v>
      </c>
      <c r="FG200" s="48"/>
      <c r="FH200" s="48"/>
      <c r="FI200" s="48"/>
      <c r="FJ200" s="48"/>
      <c r="FK200" s="48"/>
      <c r="FL200" s="48"/>
      <c r="FM200" s="48"/>
      <c r="FN200" s="48"/>
      <c r="FO200" s="48"/>
      <c r="FP200" s="48"/>
      <c r="FQ200" s="48"/>
      <c r="FR200" s="48"/>
      <c r="FS200" s="48"/>
      <c r="FT200" s="48"/>
      <c r="FU200" s="48"/>
      <c r="FV200" s="48"/>
      <c r="FW200" s="48"/>
      <c r="FX200" s="48"/>
      <c r="GP200">
        <v>102</v>
      </c>
      <c r="KE200">
        <v>36</v>
      </c>
      <c r="KG200">
        <v>1</v>
      </c>
      <c r="KH200">
        <v>24.2</v>
      </c>
      <c r="KJ200">
        <v>1</v>
      </c>
      <c r="KK200">
        <v>18</v>
      </c>
      <c r="UQ200" s="48">
        <v>500</v>
      </c>
      <c r="UR200" s="48">
        <v>1</v>
      </c>
      <c r="UW200">
        <v>5</v>
      </c>
      <c r="UX200">
        <v>1</v>
      </c>
      <c r="UY200">
        <v>0</v>
      </c>
      <c r="UZ200">
        <v>3</v>
      </c>
      <c r="EMB200">
        <v>700</v>
      </c>
      <c r="EME200">
        <v>1</v>
      </c>
      <c r="EMH200">
        <v>4</v>
      </c>
      <c r="EMI200">
        <v>1</v>
      </c>
      <c r="EMJ200">
        <v>0</v>
      </c>
      <c r="EMK200">
        <v>2</v>
      </c>
      <c r="EXG200">
        <v>1</v>
      </c>
      <c r="FDP200">
        <v>1</v>
      </c>
      <c r="FHQ200">
        <v>1</v>
      </c>
    </row>
    <row r="201" spans="1:984 1128:3028 3190:4040 4176:4281" x14ac:dyDescent="0.25">
      <c r="A201" s="48">
        <v>3000152</v>
      </c>
      <c r="BP201">
        <v>131</v>
      </c>
      <c r="CV201">
        <v>3.69</v>
      </c>
      <c r="DY201">
        <v>2.38</v>
      </c>
      <c r="FA201">
        <v>95.9</v>
      </c>
      <c r="FG201" s="48"/>
      <c r="FH201" s="48"/>
      <c r="FI201" s="48"/>
      <c r="FJ201" s="48"/>
      <c r="FK201" s="48"/>
      <c r="FL201" s="48"/>
      <c r="FM201" s="48"/>
      <c r="FN201" s="48"/>
      <c r="FO201" s="48"/>
      <c r="FP201" s="48"/>
      <c r="FQ201" s="48"/>
      <c r="FR201" s="48"/>
      <c r="FS201" s="48"/>
      <c r="FT201" s="48"/>
      <c r="FU201" s="48"/>
      <c r="FV201" s="48"/>
      <c r="FW201" s="48"/>
      <c r="FX201" s="48"/>
      <c r="GV201" s="48"/>
      <c r="ID201">
        <v>27</v>
      </c>
      <c r="KE201">
        <v>48</v>
      </c>
      <c r="KF201">
        <v>1</v>
      </c>
      <c r="KH201">
        <v>25.4</v>
      </c>
      <c r="KJ201">
        <v>1</v>
      </c>
      <c r="KK201">
        <v>10</v>
      </c>
      <c r="UQ201" s="48">
        <v>1000</v>
      </c>
      <c r="UR201" s="48">
        <v>1</v>
      </c>
      <c r="UU201">
        <v>1</v>
      </c>
      <c r="UW201">
        <v>3</v>
      </c>
      <c r="UX201">
        <v>2</v>
      </c>
      <c r="UY201">
        <v>0</v>
      </c>
      <c r="UZ201">
        <v>0</v>
      </c>
      <c r="ETU201">
        <v>1</v>
      </c>
      <c r="ETX201">
        <v>1</v>
      </c>
      <c r="ETZ201">
        <v>1</v>
      </c>
      <c r="EUO201">
        <v>1</v>
      </c>
      <c r="EXA201">
        <v>1</v>
      </c>
      <c r="EXB201">
        <v>1</v>
      </c>
    </row>
    <row r="202" spans="1:984 1128:3028 3190:4040 4176:4281" x14ac:dyDescent="0.25">
      <c r="A202" s="48">
        <v>3014566</v>
      </c>
      <c r="FG202" s="48"/>
      <c r="FH202" s="48"/>
      <c r="FI202" s="48"/>
      <c r="FJ202" s="48"/>
      <c r="FK202" s="48"/>
      <c r="FL202" s="48"/>
      <c r="FM202" s="48"/>
      <c r="FN202" s="48"/>
      <c r="FO202" s="48"/>
      <c r="FP202" s="48"/>
      <c r="FQ202" s="48"/>
      <c r="FR202" s="48"/>
      <c r="FS202" s="48"/>
      <c r="FT202" s="48"/>
      <c r="FU202" s="48"/>
      <c r="FV202" s="48"/>
      <c r="FW202" s="48"/>
      <c r="FX202" s="48"/>
      <c r="IZ202">
        <v>49</v>
      </c>
      <c r="JA202">
        <v>23</v>
      </c>
      <c r="KE202">
        <v>8</v>
      </c>
      <c r="KF202">
        <v>1</v>
      </c>
      <c r="KJ202">
        <v>1</v>
      </c>
      <c r="KK202">
        <v>10</v>
      </c>
      <c r="UQ202" s="48"/>
      <c r="UR202" s="48"/>
      <c r="UW202" s="35">
        <v>999</v>
      </c>
      <c r="UZ202">
        <v>999</v>
      </c>
      <c r="ETV202">
        <v>1</v>
      </c>
      <c r="EWL202">
        <v>1</v>
      </c>
      <c r="EWV202">
        <v>1</v>
      </c>
    </row>
    <row r="203" spans="1:984 1128:3028 3190:4040 4176:4281" x14ac:dyDescent="0.25">
      <c r="A203" s="48">
        <v>3015058</v>
      </c>
      <c r="E203">
        <v>32.6</v>
      </c>
      <c r="F203" s="14">
        <v>32.6</v>
      </c>
      <c r="N203">
        <v>33.4</v>
      </c>
      <c r="O203">
        <v>32.4</v>
      </c>
      <c r="T203">
        <v>32.799999999999997</v>
      </c>
      <c r="BH203">
        <v>141</v>
      </c>
      <c r="BJ203" s="14">
        <v>143.5</v>
      </c>
      <c r="BK203">
        <v>143</v>
      </c>
      <c r="BL203">
        <v>142</v>
      </c>
      <c r="BR203">
        <v>140</v>
      </c>
      <c r="BS203">
        <v>140</v>
      </c>
      <c r="BW203">
        <v>137</v>
      </c>
      <c r="BY203">
        <v>135</v>
      </c>
      <c r="CN203">
        <v>4.8</v>
      </c>
      <c r="CP203">
        <v>4.6500000000000004</v>
      </c>
      <c r="CQ203">
        <v>3.5</v>
      </c>
      <c r="CR203">
        <v>3.4</v>
      </c>
      <c r="CX203">
        <v>3</v>
      </c>
      <c r="CY203">
        <v>2.9</v>
      </c>
      <c r="DC203">
        <v>3.3</v>
      </c>
      <c r="DE203">
        <v>3.3</v>
      </c>
      <c r="DR203">
        <v>2.5</v>
      </c>
      <c r="DS203">
        <v>2.4</v>
      </c>
      <c r="DT203">
        <v>2.1</v>
      </c>
      <c r="DU203">
        <v>2</v>
      </c>
      <c r="EA203">
        <v>2.1</v>
      </c>
      <c r="EB203">
        <v>2.1</v>
      </c>
      <c r="EF203">
        <v>2.2000000000000002</v>
      </c>
      <c r="EH203">
        <v>2.2000000000000002</v>
      </c>
      <c r="EQ203">
        <v>0.94499999999999995</v>
      </c>
      <c r="FG203" s="48"/>
      <c r="FH203" s="48"/>
      <c r="FI203" s="48"/>
      <c r="FJ203" s="48"/>
      <c r="FK203" s="48"/>
      <c r="FL203" s="48"/>
      <c r="FM203" s="48"/>
      <c r="FN203" s="48"/>
      <c r="FO203" s="48"/>
      <c r="FP203" s="48"/>
      <c r="FQ203" s="48"/>
      <c r="FR203" s="48"/>
      <c r="FS203" s="48"/>
      <c r="FT203" s="48"/>
      <c r="FU203" s="48"/>
      <c r="FV203" s="48"/>
      <c r="FW203" s="48"/>
      <c r="FX203" s="48"/>
      <c r="GP203">
        <v>76</v>
      </c>
      <c r="GQ203" s="14">
        <v>163</v>
      </c>
      <c r="GY203">
        <v>103</v>
      </c>
      <c r="IJ203" s="14">
        <v>1.3</v>
      </c>
      <c r="IP203" s="14">
        <v>1.79</v>
      </c>
      <c r="KE203">
        <v>23</v>
      </c>
      <c r="KF203">
        <v>1</v>
      </c>
      <c r="KH203">
        <v>23</v>
      </c>
      <c r="KJ203">
        <v>1</v>
      </c>
      <c r="RX203">
        <v>1</v>
      </c>
      <c r="SJ203">
        <v>1</v>
      </c>
      <c r="UQ203" s="48">
        <v>1000</v>
      </c>
      <c r="UR203" s="48">
        <v>4</v>
      </c>
      <c r="US203">
        <v>1</v>
      </c>
      <c r="UW203">
        <v>4</v>
      </c>
      <c r="UX203">
        <v>6</v>
      </c>
      <c r="UY203">
        <v>2</v>
      </c>
      <c r="UZ203">
        <v>0</v>
      </c>
      <c r="AJJ203">
        <v>0.5</v>
      </c>
      <c r="AJK203">
        <v>2</v>
      </c>
      <c r="AJL203">
        <v>1</v>
      </c>
      <c r="AJO203">
        <v>1</v>
      </c>
      <c r="AJP203">
        <v>9</v>
      </c>
      <c r="AJQ203">
        <v>9</v>
      </c>
      <c r="AJR203">
        <v>0</v>
      </c>
      <c r="AJT203">
        <v>2000</v>
      </c>
      <c r="AJU203">
        <v>2</v>
      </c>
      <c r="AJV203">
        <v>1</v>
      </c>
      <c r="AJY203">
        <v>1</v>
      </c>
      <c r="AJZ203">
        <v>9</v>
      </c>
      <c r="AKA203">
        <v>9</v>
      </c>
      <c r="AKB203">
        <v>0</v>
      </c>
      <c r="BVP203">
        <v>40</v>
      </c>
      <c r="BVQ203">
        <v>1</v>
      </c>
      <c r="BVT203">
        <v>1</v>
      </c>
      <c r="BVV203">
        <v>1</v>
      </c>
      <c r="BVW203">
        <v>10</v>
      </c>
      <c r="BVX203">
        <v>10</v>
      </c>
      <c r="BVY203">
        <v>0</v>
      </c>
      <c r="CPR203">
        <v>30</v>
      </c>
      <c r="CPS203">
        <v>3</v>
      </c>
      <c r="CPT203">
        <v>1</v>
      </c>
      <c r="CPW203">
        <v>1</v>
      </c>
      <c r="CPX203">
        <v>10</v>
      </c>
      <c r="CPY203">
        <v>10</v>
      </c>
      <c r="CPZ203">
        <v>0</v>
      </c>
    </row>
    <row r="204" spans="1:984 1128:3028 3190:4040 4176:4281" x14ac:dyDescent="0.25">
      <c r="A204" s="51">
        <v>4000996</v>
      </c>
      <c r="BR204">
        <v>138</v>
      </c>
      <c r="CX204">
        <v>4.0999999999999996</v>
      </c>
      <c r="EA204">
        <v>2</v>
      </c>
      <c r="FG204" s="48"/>
      <c r="FH204" s="48"/>
      <c r="FI204" s="48"/>
      <c r="FJ204" s="48"/>
      <c r="FK204" s="48"/>
      <c r="FL204" s="48"/>
      <c r="FM204" s="48"/>
      <c r="FN204" s="48"/>
      <c r="FO204" s="48"/>
      <c r="FP204" s="48"/>
      <c r="FQ204" s="48"/>
      <c r="FR204" s="48"/>
      <c r="FS204" s="48"/>
      <c r="FT204" s="48"/>
      <c r="FU204" s="48"/>
      <c r="FV204" s="48"/>
      <c r="FW204" s="48"/>
      <c r="FX204" s="48"/>
      <c r="GY204">
        <v>85</v>
      </c>
      <c r="KE204">
        <v>64</v>
      </c>
      <c r="KG204">
        <v>1</v>
      </c>
      <c r="KH204">
        <v>25.3</v>
      </c>
      <c r="KK204">
        <v>19</v>
      </c>
      <c r="KN204">
        <v>1</v>
      </c>
      <c r="UQ204" s="48">
        <v>500</v>
      </c>
      <c r="UR204" s="48">
        <v>2</v>
      </c>
      <c r="UU204">
        <v>1</v>
      </c>
      <c r="UW204">
        <v>6</v>
      </c>
      <c r="UX204">
        <v>5</v>
      </c>
      <c r="UY204">
        <v>0</v>
      </c>
      <c r="UZ204">
        <v>0</v>
      </c>
      <c r="AIY204">
        <v>100</v>
      </c>
      <c r="AIZ204">
        <v>3</v>
      </c>
      <c r="AJC204">
        <v>1</v>
      </c>
      <c r="AJD204">
        <v>3</v>
      </c>
      <c r="AJE204">
        <v>2</v>
      </c>
      <c r="AJF204">
        <v>0</v>
      </c>
      <c r="AJG204">
        <v>0</v>
      </c>
      <c r="DXN204">
        <v>1</v>
      </c>
      <c r="DXO204" s="35">
        <v>999</v>
      </c>
      <c r="DXP204">
        <v>9</v>
      </c>
      <c r="DXQ204">
        <v>0</v>
      </c>
      <c r="DXR204">
        <v>999</v>
      </c>
      <c r="ETE204">
        <v>1</v>
      </c>
    </row>
    <row r="205" spans="1:984 1128:3028 3190:4040 4176:4281" x14ac:dyDescent="0.25">
      <c r="A205" s="48">
        <v>4003768</v>
      </c>
      <c r="FG205" s="48"/>
      <c r="FH205" s="48"/>
      <c r="FI205" s="48"/>
      <c r="FJ205" s="48"/>
      <c r="FK205" s="48"/>
      <c r="FL205" s="48"/>
      <c r="FM205" s="48"/>
      <c r="FN205" s="48"/>
      <c r="FO205" s="48"/>
      <c r="FP205" s="48"/>
      <c r="FQ205" s="48"/>
      <c r="FR205" s="48"/>
      <c r="FS205" s="48"/>
      <c r="FT205" s="48"/>
      <c r="FU205" s="48"/>
      <c r="FV205" s="48"/>
      <c r="FW205" s="48"/>
      <c r="FX205" s="48"/>
      <c r="KE205">
        <v>64</v>
      </c>
      <c r="KG205">
        <v>1</v>
      </c>
      <c r="KI205">
        <v>1</v>
      </c>
      <c r="PE205">
        <v>1</v>
      </c>
      <c r="UQ205" s="48">
        <v>4000</v>
      </c>
      <c r="UR205" s="48">
        <v>1</v>
      </c>
      <c r="US205">
        <v>1</v>
      </c>
      <c r="UW205">
        <v>4</v>
      </c>
      <c r="UX205">
        <v>3</v>
      </c>
      <c r="UY205">
        <v>0</v>
      </c>
      <c r="UZ205">
        <v>0</v>
      </c>
      <c r="VS205">
        <v>1</v>
      </c>
      <c r="VT205">
        <v>3</v>
      </c>
      <c r="VU205">
        <v>3</v>
      </c>
      <c r="VV205">
        <v>0</v>
      </c>
      <c r="ADS205">
        <v>1</v>
      </c>
      <c r="ADT205">
        <v>3</v>
      </c>
      <c r="ADU205">
        <v>3</v>
      </c>
      <c r="ADV205">
        <v>0</v>
      </c>
      <c r="AEW205">
        <v>1</v>
      </c>
      <c r="AEX205">
        <v>2</v>
      </c>
      <c r="AEY205">
        <v>2</v>
      </c>
      <c r="AEZ205">
        <v>0</v>
      </c>
      <c r="AJJ205">
        <v>1500</v>
      </c>
      <c r="AJK205">
        <v>1</v>
      </c>
      <c r="AJO205">
        <v>6</v>
      </c>
      <c r="AJP205">
        <v>8</v>
      </c>
      <c r="AJQ205">
        <v>3</v>
      </c>
      <c r="AJR205">
        <v>0</v>
      </c>
      <c r="AQJ205">
        <v>80</v>
      </c>
      <c r="AQK205">
        <v>1</v>
      </c>
      <c r="AQO205">
        <v>6</v>
      </c>
      <c r="AQP205">
        <v>8</v>
      </c>
      <c r="AQQ205">
        <v>3</v>
      </c>
      <c r="AQR205">
        <v>0</v>
      </c>
      <c r="AXG205">
        <v>1</v>
      </c>
      <c r="AXH205">
        <v>1</v>
      </c>
      <c r="AXI205">
        <v>3</v>
      </c>
      <c r="AXJ205">
        <v>3</v>
      </c>
      <c r="AXK205">
        <v>0</v>
      </c>
      <c r="BAB205">
        <v>1</v>
      </c>
      <c r="BCZ205">
        <v>80</v>
      </c>
      <c r="BDA205">
        <v>1</v>
      </c>
      <c r="BDD205">
        <v>1</v>
      </c>
      <c r="CDF205">
        <v>500</v>
      </c>
      <c r="CDG205">
        <v>1</v>
      </c>
      <c r="CLV205">
        <v>20</v>
      </c>
      <c r="CLW205">
        <v>1</v>
      </c>
      <c r="DAB205">
        <v>1</v>
      </c>
      <c r="DAC205">
        <v>3</v>
      </c>
      <c r="DAD205">
        <v>3</v>
      </c>
      <c r="DAE205">
        <v>0</v>
      </c>
      <c r="ERG205">
        <v>1</v>
      </c>
      <c r="ERJ205">
        <v>1</v>
      </c>
      <c r="ERN205">
        <v>1</v>
      </c>
      <c r="ERO205">
        <v>1</v>
      </c>
      <c r="EUR205">
        <v>1</v>
      </c>
      <c r="EVE205">
        <v>1</v>
      </c>
      <c r="EVF205">
        <v>1</v>
      </c>
      <c r="EVH205">
        <v>1</v>
      </c>
      <c r="EWP205">
        <v>1</v>
      </c>
      <c r="EWX205">
        <v>1</v>
      </c>
      <c r="EXB205">
        <v>1</v>
      </c>
    </row>
    <row r="206" spans="1:984 1128:3028 3190:4040 4176:4281" x14ac:dyDescent="0.25">
      <c r="A206" s="48">
        <v>4006540</v>
      </c>
      <c r="CA206">
        <v>137</v>
      </c>
      <c r="DG206">
        <v>4.5999999999999996</v>
      </c>
      <c r="FG206" s="48"/>
      <c r="FH206" s="48"/>
      <c r="FI206" s="48"/>
      <c r="FJ206" s="48"/>
      <c r="FK206" s="48"/>
      <c r="FL206" s="48"/>
      <c r="FM206" s="48"/>
      <c r="FN206" s="48"/>
      <c r="FO206" s="48"/>
      <c r="FP206" s="48"/>
      <c r="FQ206" s="48"/>
      <c r="FR206" s="48"/>
      <c r="FS206" s="48"/>
      <c r="FT206" s="48"/>
      <c r="FU206" s="48"/>
      <c r="FV206" s="48"/>
      <c r="FW206" s="48"/>
      <c r="FX206" s="48"/>
      <c r="HG206" s="3">
        <v>120.7072</v>
      </c>
      <c r="KE206">
        <v>39</v>
      </c>
      <c r="KF206">
        <v>1</v>
      </c>
      <c r="KH206">
        <v>26.1</v>
      </c>
      <c r="KK206">
        <v>20</v>
      </c>
      <c r="KM206">
        <v>1</v>
      </c>
      <c r="UQ206" s="48">
        <v>500</v>
      </c>
      <c r="UR206" s="48">
        <v>1</v>
      </c>
      <c r="UU206">
        <v>1</v>
      </c>
      <c r="UW206">
        <v>8</v>
      </c>
      <c r="UX206">
        <v>9</v>
      </c>
      <c r="UY206">
        <v>2</v>
      </c>
      <c r="UZ206">
        <v>0</v>
      </c>
      <c r="AKN206">
        <v>250</v>
      </c>
      <c r="AKO206">
        <v>2</v>
      </c>
      <c r="AKR206">
        <v>1</v>
      </c>
      <c r="AKS206">
        <v>8</v>
      </c>
      <c r="AKT206">
        <v>9</v>
      </c>
      <c r="AKU206">
        <v>2</v>
      </c>
      <c r="AKV206">
        <v>0</v>
      </c>
      <c r="ETA206">
        <v>1</v>
      </c>
      <c r="ETE206">
        <v>1</v>
      </c>
      <c r="EXA206">
        <v>1</v>
      </c>
      <c r="EXB206">
        <v>1</v>
      </c>
    </row>
    <row r="207" spans="1:984 1128:3028 3190:4040 4176:4281" x14ac:dyDescent="0.25">
      <c r="A207" s="48">
        <v>4007054</v>
      </c>
      <c r="BU207">
        <v>137</v>
      </c>
      <c r="DA207">
        <v>4.2</v>
      </c>
      <c r="FG207" s="48"/>
      <c r="FH207" s="48"/>
      <c r="FI207" s="48"/>
      <c r="FJ207" s="48"/>
      <c r="FK207" s="48"/>
      <c r="FL207" s="48"/>
      <c r="FM207" s="48"/>
      <c r="FN207" s="48"/>
      <c r="FO207" s="48"/>
      <c r="FP207" s="48"/>
      <c r="FQ207" s="48"/>
      <c r="FR207" s="48"/>
      <c r="FS207" s="48"/>
      <c r="FT207" s="48"/>
      <c r="FU207" s="48"/>
      <c r="FV207" s="48"/>
      <c r="FW207" s="48"/>
      <c r="FX207" s="48"/>
      <c r="HA207" s="3">
        <v>172.95359999999999</v>
      </c>
      <c r="HY207">
        <v>5400</v>
      </c>
      <c r="IN207">
        <v>1.2</v>
      </c>
      <c r="KE207">
        <v>44</v>
      </c>
      <c r="KF207">
        <v>1</v>
      </c>
      <c r="KH207">
        <v>22.4</v>
      </c>
      <c r="KJ207">
        <v>1</v>
      </c>
      <c r="KK207">
        <v>19</v>
      </c>
      <c r="KL207">
        <v>1</v>
      </c>
      <c r="KM207">
        <v>1</v>
      </c>
      <c r="LY207">
        <v>1</v>
      </c>
      <c r="NE207">
        <v>1</v>
      </c>
      <c r="NV207">
        <v>1</v>
      </c>
      <c r="NW207">
        <v>1</v>
      </c>
      <c r="NZ207">
        <v>1</v>
      </c>
      <c r="RY207">
        <v>1</v>
      </c>
      <c r="SP207">
        <v>1</v>
      </c>
      <c r="SW207">
        <v>1</v>
      </c>
      <c r="UQ207" s="48"/>
      <c r="UR207" s="48"/>
      <c r="VC207">
        <v>300</v>
      </c>
      <c r="VD207">
        <v>1</v>
      </c>
      <c r="VG207">
        <v>1</v>
      </c>
      <c r="VH207">
        <v>999</v>
      </c>
      <c r="VI207">
        <v>999</v>
      </c>
      <c r="VJ207">
        <v>0</v>
      </c>
      <c r="VK207">
        <v>999</v>
      </c>
      <c r="BGC207">
        <v>25</v>
      </c>
      <c r="BGD207">
        <v>2</v>
      </c>
      <c r="BGG207">
        <v>1</v>
      </c>
      <c r="BGH207">
        <v>999</v>
      </c>
      <c r="BGI207">
        <v>999</v>
      </c>
      <c r="BGJ207">
        <v>0</v>
      </c>
      <c r="BGK207">
        <v>0</v>
      </c>
      <c r="BNN207">
        <v>40</v>
      </c>
      <c r="BNO207">
        <v>2</v>
      </c>
      <c r="BNR207">
        <v>1</v>
      </c>
      <c r="BNS207">
        <v>999</v>
      </c>
      <c r="BNT207">
        <v>999</v>
      </c>
      <c r="BNU207">
        <v>0</v>
      </c>
      <c r="BNV207">
        <v>0</v>
      </c>
      <c r="BPW207">
        <v>8</v>
      </c>
      <c r="BPX207">
        <v>1</v>
      </c>
      <c r="BQA207">
        <v>1</v>
      </c>
      <c r="BQB207">
        <v>999</v>
      </c>
      <c r="BQC207">
        <v>999</v>
      </c>
      <c r="BQD207">
        <v>0</v>
      </c>
      <c r="BQE207">
        <v>0</v>
      </c>
      <c r="ESW207">
        <v>1</v>
      </c>
      <c r="ESY207">
        <v>1</v>
      </c>
      <c r="EVQ207">
        <v>1</v>
      </c>
      <c r="EXM207">
        <v>1</v>
      </c>
    </row>
    <row r="208" spans="1:984 1128:3028 3190:4040 4176:4281" x14ac:dyDescent="0.25">
      <c r="A208" s="48">
        <v>4011002</v>
      </c>
      <c r="FG208" s="48"/>
      <c r="FH208" s="48"/>
      <c r="FI208" s="48"/>
      <c r="FJ208" s="48"/>
      <c r="FK208" s="48"/>
      <c r="FL208" s="48"/>
      <c r="FM208" s="48"/>
      <c r="FN208" s="48"/>
      <c r="FO208" s="48"/>
      <c r="FP208" s="48"/>
      <c r="FQ208" s="48"/>
      <c r="FR208" s="48"/>
      <c r="FS208" s="48"/>
      <c r="FT208" s="48"/>
      <c r="FU208" s="48"/>
      <c r="FV208" s="48"/>
      <c r="FW208" s="48"/>
      <c r="FX208" s="48"/>
      <c r="GW208" s="3">
        <v>138.72319999999999</v>
      </c>
      <c r="KE208">
        <v>38</v>
      </c>
      <c r="KF208">
        <v>1</v>
      </c>
      <c r="KH208">
        <v>24.7</v>
      </c>
      <c r="UQ208" s="48">
        <v>500</v>
      </c>
      <c r="UR208" s="48">
        <v>3</v>
      </c>
      <c r="UU208">
        <v>1</v>
      </c>
      <c r="UW208">
        <v>7</v>
      </c>
      <c r="UX208">
        <v>6</v>
      </c>
      <c r="UY208">
        <v>0</v>
      </c>
      <c r="UZ208">
        <v>0</v>
      </c>
      <c r="AQJ208">
        <v>500</v>
      </c>
      <c r="AQK208">
        <v>2</v>
      </c>
      <c r="AQN208">
        <v>1</v>
      </c>
      <c r="AQO208">
        <v>3</v>
      </c>
      <c r="AQP208">
        <v>2</v>
      </c>
      <c r="AQQ208">
        <v>0</v>
      </c>
      <c r="AQR208">
        <v>0</v>
      </c>
      <c r="CRF208">
        <v>8</v>
      </c>
      <c r="CRG208">
        <v>3</v>
      </c>
      <c r="CRJ208">
        <v>1</v>
      </c>
      <c r="CRK208">
        <v>7</v>
      </c>
      <c r="CRL208">
        <v>6</v>
      </c>
      <c r="CRM208">
        <v>0</v>
      </c>
      <c r="CRN208">
        <v>0</v>
      </c>
      <c r="ETE208">
        <v>1</v>
      </c>
      <c r="ETU208">
        <v>1</v>
      </c>
      <c r="EUN208">
        <v>1</v>
      </c>
    </row>
    <row r="209" spans="1:994 1077:2893 3338:4036 4174:4289" x14ac:dyDescent="0.25">
      <c r="A209" s="48">
        <v>4900268</v>
      </c>
      <c r="FG209" s="48"/>
      <c r="FH209" s="48"/>
      <c r="FI209" s="48"/>
      <c r="FJ209" s="48"/>
      <c r="FK209" s="48"/>
      <c r="FL209" s="48"/>
      <c r="FM209" s="48"/>
      <c r="FN209" s="48"/>
      <c r="FO209" s="48"/>
      <c r="FP209" s="48"/>
      <c r="FQ209" s="48"/>
      <c r="FR209" s="48"/>
      <c r="FS209" s="48"/>
      <c r="FT209" s="48"/>
      <c r="FU209" s="48"/>
      <c r="FV209" s="48"/>
      <c r="FW209" s="48"/>
      <c r="FX209" s="48"/>
      <c r="KE209">
        <v>39</v>
      </c>
      <c r="KG209">
        <v>1</v>
      </c>
      <c r="LR209">
        <v>1</v>
      </c>
      <c r="SH209">
        <v>1</v>
      </c>
      <c r="UQ209" s="48">
        <v>1000</v>
      </c>
      <c r="UR209" s="48">
        <v>1</v>
      </c>
      <c r="UV209">
        <v>1</v>
      </c>
      <c r="DCZ209">
        <v>100</v>
      </c>
      <c r="DDA209">
        <v>3</v>
      </c>
      <c r="DDD209">
        <v>1</v>
      </c>
      <c r="DDJ209">
        <v>1800</v>
      </c>
      <c r="DDK209">
        <v>1</v>
      </c>
      <c r="DDN209">
        <v>1</v>
      </c>
      <c r="DGC209">
        <v>15</v>
      </c>
      <c r="DGD209">
        <v>1</v>
      </c>
      <c r="DGG209">
        <v>1</v>
      </c>
      <c r="ERG209">
        <v>1</v>
      </c>
      <c r="ETE209">
        <v>1</v>
      </c>
      <c r="EUR209">
        <v>1</v>
      </c>
      <c r="EUT209">
        <v>1</v>
      </c>
      <c r="EUZ209">
        <v>1</v>
      </c>
      <c r="EWN209">
        <v>1</v>
      </c>
      <c r="EWX209">
        <v>1</v>
      </c>
    </row>
    <row r="210" spans="1:994 1077:2893 3338:4036 4174:4289" x14ac:dyDescent="0.25">
      <c r="A210" s="48">
        <v>5001097</v>
      </c>
      <c r="G210">
        <v>33.700000000000003</v>
      </c>
      <c r="H210">
        <v>33.5</v>
      </c>
      <c r="M210">
        <v>33.4</v>
      </c>
      <c r="T210">
        <v>33.6</v>
      </c>
      <c r="BY210">
        <v>141</v>
      </c>
      <c r="CQ210">
        <v>3.4</v>
      </c>
      <c r="CS210">
        <v>4.0999999999999996</v>
      </c>
      <c r="CW210">
        <v>4.0999999999999996</v>
      </c>
      <c r="DE210">
        <v>3.5</v>
      </c>
      <c r="DT210">
        <v>2.4</v>
      </c>
      <c r="FG210" s="48"/>
      <c r="FH210" s="48"/>
      <c r="FI210" s="48"/>
      <c r="FJ210" s="48"/>
      <c r="FK210" s="48"/>
      <c r="FL210" s="48"/>
      <c r="FM210" s="48"/>
      <c r="FN210" s="48"/>
      <c r="FO210" s="48"/>
      <c r="FP210" s="48"/>
      <c r="FQ210" s="48"/>
      <c r="FR210" s="48"/>
      <c r="FS210" s="48"/>
      <c r="FT210" s="48"/>
      <c r="FU210" s="48"/>
      <c r="FV210" s="48"/>
      <c r="FW210" s="48"/>
      <c r="FX210" s="48"/>
      <c r="GR210" s="14">
        <v>107.5</v>
      </c>
      <c r="KE210">
        <v>77</v>
      </c>
      <c r="KG210">
        <v>1</v>
      </c>
      <c r="KH210">
        <v>24</v>
      </c>
      <c r="KJ210">
        <v>1</v>
      </c>
      <c r="KK210">
        <v>7</v>
      </c>
      <c r="LZ210">
        <v>1</v>
      </c>
      <c r="NZ210">
        <v>1</v>
      </c>
      <c r="QD210">
        <v>1</v>
      </c>
      <c r="QT210">
        <v>1</v>
      </c>
      <c r="UQ210" s="48">
        <v>1500</v>
      </c>
      <c r="UR210" s="48">
        <v>1</v>
      </c>
      <c r="UU210">
        <v>1</v>
      </c>
      <c r="UW210">
        <v>7</v>
      </c>
      <c r="UX210">
        <v>6</v>
      </c>
      <c r="UY210">
        <v>0</v>
      </c>
      <c r="UZ210">
        <v>0</v>
      </c>
      <c r="BHQ210">
        <v>5</v>
      </c>
      <c r="BHR210">
        <v>1</v>
      </c>
      <c r="BHU210">
        <v>1</v>
      </c>
      <c r="BZP210">
        <v>10</v>
      </c>
      <c r="BZQ210">
        <v>1</v>
      </c>
      <c r="BZT210">
        <v>1</v>
      </c>
      <c r="CLV210">
        <v>20</v>
      </c>
      <c r="CLW210">
        <v>1</v>
      </c>
      <c r="CLZ210">
        <v>1</v>
      </c>
      <c r="CMA210" s="35">
        <v>999</v>
      </c>
      <c r="CMB210">
        <v>7</v>
      </c>
      <c r="CMC210">
        <v>0</v>
      </c>
      <c r="CMD210">
        <v>999</v>
      </c>
    </row>
    <row r="211" spans="1:994 1077:2893 3338:4036 4174:4289" x14ac:dyDescent="0.25">
      <c r="A211" s="48">
        <v>5001098</v>
      </c>
      <c r="D211">
        <v>34.299999999999997</v>
      </c>
      <c r="F211">
        <v>33.799999999999997</v>
      </c>
      <c r="G211">
        <v>34.200000000000003</v>
      </c>
      <c r="BK211">
        <v>137</v>
      </c>
      <c r="CM211">
        <v>3.7</v>
      </c>
      <c r="CP211">
        <v>4.2</v>
      </c>
      <c r="CQ211">
        <v>4.2</v>
      </c>
      <c r="DQ211">
        <v>2.5</v>
      </c>
      <c r="FG211" s="48"/>
      <c r="FH211" s="48"/>
      <c r="FI211" s="48"/>
      <c r="FJ211" s="48"/>
      <c r="FK211" s="48"/>
      <c r="FL211" s="48"/>
      <c r="FM211" s="48"/>
      <c r="FN211" s="48"/>
      <c r="FO211" s="48"/>
      <c r="FP211" s="48"/>
      <c r="FQ211" s="48">
        <v>109</v>
      </c>
      <c r="FR211" s="48"/>
      <c r="FS211" s="48"/>
      <c r="FT211" s="48"/>
      <c r="FU211" s="48"/>
      <c r="FV211" s="48"/>
      <c r="FW211" s="48"/>
      <c r="FX211" s="48"/>
      <c r="GQ211">
        <v>142</v>
      </c>
      <c r="KE211">
        <v>53</v>
      </c>
      <c r="KG211">
        <v>1</v>
      </c>
      <c r="KH211">
        <v>30.5</v>
      </c>
      <c r="LY211">
        <v>1</v>
      </c>
      <c r="NZ211">
        <v>1</v>
      </c>
      <c r="OR211">
        <v>1</v>
      </c>
      <c r="QL211">
        <v>1</v>
      </c>
      <c r="UQ211" s="48">
        <v>1500</v>
      </c>
      <c r="UR211" s="48">
        <v>1</v>
      </c>
      <c r="UU211">
        <v>1</v>
      </c>
      <c r="UW211">
        <v>13</v>
      </c>
      <c r="UX211">
        <v>13</v>
      </c>
      <c r="UY211">
        <v>1</v>
      </c>
      <c r="UZ211">
        <v>0</v>
      </c>
      <c r="ACI211">
        <v>300</v>
      </c>
      <c r="ACJ211">
        <v>1</v>
      </c>
      <c r="ACM211">
        <v>1</v>
      </c>
      <c r="BHQ211">
        <v>5</v>
      </c>
      <c r="BHR211">
        <v>1</v>
      </c>
      <c r="BHU211">
        <v>1</v>
      </c>
      <c r="BZP211">
        <v>30</v>
      </c>
      <c r="BZQ211">
        <v>1</v>
      </c>
      <c r="BZT211">
        <v>1</v>
      </c>
      <c r="BZU211" s="35">
        <v>999</v>
      </c>
      <c r="BZV211">
        <v>11</v>
      </c>
      <c r="BZW211">
        <v>0</v>
      </c>
      <c r="BZX211">
        <v>999</v>
      </c>
    </row>
    <row r="212" spans="1:994 1077:2893 3338:4036 4174:4289" x14ac:dyDescent="0.25">
      <c r="A212" s="48">
        <v>5006152</v>
      </c>
      <c r="BN212">
        <v>133.80000000000001</v>
      </c>
      <c r="BR212">
        <v>142.69999999999999</v>
      </c>
      <c r="CT212">
        <v>4.55</v>
      </c>
      <c r="CX212">
        <v>5.98</v>
      </c>
      <c r="FC212">
        <v>104</v>
      </c>
      <c r="GT212" s="3">
        <v>119.08580000000001</v>
      </c>
      <c r="GU212" s="3"/>
      <c r="GX212" s="3">
        <v>41.076500000000003</v>
      </c>
      <c r="KE212">
        <v>76</v>
      </c>
      <c r="KG212">
        <v>1</v>
      </c>
      <c r="KH212">
        <v>21.23</v>
      </c>
      <c r="KI212">
        <v>1</v>
      </c>
      <c r="KK212">
        <v>3</v>
      </c>
      <c r="NZ212">
        <v>1</v>
      </c>
      <c r="OJ212">
        <v>1</v>
      </c>
      <c r="PW212">
        <v>1</v>
      </c>
      <c r="RT212">
        <v>1</v>
      </c>
      <c r="RU212">
        <v>1</v>
      </c>
      <c r="TH212">
        <v>1</v>
      </c>
      <c r="UQ212" s="48">
        <v>2000</v>
      </c>
      <c r="UR212" s="48">
        <v>1</v>
      </c>
      <c r="US212">
        <v>1</v>
      </c>
      <c r="UW212">
        <v>3</v>
      </c>
      <c r="UX212">
        <v>2</v>
      </c>
      <c r="UY212">
        <v>0</v>
      </c>
      <c r="UZ212">
        <v>0</v>
      </c>
      <c r="ZY212">
        <v>15</v>
      </c>
      <c r="ZZ212">
        <v>1</v>
      </c>
      <c r="AAC212">
        <v>1</v>
      </c>
      <c r="AAE212">
        <v>2</v>
      </c>
      <c r="AAF212">
        <v>2</v>
      </c>
      <c r="AAG212">
        <v>1</v>
      </c>
      <c r="AAH212">
        <v>0</v>
      </c>
      <c r="AFV212">
        <v>10</v>
      </c>
      <c r="AFW212">
        <v>1</v>
      </c>
      <c r="AFX212">
        <v>1</v>
      </c>
      <c r="AGA212">
        <v>1</v>
      </c>
      <c r="AGB212">
        <v>0</v>
      </c>
      <c r="AGC212">
        <v>0</v>
      </c>
      <c r="AGD212">
        <v>0</v>
      </c>
      <c r="AWT212">
        <v>1</v>
      </c>
      <c r="AWW212">
        <v>1</v>
      </c>
      <c r="AWX212" s="15">
        <v>999</v>
      </c>
      <c r="AWY212">
        <v>999</v>
      </c>
      <c r="AWZ212">
        <v>1</v>
      </c>
      <c r="AXA212">
        <v>0</v>
      </c>
      <c r="AXR212">
        <v>1</v>
      </c>
      <c r="AXS212">
        <v>1</v>
      </c>
      <c r="AXT212">
        <v>0</v>
      </c>
      <c r="AXU212">
        <v>0</v>
      </c>
      <c r="AXV212">
        <v>0</v>
      </c>
      <c r="AYJ212">
        <v>40</v>
      </c>
      <c r="AYK212">
        <v>2</v>
      </c>
      <c r="AYN212">
        <v>1</v>
      </c>
      <c r="AYO212" s="15">
        <v>999</v>
      </c>
      <c r="AYP212">
        <v>999</v>
      </c>
      <c r="AYQ212">
        <v>1</v>
      </c>
      <c r="AYR212">
        <v>0</v>
      </c>
      <c r="BPN212">
        <v>2</v>
      </c>
      <c r="BPQ212">
        <v>1</v>
      </c>
      <c r="BPR212" s="15">
        <v>999</v>
      </c>
      <c r="BPS212">
        <v>999</v>
      </c>
      <c r="BPT212">
        <v>1</v>
      </c>
      <c r="BPU212">
        <v>0</v>
      </c>
      <c r="BZP212">
        <v>7.5</v>
      </c>
      <c r="BZQ212">
        <v>1</v>
      </c>
      <c r="BZT212">
        <v>1</v>
      </c>
      <c r="BZU212" s="15">
        <v>999</v>
      </c>
      <c r="BZV212">
        <v>999</v>
      </c>
      <c r="BZW212">
        <v>1</v>
      </c>
      <c r="BZX212">
        <v>0</v>
      </c>
      <c r="CPR212">
        <v>600</v>
      </c>
      <c r="CPS212">
        <v>7</v>
      </c>
      <c r="CPV212">
        <v>1</v>
      </c>
      <c r="CPW212" s="15">
        <v>999</v>
      </c>
      <c r="CPX212">
        <v>999</v>
      </c>
      <c r="CPY212">
        <v>1</v>
      </c>
      <c r="CPZ212">
        <v>0</v>
      </c>
      <c r="ERO212">
        <v>1</v>
      </c>
      <c r="EVU212">
        <v>1</v>
      </c>
      <c r="EWP212">
        <v>1</v>
      </c>
      <c r="EWX212">
        <v>1</v>
      </c>
    </row>
    <row r="213" spans="1:994 1077:2893 3338:4036 4174:4289" x14ac:dyDescent="0.25">
      <c r="A213" s="48">
        <v>6012361</v>
      </c>
      <c r="FJ213">
        <v>77</v>
      </c>
      <c r="KE213">
        <v>49</v>
      </c>
      <c r="KF213">
        <v>1</v>
      </c>
      <c r="KH213">
        <v>37.520000000000003</v>
      </c>
      <c r="KJ213">
        <v>1</v>
      </c>
      <c r="KP213">
        <v>1</v>
      </c>
      <c r="LU213">
        <v>1</v>
      </c>
      <c r="NZ213">
        <v>1</v>
      </c>
      <c r="SR213">
        <v>1</v>
      </c>
      <c r="UQ213" s="48">
        <v>500</v>
      </c>
      <c r="UR213" s="48">
        <v>3</v>
      </c>
      <c r="UU213">
        <v>1</v>
      </c>
      <c r="UW213">
        <v>4</v>
      </c>
      <c r="BEO213">
        <v>5</v>
      </c>
      <c r="BEP213">
        <v>1</v>
      </c>
      <c r="BGM213">
        <v>0.2</v>
      </c>
      <c r="BGN213">
        <v>1</v>
      </c>
      <c r="BXE213">
        <v>80</v>
      </c>
      <c r="BXF213">
        <v>0.14285714285714199</v>
      </c>
      <c r="BXI213">
        <v>1</v>
      </c>
      <c r="BXJ213">
        <v>29</v>
      </c>
      <c r="BXK213">
        <v>26</v>
      </c>
      <c r="BXL213">
        <v>0</v>
      </c>
      <c r="BXM213">
        <v>2</v>
      </c>
      <c r="EUU213">
        <v>1</v>
      </c>
      <c r="EUY213">
        <v>1</v>
      </c>
      <c r="EVO213">
        <v>1</v>
      </c>
      <c r="EWW213">
        <v>1</v>
      </c>
      <c r="EXB213">
        <v>1</v>
      </c>
      <c r="EXD213">
        <v>1</v>
      </c>
      <c r="EXE213">
        <v>1</v>
      </c>
      <c r="EXJ213">
        <v>1</v>
      </c>
      <c r="EXT213">
        <v>1</v>
      </c>
      <c r="EXU213">
        <v>1</v>
      </c>
      <c r="EYA213">
        <v>1</v>
      </c>
      <c r="EYF213">
        <v>1</v>
      </c>
      <c r="FHQ213">
        <v>1</v>
      </c>
      <c r="FHT213">
        <v>1</v>
      </c>
    </row>
    <row r="214" spans="1:994 1077:2893 3338:4036 4174:4289" x14ac:dyDescent="0.25">
      <c r="A214" s="48">
        <v>6015793</v>
      </c>
      <c r="KE214">
        <v>67</v>
      </c>
      <c r="KF214">
        <v>1</v>
      </c>
      <c r="KH214">
        <v>29.39</v>
      </c>
      <c r="KI214">
        <v>1</v>
      </c>
      <c r="LY214">
        <v>1</v>
      </c>
      <c r="NZ214">
        <v>1</v>
      </c>
      <c r="PE214">
        <v>1</v>
      </c>
      <c r="PW214">
        <v>1</v>
      </c>
      <c r="PZ214">
        <v>1</v>
      </c>
      <c r="QA214">
        <v>1</v>
      </c>
      <c r="UQ214" s="48">
        <v>1</v>
      </c>
      <c r="UR214" s="48">
        <v>1</v>
      </c>
      <c r="US214">
        <v>1</v>
      </c>
      <c r="UW214">
        <v>2</v>
      </c>
      <c r="UX214">
        <v>1</v>
      </c>
      <c r="UY214">
        <v>0</v>
      </c>
      <c r="UZ214">
        <v>0</v>
      </c>
      <c r="EWX214">
        <v>1</v>
      </c>
    </row>
    <row r="215" spans="1:994 1077:2893 3338:4036 4174:4289" x14ac:dyDescent="0.25">
      <c r="A215" s="48">
        <v>6043619</v>
      </c>
      <c r="KE215">
        <v>50</v>
      </c>
      <c r="KG215">
        <v>1</v>
      </c>
      <c r="KH215">
        <v>33.97</v>
      </c>
      <c r="KK215">
        <v>5</v>
      </c>
      <c r="NQ215">
        <v>1</v>
      </c>
      <c r="UQ215" s="48">
        <v>4000</v>
      </c>
      <c r="UR215" s="48">
        <v>1</v>
      </c>
      <c r="US215">
        <v>1</v>
      </c>
      <c r="UW215">
        <v>5</v>
      </c>
      <c r="UX215">
        <v>4</v>
      </c>
      <c r="UY215">
        <v>0</v>
      </c>
      <c r="UZ215">
        <v>0</v>
      </c>
      <c r="EWV215">
        <v>1</v>
      </c>
    </row>
    <row r="216" spans="1:994 1077:2893 3338:4036 4174:4289" x14ac:dyDescent="0.25">
      <c r="A216" s="48">
        <v>7001097</v>
      </c>
      <c r="KF216">
        <v>1</v>
      </c>
      <c r="KJ216">
        <v>1</v>
      </c>
      <c r="TH216">
        <v>1</v>
      </c>
      <c r="UQ216" s="48">
        <v>7000</v>
      </c>
      <c r="UR216" s="48">
        <v>1</v>
      </c>
      <c r="US216">
        <v>1</v>
      </c>
      <c r="UW216" s="35">
        <v>999</v>
      </c>
      <c r="UX216">
        <v>0</v>
      </c>
      <c r="UY216">
        <v>0</v>
      </c>
      <c r="UZ216">
        <v>999</v>
      </c>
      <c r="EYA216">
        <v>1</v>
      </c>
    </row>
    <row r="217" spans="1:994 1077:2893 3338:4036 4174:4289" x14ac:dyDescent="0.25">
      <c r="A217" s="48">
        <v>7011435</v>
      </c>
      <c r="KE217">
        <v>49</v>
      </c>
      <c r="KG217">
        <v>1</v>
      </c>
      <c r="KJ217">
        <v>1</v>
      </c>
      <c r="KK217">
        <v>11</v>
      </c>
      <c r="NZ217">
        <v>1</v>
      </c>
      <c r="RN217">
        <v>1</v>
      </c>
      <c r="SR217">
        <v>1</v>
      </c>
      <c r="UQ217" s="48"/>
      <c r="UR217" s="48"/>
      <c r="UU217">
        <v>1</v>
      </c>
      <c r="AKX217">
        <v>400</v>
      </c>
      <c r="AKY217">
        <v>1</v>
      </c>
      <c r="ALB217">
        <v>1</v>
      </c>
      <c r="ALC217">
        <v>4</v>
      </c>
      <c r="ALD217">
        <v>6</v>
      </c>
      <c r="ALE217">
        <v>3</v>
      </c>
      <c r="ALF217">
        <v>0</v>
      </c>
      <c r="ETA217">
        <v>1</v>
      </c>
      <c r="EXB217">
        <v>1</v>
      </c>
    </row>
    <row r="218" spans="1:994 1077:2893 3338:4036 4174:4289" x14ac:dyDescent="0.25">
      <c r="A218" s="48">
        <v>7045811</v>
      </c>
      <c r="GW218" s="3">
        <v>61.681600000000003</v>
      </c>
      <c r="IL218" s="48"/>
      <c r="JQ218">
        <v>260</v>
      </c>
      <c r="JS218">
        <v>454</v>
      </c>
      <c r="KE218">
        <v>43</v>
      </c>
      <c r="KF218">
        <v>1</v>
      </c>
      <c r="KJ218">
        <v>1</v>
      </c>
      <c r="OO218">
        <v>1</v>
      </c>
      <c r="UQ218" s="48">
        <v>1000</v>
      </c>
      <c r="UR218" s="48">
        <v>1</v>
      </c>
      <c r="US218">
        <v>1</v>
      </c>
      <c r="UW218" s="35">
        <v>999</v>
      </c>
      <c r="UX218">
        <v>0</v>
      </c>
      <c r="UY218">
        <v>0</v>
      </c>
      <c r="UZ218">
        <v>999</v>
      </c>
      <c r="ERW218">
        <v>1</v>
      </c>
      <c r="ETE218">
        <v>1</v>
      </c>
      <c r="EWX218">
        <v>1</v>
      </c>
      <c r="EWY218">
        <v>1</v>
      </c>
      <c r="EXB218">
        <v>1</v>
      </c>
    </row>
    <row r="219" spans="1:994 1077:2893 3338:4036 4174:4289" x14ac:dyDescent="0.25">
      <c r="A219" s="48">
        <v>7071198</v>
      </c>
      <c r="GO219">
        <v>89</v>
      </c>
      <c r="KE219">
        <v>43</v>
      </c>
      <c r="KF219">
        <v>1</v>
      </c>
      <c r="KJ219">
        <v>1</v>
      </c>
      <c r="KL219">
        <v>1</v>
      </c>
      <c r="SG219">
        <v>1</v>
      </c>
      <c r="UQ219" s="48">
        <v>4000</v>
      </c>
      <c r="UR219" s="48">
        <v>1</v>
      </c>
      <c r="UU219">
        <v>1</v>
      </c>
      <c r="UW219" s="35">
        <v>999</v>
      </c>
      <c r="UX219">
        <v>4</v>
      </c>
      <c r="UY219">
        <v>0</v>
      </c>
      <c r="UZ219">
        <v>999</v>
      </c>
      <c r="EFG219">
        <v>400</v>
      </c>
      <c r="EFH219">
        <v>1</v>
      </c>
      <c r="EFK219">
        <v>1</v>
      </c>
      <c r="EFL219">
        <v>999</v>
      </c>
      <c r="EFM219">
        <v>999</v>
      </c>
      <c r="EFN219">
        <v>0</v>
      </c>
      <c r="EFO219">
        <v>6</v>
      </c>
      <c r="EFV219">
        <v>999</v>
      </c>
      <c r="EGA219">
        <v>100</v>
      </c>
      <c r="EGB219">
        <v>1</v>
      </c>
      <c r="EGE219">
        <v>1</v>
      </c>
      <c r="EGF219">
        <v>999</v>
      </c>
      <c r="EGG219">
        <v>999</v>
      </c>
      <c r="EGH219">
        <v>0</v>
      </c>
      <c r="EGI219">
        <v>6</v>
      </c>
      <c r="ETE219">
        <v>1</v>
      </c>
      <c r="EWC219">
        <v>1</v>
      </c>
      <c r="EWE219">
        <v>1</v>
      </c>
      <c r="EXB219">
        <v>1</v>
      </c>
    </row>
    <row r="220" spans="1:994 1077:2893 3338:4036 4174:4289" x14ac:dyDescent="0.25">
      <c r="A220" s="48">
        <v>7101143</v>
      </c>
      <c r="KE220">
        <v>15</v>
      </c>
      <c r="KG220">
        <v>1</v>
      </c>
      <c r="KH220">
        <v>22.72</v>
      </c>
      <c r="KJ220">
        <v>1</v>
      </c>
      <c r="KV220">
        <v>1</v>
      </c>
      <c r="LD220">
        <v>1</v>
      </c>
      <c r="SU220">
        <v>1</v>
      </c>
      <c r="UQ220" s="48">
        <v>500</v>
      </c>
      <c r="UR220" s="48">
        <v>1</v>
      </c>
      <c r="UU220">
        <v>1</v>
      </c>
      <c r="UW220">
        <v>6</v>
      </c>
      <c r="UX220">
        <v>8</v>
      </c>
      <c r="UY220">
        <v>2</v>
      </c>
      <c r="UZ220">
        <v>0</v>
      </c>
      <c r="DXJ220">
        <v>30</v>
      </c>
      <c r="DXK220">
        <v>1</v>
      </c>
      <c r="DXN220">
        <v>1</v>
      </c>
      <c r="DXO220">
        <v>12</v>
      </c>
      <c r="DXP220">
        <v>0</v>
      </c>
      <c r="DXQ220">
        <v>0</v>
      </c>
      <c r="DXR220">
        <v>12</v>
      </c>
      <c r="ESL220">
        <v>1</v>
      </c>
      <c r="EUD220">
        <v>1</v>
      </c>
      <c r="FHT220">
        <v>1</v>
      </c>
      <c r="FHY220">
        <v>1</v>
      </c>
    </row>
    <row r="221" spans="1:994 1077:2893 3338:4036 4174:4289" x14ac:dyDescent="0.25">
      <c r="A221" s="48">
        <v>8073350</v>
      </c>
      <c r="KE221">
        <v>66</v>
      </c>
      <c r="KF221">
        <v>1</v>
      </c>
      <c r="KH221">
        <v>19.829999999999998</v>
      </c>
      <c r="KJ221">
        <v>1</v>
      </c>
      <c r="KM221">
        <v>1</v>
      </c>
      <c r="OS221">
        <v>1</v>
      </c>
      <c r="UQ221" s="48"/>
      <c r="UR221" s="48"/>
      <c r="US221">
        <v>1</v>
      </c>
      <c r="UW221">
        <v>5</v>
      </c>
      <c r="UX221">
        <v>3</v>
      </c>
      <c r="UY221">
        <v>1</v>
      </c>
      <c r="UZ221">
        <v>0</v>
      </c>
      <c r="AKX221">
        <v>1000</v>
      </c>
      <c r="AKY221">
        <v>1</v>
      </c>
      <c r="ALC221" s="35">
        <v>999</v>
      </c>
      <c r="ALD221">
        <v>1</v>
      </c>
      <c r="ALE221">
        <v>0</v>
      </c>
      <c r="ALF221">
        <v>999</v>
      </c>
      <c r="ESE221">
        <v>1</v>
      </c>
      <c r="EUZ221">
        <v>1</v>
      </c>
      <c r="EVC221">
        <v>1</v>
      </c>
      <c r="EWX221">
        <v>1</v>
      </c>
    </row>
    <row r="222" spans="1:994 1077:2893 3338:4036 4174:4289" x14ac:dyDescent="0.25">
      <c r="A222" s="48">
        <v>8073645</v>
      </c>
      <c r="HQ222" s="48"/>
      <c r="HR222" s="48"/>
      <c r="HS222" s="48"/>
      <c r="HT222" s="48"/>
      <c r="HU222" s="48"/>
      <c r="HV222" s="48"/>
      <c r="HW222" s="48">
        <v>4080</v>
      </c>
      <c r="HX222" s="48"/>
      <c r="KE222">
        <v>58</v>
      </c>
      <c r="KG222">
        <v>1</v>
      </c>
      <c r="KH222">
        <v>31.64</v>
      </c>
      <c r="KJ222">
        <v>1</v>
      </c>
      <c r="LZ222">
        <v>1</v>
      </c>
      <c r="MB222">
        <v>1</v>
      </c>
      <c r="ME222">
        <v>1</v>
      </c>
      <c r="MK222">
        <v>1</v>
      </c>
      <c r="MM222">
        <v>1</v>
      </c>
      <c r="MN222">
        <v>1</v>
      </c>
      <c r="MR222">
        <v>1</v>
      </c>
      <c r="MS222">
        <v>1</v>
      </c>
      <c r="RW222">
        <v>1</v>
      </c>
      <c r="SR222">
        <v>1</v>
      </c>
      <c r="UQ222" s="48">
        <v>10000</v>
      </c>
      <c r="UR222" s="48">
        <v>1</v>
      </c>
      <c r="US222">
        <v>1</v>
      </c>
      <c r="UW222">
        <v>2</v>
      </c>
      <c r="UX222">
        <v>2</v>
      </c>
      <c r="UY222">
        <v>0</v>
      </c>
      <c r="UZ222">
        <v>0</v>
      </c>
      <c r="ZY222">
        <v>30</v>
      </c>
      <c r="ZZ222">
        <v>1</v>
      </c>
      <c r="AAA222">
        <v>1</v>
      </c>
      <c r="AAE222" s="35">
        <v>999</v>
      </c>
      <c r="AAF222">
        <v>3</v>
      </c>
      <c r="AAG222">
        <v>0</v>
      </c>
      <c r="AAH222">
        <v>999</v>
      </c>
      <c r="CWT222">
        <v>2000</v>
      </c>
      <c r="CWU222">
        <v>1</v>
      </c>
      <c r="CWV222">
        <v>1</v>
      </c>
      <c r="CWY222" s="35">
        <v>999</v>
      </c>
      <c r="CWZ222">
        <v>3</v>
      </c>
      <c r="CXA222">
        <v>0</v>
      </c>
      <c r="CXB222">
        <v>999</v>
      </c>
      <c r="EWX222">
        <v>1</v>
      </c>
    </row>
    <row r="223" spans="1:994 1077:2893 3338:4036 4174:4289" x14ac:dyDescent="0.25">
      <c r="A223" s="51">
        <v>8089666</v>
      </c>
      <c r="I223" s="3">
        <v>34.799999999999997</v>
      </c>
      <c r="J223" s="14">
        <v>314.33333333333297</v>
      </c>
      <c r="K223">
        <v>365</v>
      </c>
      <c r="M223" s="14">
        <v>347</v>
      </c>
      <c r="N223">
        <v>339</v>
      </c>
      <c r="BM223">
        <v>131</v>
      </c>
      <c r="BN223" s="14">
        <v>137.5</v>
      </c>
      <c r="BO223">
        <v>143</v>
      </c>
      <c r="BQ223" s="14">
        <v>145</v>
      </c>
      <c r="BR223">
        <v>149</v>
      </c>
      <c r="CS223">
        <v>3.9</v>
      </c>
      <c r="CT223" s="14">
        <v>3.7</v>
      </c>
      <c r="CU223">
        <v>3.9</v>
      </c>
      <c r="CW223" s="14">
        <v>4.3</v>
      </c>
      <c r="CX223">
        <v>3.7</v>
      </c>
      <c r="DV223">
        <v>2</v>
      </c>
      <c r="DW223" s="14">
        <v>1.9</v>
      </c>
      <c r="DX223">
        <v>2</v>
      </c>
      <c r="DZ223" s="14">
        <v>1.8</v>
      </c>
      <c r="EA223">
        <v>1.9</v>
      </c>
      <c r="ER223">
        <v>0.61</v>
      </c>
      <c r="ES223">
        <v>0.56999999999999995</v>
      </c>
      <c r="EU223" s="14">
        <v>0.63</v>
      </c>
      <c r="EV223">
        <v>0.68</v>
      </c>
      <c r="EY223">
        <v>108</v>
      </c>
      <c r="EZ223">
        <v>114</v>
      </c>
      <c r="FB223" s="14">
        <v>112</v>
      </c>
      <c r="FC223">
        <v>106</v>
      </c>
      <c r="GS223">
        <v>230</v>
      </c>
      <c r="GT223" s="14">
        <v>139</v>
      </c>
      <c r="GU223">
        <v>109</v>
      </c>
      <c r="GW223" s="14">
        <v>123.25</v>
      </c>
      <c r="GX223">
        <v>205</v>
      </c>
      <c r="HQ223" s="48"/>
      <c r="HR223" s="54"/>
      <c r="HS223" s="48"/>
      <c r="HT223" s="48"/>
      <c r="HU223" s="48"/>
      <c r="HV223" s="48"/>
      <c r="HW223" s="48"/>
      <c r="HX223" s="48"/>
      <c r="IE223">
        <v>79</v>
      </c>
      <c r="IQ223">
        <v>1.2</v>
      </c>
      <c r="IR223">
        <v>1.1000000000000001</v>
      </c>
      <c r="IT223" s="14">
        <v>1.7</v>
      </c>
      <c r="IU223">
        <v>1.5</v>
      </c>
      <c r="KE223">
        <v>68</v>
      </c>
      <c r="KG223">
        <v>1</v>
      </c>
      <c r="KH223">
        <v>17.309999999999999</v>
      </c>
      <c r="KI223">
        <v>1</v>
      </c>
      <c r="KK223">
        <v>2</v>
      </c>
      <c r="KL223">
        <v>1</v>
      </c>
      <c r="KM223">
        <v>1</v>
      </c>
      <c r="KR223">
        <v>1</v>
      </c>
      <c r="LE223">
        <v>1</v>
      </c>
      <c r="LY223">
        <v>1</v>
      </c>
      <c r="ME223">
        <v>1</v>
      </c>
      <c r="MO223">
        <v>1</v>
      </c>
      <c r="OH223">
        <v>1</v>
      </c>
      <c r="OV223">
        <v>1</v>
      </c>
      <c r="PW223">
        <v>1</v>
      </c>
      <c r="QE223">
        <v>1</v>
      </c>
      <c r="QZ223">
        <v>1</v>
      </c>
      <c r="RP223">
        <v>1</v>
      </c>
      <c r="RZ223">
        <v>1</v>
      </c>
      <c r="UQ223" s="48">
        <v>7000</v>
      </c>
      <c r="UR223" s="48">
        <v>1</v>
      </c>
      <c r="US223">
        <v>1</v>
      </c>
      <c r="UW223">
        <v>3</v>
      </c>
      <c r="UX223">
        <v>2</v>
      </c>
      <c r="UY223">
        <v>0</v>
      </c>
      <c r="UZ223">
        <v>0</v>
      </c>
      <c r="AJI223">
        <v>1</v>
      </c>
      <c r="AOK223">
        <v>1</v>
      </c>
      <c r="CHB223">
        <v>1</v>
      </c>
      <c r="ERX223">
        <v>1</v>
      </c>
      <c r="EVZ223">
        <v>1</v>
      </c>
      <c r="EWP223">
        <v>1</v>
      </c>
    </row>
    <row r="224" spans="1:994 1077:2893 3338:4036 4174:4289" x14ac:dyDescent="0.25">
      <c r="A224" s="48">
        <v>8103536</v>
      </c>
      <c r="HQ224" s="48"/>
      <c r="HR224" s="48"/>
      <c r="HS224" s="48"/>
      <c r="HT224" s="48"/>
      <c r="HU224" s="48"/>
      <c r="HV224" s="48"/>
      <c r="HW224" s="48"/>
      <c r="HX224" s="48"/>
      <c r="KE224">
        <v>44</v>
      </c>
      <c r="KG224">
        <v>1</v>
      </c>
      <c r="KH224">
        <v>22.58</v>
      </c>
      <c r="KJ224">
        <v>1</v>
      </c>
      <c r="KK224">
        <v>10</v>
      </c>
      <c r="LD224">
        <v>1</v>
      </c>
      <c r="OY224">
        <v>1</v>
      </c>
      <c r="RA224">
        <v>1</v>
      </c>
      <c r="RL224">
        <v>1</v>
      </c>
      <c r="UQ224" s="48">
        <v>1500</v>
      </c>
      <c r="UR224" s="48">
        <v>1</v>
      </c>
      <c r="UU224">
        <v>1</v>
      </c>
      <c r="UW224">
        <v>999</v>
      </c>
      <c r="CZB224">
        <v>60</v>
      </c>
      <c r="CZC224">
        <v>1</v>
      </c>
      <c r="CZF224">
        <v>1</v>
      </c>
      <c r="CZG224" s="35">
        <v>999</v>
      </c>
      <c r="CZH224">
        <v>999</v>
      </c>
      <c r="CZI224">
        <v>0</v>
      </c>
      <c r="CZJ224">
        <v>999</v>
      </c>
      <c r="DYI224">
        <v>1</v>
      </c>
      <c r="DYJ224">
        <v>35</v>
      </c>
      <c r="DYK224">
        <v>34</v>
      </c>
      <c r="DYL224">
        <v>0</v>
      </c>
      <c r="DYM224">
        <v>1</v>
      </c>
      <c r="ETU224">
        <v>1</v>
      </c>
      <c r="EUD224">
        <v>1</v>
      </c>
      <c r="EVZ224">
        <v>1</v>
      </c>
      <c r="EXH224">
        <v>1</v>
      </c>
      <c r="FDN224">
        <v>1</v>
      </c>
    </row>
    <row r="225" spans="1:984 1118:3072 3075:3854" x14ac:dyDescent="0.25">
      <c r="A225" s="48">
        <v>8124816</v>
      </c>
      <c r="BQ225">
        <v>137</v>
      </c>
      <c r="BT225">
        <v>140</v>
      </c>
      <c r="BX225">
        <v>136</v>
      </c>
      <c r="CD225">
        <v>132</v>
      </c>
      <c r="CW225">
        <v>3.3</v>
      </c>
      <c r="CZ225">
        <v>3.5</v>
      </c>
      <c r="DD225">
        <v>3.7</v>
      </c>
      <c r="DJ225">
        <v>4.0999999999999996</v>
      </c>
      <c r="GW225">
        <v>107</v>
      </c>
      <c r="GZ225">
        <v>144</v>
      </c>
      <c r="HD225">
        <v>97</v>
      </c>
      <c r="HJ225">
        <v>97</v>
      </c>
      <c r="HQ225" s="48"/>
      <c r="HR225" s="48"/>
      <c r="HS225" s="48"/>
      <c r="HT225" s="48"/>
      <c r="HU225" s="48"/>
      <c r="HV225" s="48"/>
      <c r="HW225" s="48"/>
      <c r="HX225" s="48"/>
      <c r="IA225">
        <v>25</v>
      </c>
      <c r="UE225">
        <v>400</v>
      </c>
      <c r="UF225">
        <v>1</v>
      </c>
      <c r="UI225">
        <v>1</v>
      </c>
      <c r="UK225">
        <v>21</v>
      </c>
      <c r="UL225">
        <v>10</v>
      </c>
      <c r="UM225">
        <v>0</v>
      </c>
      <c r="UN225">
        <v>10</v>
      </c>
      <c r="UQ225" s="48">
        <v>1500</v>
      </c>
      <c r="UR225" s="48">
        <v>1</v>
      </c>
      <c r="UU225">
        <v>1</v>
      </c>
      <c r="UW225">
        <v>4</v>
      </c>
      <c r="UX225">
        <v>3</v>
      </c>
      <c r="UY225">
        <v>0</v>
      </c>
      <c r="UZ225">
        <v>0</v>
      </c>
      <c r="AKN225">
        <v>250</v>
      </c>
      <c r="AKO225">
        <v>2</v>
      </c>
      <c r="AKR225">
        <v>1</v>
      </c>
      <c r="AKS225">
        <v>10</v>
      </c>
      <c r="AKT225">
        <v>7</v>
      </c>
      <c r="AKU225">
        <v>0</v>
      </c>
      <c r="AKV225">
        <v>2</v>
      </c>
      <c r="ATI225">
        <v>1</v>
      </c>
      <c r="ATJ225" s="35">
        <v>999</v>
      </c>
      <c r="ATK225">
        <v>14</v>
      </c>
      <c r="ATL225">
        <v>0</v>
      </c>
      <c r="ATM225">
        <v>999</v>
      </c>
      <c r="BHQ225">
        <v>10</v>
      </c>
      <c r="BHR225">
        <v>1</v>
      </c>
      <c r="BHU225">
        <v>1</v>
      </c>
      <c r="BHV225" s="35">
        <v>999</v>
      </c>
      <c r="BHW225">
        <v>13</v>
      </c>
      <c r="BHX225">
        <v>0</v>
      </c>
      <c r="BHY225">
        <v>999</v>
      </c>
      <c r="CHC225">
        <v>40</v>
      </c>
      <c r="CHD225">
        <v>1</v>
      </c>
      <c r="CHG225">
        <v>1</v>
      </c>
      <c r="CHH225" s="35">
        <v>999</v>
      </c>
      <c r="CHI225">
        <v>13</v>
      </c>
      <c r="CHJ225">
        <v>0</v>
      </c>
      <c r="CHK225">
        <v>999</v>
      </c>
      <c r="DHG225">
        <v>20</v>
      </c>
      <c r="DHH225">
        <v>1</v>
      </c>
      <c r="DHK225">
        <v>1</v>
      </c>
      <c r="DHL225">
        <v>7</v>
      </c>
      <c r="DHM225">
        <v>13</v>
      </c>
      <c r="DHN225">
        <v>6</v>
      </c>
      <c r="DHO225">
        <v>0</v>
      </c>
      <c r="DIL225">
        <v>30</v>
      </c>
      <c r="DIM225">
        <v>1</v>
      </c>
      <c r="DIP225">
        <v>1</v>
      </c>
      <c r="DIQ225">
        <v>16</v>
      </c>
      <c r="DIR225">
        <v>13</v>
      </c>
      <c r="DIS225">
        <v>0</v>
      </c>
      <c r="DIT225">
        <v>2</v>
      </c>
      <c r="DVE225">
        <v>1</v>
      </c>
      <c r="DVF225" s="35">
        <v>999</v>
      </c>
      <c r="DVG225">
        <v>11</v>
      </c>
      <c r="DVH225">
        <v>0</v>
      </c>
      <c r="DVI225">
        <v>999</v>
      </c>
      <c r="EMM225" t="s">
        <v>1804</v>
      </c>
      <c r="EMN225">
        <v>1</v>
      </c>
      <c r="EMR225" s="35">
        <v>999</v>
      </c>
      <c r="EMS225">
        <v>6</v>
      </c>
      <c r="EMT225">
        <v>0</v>
      </c>
      <c r="EMU225">
        <v>999</v>
      </c>
    </row>
    <row r="226" spans="1:984 1118:3072 3075:3854" x14ac:dyDescent="0.25">
      <c r="A226" s="48">
        <v>9003267</v>
      </c>
      <c r="FV226">
        <v>419</v>
      </c>
      <c r="HQ226" s="48"/>
      <c r="HR226" s="48"/>
      <c r="HS226" s="48"/>
      <c r="HT226" s="48"/>
      <c r="HU226" s="48"/>
      <c r="HV226" s="48"/>
      <c r="HW226" s="48"/>
      <c r="HX226" s="48"/>
      <c r="JR226">
        <v>14.9</v>
      </c>
      <c r="JT226">
        <v>26.2</v>
      </c>
      <c r="UQ226" s="48">
        <v>500</v>
      </c>
      <c r="UR226" s="48">
        <v>1</v>
      </c>
      <c r="UU226">
        <v>1</v>
      </c>
      <c r="UW226">
        <v>6</v>
      </c>
      <c r="UX226">
        <v>4</v>
      </c>
      <c r="UY226">
        <v>0</v>
      </c>
      <c r="UZ226">
        <v>1</v>
      </c>
      <c r="WI226">
        <v>500</v>
      </c>
      <c r="WJ226">
        <v>1</v>
      </c>
      <c r="WM226">
        <v>1</v>
      </c>
      <c r="WN226">
        <v>5</v>
      </c>
      <c r="WO226">
        <v>1</v>
      </c>
      <c r="WP226">
        <v>0</v>
      </c>
      <c r="WQ226">
        <v>3</v>
      </c>
    </row>
    <row r="227" spans="1:984 1118:3072 3075:3854" x14ac:dyDescent="0.25">
      <c r="A227" s="48">
        <v>9036964</v>
      </c>
      <c r="CY227">
        <v>3.6</v>
      </c>
      <c r="CZ227">
        <v>3.4</v>
      </c>
      <c r="GG227">
        <v>36.200000000000003</v>
      </c>
      <c r="UQ227" s="48">
        <v>500</v>
      </c>
      <c r="UR227" s="48">
        <v>1</v>
      </c>
      <c r="UU227">
        <v>1</v>
      </c>
      <c r="UW227">
        <v>153</v>
      </c>
      <c r="UY227">
        <v>0</v>
      </c>
      <c r="UZ227">
        <v>1</v>
      </c>
      <c r="VC227">
        <v>100</v>
      </c>
      <c r="VD227">
        <v>1</v>
      </c>
      <c r="VG227">
        <v>1</v>
      </c>
      <c r="VH227">
        <v>305</v>
      </c>
      <c r="VJ227">
        <v>0</v>
      </c>
      <c r="VK227">
        <v>2</v>
      </c>
      <c r="BCP227">
        <v>16</v>
      </c>
      <c r="BCQ227">
        <v>1</v>
      </c>
      <c r="BCT227">
        <v>1</v>
      </c>
      <c r="BCU227">
        <v>999</v>
      </c>
      <c r="BCV227">
        <v>999</v>
      </c>
      <c r="BCW227">
        <v>0</v>
      </c>
      <c r="BCX227">
        <v>1</v>
      </c>
      <c r="BIU227">
        <v>20</v>
      </c>
      <c r="BIV227">
        <v>1</v>
      </c>
      <c r="BIY227">
        <v>1</v>
      </c>
      <c r="BIZ227" s="35">
        <v>999</v>
      </c>
      <c r="BJA227">
        <v>153</v>
      </c>
      <c r="BJB227">
        <v>0</v>
      </c>
      <c r="BJC227">
        <v>999</v>
      </c>
      <c r="BRL227">
        <v>200</v>
      </c>
      <c r="BRM227">
        <v>1</v>
      </c>
      <c r="BRP227">
        <v>1</v>
      </c>
      <c r="BRQ227" s="35">
        <v>999</v>
      </c>
      <c r="BRS227">
        <v>0</v>
      </c>
      <c r="BRT227">
        <v>999</v>
      </c>
      <c r="BXZ227">
        <v>10</v>
      </c>
      <c r="BYA227">
        <v>1</v>
      </c>
      <c r="BYD227">
        <v>1</v>
      </c>
      <c r="BYE227">
        <v>305</v>
      </c>
      <c r="BYG227">
        <v>0</v>
      </c>
      <c r="BYH227">
        <v>1</v>
      </c>
      <c r="BYJ227">
        <v>1400</v>
      </c>
      <c r="BYK227">
        <v>3</v>
      </c>
      <c r="BYN227">
        <v>1</v>
      </c>
      <c r="BYO227" s="35">
        <v>999</v>
      </c>
      <c r="BYQ227">
        <v>0</v>
      </c>
      <c r="BYR227">
        <v>999</v>
      </c>
      <c r="BYX227">
        <v>1</v>
      </c>
      <c r="BYY227" s="35">
        <v>999</v>
      </c>
      <c r="BYZ227">
        <v>244</v>
      </c>
      <c r="BZA227">
        <v>0</v>
      </c>
      <c r="BZB227">
        <v>999</v>
      </c>
      <c r="CAQ227">
        <v>1</v>
      </c>
      <c r="CAS227" s="35">
        <v>999</v>
      </c>
      <c r="CAT227">
        <v>999</v>
      </c>
      <c r="CAU227">
        <v>0</v>
      </c>
      <c r="CAV227">
        <v>999</v>
      </c>
      <c r="EHF227">
        <v>125</v>
      </c>
      <c r="EHG227">
        <v>1</v>
      </c>
      <c r="EHJ227">
        <v>1</v>
      </c>
      <c r="EHK227">
        <v>7</v>
      </c>
      <c r="EHL227">
        <v>9</v>
      </c>
      <c r="EHM227">
        <v>3</v>
      </c>
      <c r="EHN227">
        <v>0</v>
      </c>
      <c r="EPP227">
        <v>1</v>
      </c>
    </row>
    <row r="228" spans="1:984 1118:3072 3075:3854" x14ac:dyDescent="0.25">
      <c r="A228" s="48">
        <v>9090287</v>
      </c>
      <c r="BS228">
        <v>130</v>
      </c>
      <c r="BT228">
        <v>133</v>
      </c>
      <c r="EB228">
        <v>2.1</v>
      </c>
      <c r="EC228">
        <v>2.0699999999999998</v>
      </c>
      <c r="IG228">
        <v>54.7</v>
      </c>
      <c r="IH228">
        <v>35.4</v>
      </c>
      <c r="II228">
        <v>52</v>
      </c>
      <c r="UQ228" s="48">
        <v>500</v>
      </c>
      <c r="UR228" s="48">
        <v>20</v>
      </c>
      <c r="UU228">
        <v>1</v>
      </c>
      <c r="UW228">
        <v>1</v>
      </c>
      <c r="UX228">
        <v>1</v>
      </c>
      <c r="UY228">
        <v>1</v>
      </c>
      <c r="UZ228">
        <v>0</v>
      </c>
    </row>
    <row r="229" spans="1:984 1118:3072 3075:3854" x14ac:dyDescent="0.25">
      <c r="A229" s="48">
        <v>9095148</v>
      </c>
      <c r="BR229">
        <v>132</v>
      </c>
      <c r="BS229">
        <v>130</v>
      </c>
      <c r="BT229">
        <v>128</v>
      </c>
      <c r="CX229">
        <v>3.7</v>
      </c>
      <c r="CY229">
        <v>3.2</v>
      </c>
      <c r="CZ229">
        <v>3.4</v>
      </c>
      <c r="UQ229" s="48">
        <v>1000</v>
      </c>
      <c r="UR229" s="48">
        <v>1</v>
      </c>
      <c r="US229">
        <v>1</v>
      </c>
      <c r="UW229">
        <v>14</v>
      </c>
      <c r="UX229">
        <v>17</v>
      </c>
      <c r="UY229">
        <v>4</v>
      </c>
      <c r="UZ229">
        <v>0</v>
      </c>
      <c r="WI229">
        <v>500</v>
      </c>
      <c r="WJ229">
        <v>1</v>
      </c>
      <c r="WK229">
        <v>1</v>
      </c>
      <c r="WN229">
        <v>1</v>
      </c>
      <c r="WO229">
        <v>3</v>
      </c>
      <c r="WP229">
        <v>3</v>
      </c>
      <c r="WQ229">
        <v>0</v>
      </c>
      <c r="AIO229">
        <v>0.5</v>
      </c>
      <c r="AIP229">
        <v>2</v>
      </c>
      <c r="AIQ229">
        <v>1</v>
      </c>
      <c r="AIS229" s="48"/>
      <c r="AIT229">
        <v>11</v>
      </c>
      <c r="AIU229">
        <v>13</v>
      </c>
      <c r="AIV229">
        <v>3</v>
      </c>
      <c r="AIW229">
        <v>0</v>
      </c>
      <c r="AQT229">
        <v>80</v>
      </c>
      <c r="AQU229">
        <v>1</v>
      </c>
      <c r="AQV229">
        <v>1</v>
      </c>
      <c r="AQY229">
        <v>2</v>
      </c>
      <c r="AQZ229">
        <v>5</v>
      </c>
      <c r="ARA229">
        <v>4</v>
      </c>
      <c r="ARB229">
        <v>0</v>
      </c>
      <c r="ARO229">
        <v>2000</v>
      </c>
      <c r="ARP229">
        <v>1</v>
      </c>
      <c r="ARQ229">
        <v>1</v>
      </c>
      <c r="ART229">
        <v>14</v>
      </c>
      <c r="ARU229">
        <v>16</v>
      </c>
      <c r="ARV229">
        <v>3</v>
      </c>
      <c r="ARW229">
        <v>0</v>
      </c>
      <c r="AYJ229">
        <v>20</v>
      </c>
      <c r="AYK229">
        <v>2</v>
      </c>
      <c r="AYL229">
        <v>1</v>
      </c>
      <c r="AYO229">
        <v>3</v>
      </c>
      <c r="AYP229">
        <v>3</v>
      </c>
      <c r="AYQ229">
        <v>1</v>
      </c>
      <c r="AYR229">
        <v>0</v>
      </c>
      <c r="BEO229">
        <v>2.5</v>
      </c>
      <c r="BES229">
        <v>0</v>
      </c>
      <c r="BET229" s="15">
        <v>999</v>
      </c>
      <c r="BEU229">
        <v>999</v>
      </c>
      <c r="BEV229">
        <v>19</v>
      </c>
      <c r="BEW229">
        <v>0</v>
      </c>
      <c r="BLY229">
        <v>7.0000000000000007E-2</v>
      </c>
      <c r="BLZ229">
        <v>1</v>
      </c>
      <c r="BMC229">
        <v>1</v>
      </c>
      <c r="BMD229" s="15">
        <v>999</v>
      </c>
      <c r="BME229">
        <v>999</v>
      </c>
      <c r="BMF229">
        <v>0</v>
      </c>
      <c r="BMG229">
        <v>4</v>
      </c>
      <c r="BSQ229">
        <v>2500</v>
      </c>
      <c r="BSR229">
        <v>1</v>
      </c>
      <c r="BSU229">
        <v>1</v>
      </c>
      <c r="BSW229">
        <v>1</v>
      </c>
      <c r="BSX229">
        <v>2</v>
      </c>
      <c r="BSY229">
        <v>2</v>
      </c>
      <c r="BSZ229">
        <v>0</v>
      </c>
      <c r="BUJ229">
        <v>2.5</v>
      </c>
      <c r="BUK229">
        <v>1</v>
      </c>
      <c r="BUN229">
        <v>1</v>
      </c>
      <c r="BUP229">
        <v>3</v>
      </c>
      <c r="BUQ229">
        <v>1</v>
      </c>
      <c r="BUR229">
        <v>0</v>
      </c>
      <c r="BUS229">
        <v>1</v>
      </c>
      <c r="BZP229">
        <v>10</v>
      </c>
      <c r="BZQ229">
        <v>1</v>
      </c>
      <c r="BZT229">
        <v>1</v>
      </c>
      <c r="BZU229">
        <v>999</v>
      </c>
      <c r="BZV229">
        <v>10</v>
      </c>
      <c r="BZW229">
        <v>0</v>
      </c>
      <c r="CCL229">
        <v>10</v>
      </c>
      <c r="CCM229">
        <v>1</v>
      </c>
      <c r="CCP229">
        <v>1</v>
      </c>
      <c r="CCQ229">
        <v>1</v>
      </c>
      <c r="CCR229">
        <v>2</v>
      </c>
      <c r="CCS229">
        <v>0</v>
      </c>
      <c r="CCT229">
        <v>2</v>
      </c>
      <c r="CFO229">
        <v>1</v>
      </c>
      <c r="CFR229">
        <v>1</v>
      </c>
      <c r="CFS229">
        <v>999</v>
      </c>
      <c r="CFT229">
        <v>999</v>
      </c>
      <c r="CFU229">
        <v>2</v>
      </c>
      <c r="CFV229">
        <v>0</v>
      </c>
      <c r="CHC229">
        <v>40</v>
      </c>
      <c r="CHD229">
        <v>1</v>
      </c>
      <c r="CHG229">
        <v>1</v>
      </c>
      <c r="CHH229" s="15">
        <v>999</v>
      </c>
      <c r="CHI229">
        <v>999</v>
      </c>
      <c r="CHJ229">
        <v>0</v>
      </c>
      <c r="CHK229">
        <v>4</v>
      </c>
      <c r="DNB229">
        <v>400</v>
      </c>
      <c r="DNC229">
        <v>1</v>
      </c>
      <c r="DND229">
        <v>1</v>
      </c>
      <c r="DNG229">
        <v>6</v>
      </c>
      <c r="DNH229">
        <v>9</v>
      </c>
      <c r="DNI229">
        <v>4</v>
      </c>
      <c r="DNJ229">
        <v>0</v>
      </c>
    </row>
    <row r="230" spans="1:984 1118:3072 3075:3854" x14ac:dyDescent="0.25">
      <c r="A230" s="48">
        <v>9104979</v>
      </c>
      <c r="UQ230" s="48">
        <v>500</v>
      </c>
      <c r="UR230" s="48">
        <v>1</v>
      </c>
      <c r="UU230">
        <v>1</v>
      </c>
      <c r="UW230">
        <v>11</v>
      </c>
      <c r="UX230">
        <v>7</v>
      </c>
      <c r="UY230">
        <v>0</v>
      </c>
      <c r="UZ230">
        <v>3</v>
      </c>
      <c r="WM230">
        <v>1</v>
      </c>
      <c r="WN230">
        <v>13</v>
      </c>
      <c r="WO230">
        <v>6</v>
      </c>
      <c r="WP230">
        <v>0</v>
      </c>
      <c r="WQ230">
        <v>6</v>
      </c>
      <c r="BDT230">
        <v>10</v>
      </c>
      <c r="BDX230">
        <v>1</v>
      </c>
      <c r="BDY230">
        <v>999</v>
      </c>
      <c r="BDZ230">
        <v>999</v>
      </c>
      <c r="BEA230">
        <v>0</v>
      </c>
      <c r="BEB230">
        <v>12</v>
      </c>
      <c r="BLN230">
        <v>400</v>
      </c>
      <c r="BLO230">
        <v>1</v>
      </c>
      <c r="BLS230">
        <v>1</v>
      </c>
      <c r="BLT230">
        <v>1</v>
      </c>
      <c r="BLU230">
        <v>12</v>
      </c>
      <c r="BLV230">
        <v>12</v>
      </c>
      <c r="BLW230">
        <v>0</v>
      </c>
      <c r="BVP230" s="48"/>
      <c r="BVQ230">
        <v>1</v>
      </c>
      <c r="BVT230">
        <v>1</v>
      </c>
      <c r="BVV230">
        <v>7</v>
      </c>
      <c r="BVW230">
        <v>6</v>
      </c>
      <c r="BVX230">
        <v>0</v>
      </c>
      <c r="BVY230">
        <v>0</v>
      </c>
      <c r="CHC230">
        <v>20</v>
      </c>
      <c r="CHD230">
        <v>1</v>
      </c>
      <c r="CHG230">
        <v>1</v>
      </c>
      <c r="CHH230">
        <v>11</v>
      </c>
      <c r="CHI230">
        <v>7</v>
      </c>
      <c r="CHJ230">
        <v>0</v>
      </c>
      <c r="CHK230">
        <v>3</v>
      </c>
      <c r="CYH230">
        <v>70</v>
      </c>
      <c r="CYI230">
        <v>1</v>
      </c>
      <c r="CYL230">
        <v>1</v>
      </c>
      <c r="CYM230">
        <v>8</v>
      </c>
      <c r="CYN230">
        <v>4</v>
      </c>
      <c r="CYO230">
        <v>0</v>
      </c>
      <c r="CYP230">
        <v>3</v>
      </c>
    </row>
    <row r="231" spans="1:984 1118:3072 3075:3854" x14ac:dyDescent="0.25">
      <c r="A231" s="48">
        <v>9139514</v>
      </c>
      <c r="UE231">
        <v>600</v>
      </c>
      <c r="UF231">
        <v>3</v>
      </c>
      <c r="UI231">
        <v>1</v>
      </c>
      <c r="UK231">
        <v>330</v>
      </c>
      <c r="UL231">
        <v>330</v>
      </c>
      <c r="UM231">
        <v>0</v>
      </c>
      <c r="UN231">
        <v>21</v>
      </c>
      <c r="UQ231" s="48">
        <v>500</v>
      </c>
      <c r="UR231" s="48">
        <v>2</v>
      </c>
      <c r="UU231">
        <v>1</v>
      </c>
      <c r="UW231">
        <v>999</v>
      </c>
      <c r="UX231">
        <v>999</v>
      </c>
      <c r="UY231">
        <v>61</v>
      </c>
      <c r="UZ231">
        <v>0</v>
      </c>
      <c r="VD231">
        <v>2</v>
      </c>
      <c r="VG231">
        <v>1</v>
      </c>
      <c r="VH231">
        <v>720</v>
      </c>
      <c r="VI231">
        <v>720</v>
      </c>
      <c r="VJ231">
        <v>0</v>
      </c>
      <c r="VK231">
        <v>4</v>
      </c>
      <c r="AAT231">
        <v>50</v>
      </c>
      <c r="AAU231">
        <v>3</v>
      </c>
      <c r="AAX231">
        <v>1</v>
      </c>
      <c r="AAY231">
        <v>360</v>
      </c>
      <c r="ABA231">
        <v>0</v>
      </c>
      <c r="ABB231">
        <v>2</v>
      </c>
      <c r="BQR231">
        <v>23.75</v>
      </c>
      <c r="BQS231">
        <v>1</v>
      </c>
      <c r="BQV231">
        <v>1</v>
      </c>
      <c r="BQW231">
        <v>720</v>
      </c>
      <c r="BQX231">
        <v>720</v>
      </c>
      <c r="BQY231">
        <v>0</v>
      </c>
      <c r="BQZ231">
        <v>10</v>
      </c>
      <c r="EGO231">
        <v>1</v>
      </c>
      <c r="EGP231">
        <v>720</v>
      </c>
      <c r="EGQ231">
        <v>720</v>
      </c>
      <c r="EGR231">
        <v>0</v>
      </c>
      <c r="EGS231">
        <v>10</v>
      </c>
    </row>
    <row r="232" spans="1:984 1118:3072 3075:3854" x14ac:dyDescent="0.25">
      <c r="A232" s="48">
        <v>10020659</v>
      </c>
      <c r="IH232">
        <v>42</v>
      </c>
      <c r="UQ232" s="48">
        <v>1000</v>
      </c>
      <c r="UR232" s="48">
        <v>1</v>
      </c>
      <c r="UU232">
        <v>1</v>
      </c>
      <c r="UW232">
        <v>36</v>
      </c>
      <c r="UX232">
        <v>37</v>
      </c>
      <c r="UY232">
        <v>2</v>
      </c>
      <c r="UZ232">
        <v>0</v>
      </c>
      <c r="BEO232">
        <v>7.5</v>
      </c>
      <c r="BEP232">
        <v>2</v>
      </c>
      <c r="BES232">
        <v>1</v>
      </c>
      <c r="BET232" s="35">
        <v>999</v>
      </c>
      <c r="BEU232">
        <v>720</v>
      </c>
      <c r="BEV232">
        <v>0</v>
      </c>
      <c r="BEW232">
        <v>999</v>
      </c>
      <c r="BIA232">
        <v>5</v>
      </c>
      <c r="BIB232">
        <v>1</v>
      </c>
      <c r="BIE232">
        <v>1</v>
      </c>
      <c r="BIF232">
        <v>999</v>
      </c>
      <c r="BIG232">
        <v>720</v>
      </c>
      <c r="BIH232">
        <v>0</v>
      </c>
      <c r="BII232">
        <v>999</v>
      </c>
      <c r="BLY232">
        <v>7.0000000000000007E-2</v>
      </c>
      <c r="BLZ232">
        <v>1</v>
      </c>
      <c r="BMC232">
        <v>1</v>
      </c>
      <c r="BMD232" s="35">
        <v>999</v>
      </c>
      <c r="BME232">
        <v>720</v>
      </c>
      <c r="BMF232">
        <v>0</v>
      </c>
      <c r="BMG232">
        <v>999</v>
      </c>
      <c r="BSG232">
        <v>3</v>
      </c>
      <c r="BSH232">
        <v>1</v>
      </c>
      <c r="BSK232">
        <v>1</v>
      </c>
      <c r="BSL232">
        <v>720</v>
      </c>
      <c r="BSM232">
        <v>720</v>
      </c>
      <c r="BSN232">
        <v>2</v>
      </c>
      <c r="BSO232">
        <v>0</v>
      </c>
      <c r="BWU232">
        <v>1</v>
      </c>
      <c r="BWV232">
        <v>1</v>
      </c>
      <c r="BWY232">
        <v>1</v>
      </c>
      <c r="BWZ232">
        <v>720</v>
      </c>
      <c r="BXA232">
        <v>720</v>
      </c>
      <c r="BXB232">
        <v>2</v>
      </c>
      <c r="BXC232">
        <v>0</v>
      </c>
      <c r="BXZ232">
        <v>1</v>
      </c>
      <c r="BYA232">
        <v>1</v>
      </c>
      <c r="BYD232">
        <v>1</v>
      </c>
      <c r="BYE232">
        <v>720</v>
      </c>
      <c r="BYF232">
        <v>720</v>
      </c>
      <c r="BYG232">
        <v>2</v>
      </c>
      <c r="BYH232">
        <v>0</v>
      </c>
      <c r="CHC232">
        <v>40</v>
      </c>
      <c r="CHD232">
        <v>2</v>
      </c>
      <c r="CHG232">
        <v>1</v>
      </c>
      <c r="CHH232">
        <v>999</v>
      </c>
      <c r="CHI232">
        <v>720</v>
      </c>
      <c r="CHJ232">
        <v>0</v>
      </c>
      <c r="CHK232">
        <v>999</v>
      </c>
      <c r="CTP232">
        <v>18</v>
      </c>
      <c r="CTQ232">
        <v>1</v>
      </c>
      <c r="CTR232">
        <v>1</v>
      </c>
      <c r="CTU232" s="35">
        <v>999</v>
      </c>
      <c r="CTV232">
        <v>720</v>
      </c>
      <c r="CTW232">
        <v>0</v>
      </c>
      <c r="CTX232">
        <v>999</v>
      </c>
    </row>
    <row r="233" spans="1:984 1118:3072 3075:3854" x14ac:dyDescent="0.25">
      <c r="A233" s="48">
        <v>10025902</v>
      </c>
      <c r="UQ233" s="48">
        <v>1000</v>
      </c>
      <c r="UR233" s="48">
        <v>1</v>
      </c>
      <c r="UU233">
        <v>1</v>
      </c>
      <c r="UW233">
        <v>7</v>
      </c>
      <c r="UX233">
        <v>9</v>
      </c>
      <c r="UY233">
        <v>3</v>
      </c>
      <c r="UZ233">
        <v>0</v>
      </c>
      <c r="APZ233">
        <v>500</v>
      </c>
      <c r="AQA233">
        <v>1</v>
      </c>
      <c r="AQD233">
        <v>1</v>
      </c>
      <c r="AQE233">
        <v>7</v>
      </c>
      <c r="AQF233">
        <v>9</v>
      </c>
      <c r="AQG233">
        <v>3</v>
      </c>
      <c r="AQH233">
        <v>0</v>
      </c>
      <c r="ASU233">
        <v>100</v>
      </c>
      <c r="ASV233">
        <v>1</v>
      </c>
      <c r="ASY233">
        <v>1</v>
      </c>
      <c r="ASZ233">
        <v>999</v>
      </c>
      <c r="ATA233">
        <v>999</v>
      </c>
      <c r="ATB233">
        <v>0</v>
      </c>
      <c r="ATC233">
        <v>0</v>
      </c>
      <c r="AXZ233">
        <v>50</v>
      </c>
      <c r="AYA233">
        <v>1</v>
      </c>
      <c r="AYC233">
        <v>1</v>
      </c>
      <c r="AYD233" s="35">
        <v>999</v>
      </c>
      <c r="AYE233">
        <v>999</v>
      </c>
      <c r="AYF233">
        <v>0</v>
      </c>
      <c r="AYG233">
        <v>999</v>
      </c>
      <c r="CSN233">
        <v>1</v>
      </c>
      <c r="DSM233">
        <v>1</v>
      </c>
      <c r="EMM233">
        <v>0.4</v>
      </c>
      <c r="EMN233">
        <v>1</v>
      </c>
      <c r="EMQ233">
        <v>1</v>
      </c>
      <c r="EMR233" s="35">
        <v>999</v>
      </c>
      <c r="EMT233">
        <v>0</v>
      </c>
      <c r="EMU233">
        <v>999</v>
      </c>
    </row>
    <row r="234" spans="1:984 1118:3072 3075:3854" x14ac:dyDescent="0.25">
      <c r="A234" s="48">
        <v>10027654</v>
      </c>
      <c r="UQ234" s="48">
        <v>500</v>
      </c>
      <c r="UR234" s="48">
        <v>1</v>
      </c>
      <c r="UU234">
        <v>1</v>
      </c>
      <c r="UW234" s="35">
        <v>999</v>
      </c>
      <c r="UX234">
        <v>999</v>
      </c>
      <c r="UY234">
        <v>0</v>
      </c>
      <c r="UZ234">
        <v>999</v>
      </c>
      <c r="DHR234">
        <v>10</v>
      </c>
      <c r="DHS234">
        <v>1</v>
      </c>
      <c r="DHV234">
        <v>1</v>
      </c>
      <c r="DHW234">
        <v>30</v>
      </c>
      <c r="DHX234">
        <v>59</v>
      </c>
      <c r="DHY234">
        <v>30</v>
      </c>
      <c r="DHZ234">
        <v>0</v>
      </c>
      <c r="DIP234">
        <v>1</v>
      </c>
      <c r="DIQ234">
        <v>30</v>
      </c>
      <c r="DIR234">
        <v>30</v>
      </c>
      <c r="DIS234">
        <v>1</v>
      </c>
      <c r="DIT234">
        <v>0</v>
      </c>
      <c r="DKN234">
        <v>1</v>
      </c>
      <c r="DKO234">
        <v>30</v>
      </c>
      <c r="DKP234">
        <v>30</v>
      </c>
      <c r="DKQ234">
        <v>1</v>
      </c>
      <c r="DKR234">
        <v>0</v>
      </c>
    </row>
    <row r="235" spans="1:984 1118:3072 3075:3854" x14ac:dyDescent="0.25">
      <c r="A235" s="48">
        <v>10084485</v>
      </c>
      <c r="UU235">
        <v>1</v>
      </c>
      <c r="UW235">
        <v>1</v>
      </c>
      <c r="UX235">
        <v>1</v>
      </c>
      <c r="UY235">
        <v>1</v>
      </c>
      <c r="UZ235">
        <v>0</v>
      </c>
      <c r="ATI235">
        <v>1</v>
      </c>
      <c r="ATJ235">
        <v>1</v>
      </c>
      <c r="ATK235">
        <v>1</v>
      </c>
      <c r="ATL235">
        <v>1</v>
      </c>
      <c r="ATM235">
        <v>0</v>
      </c>
      <c r="DGQ235">
        <v>1</v>
      </c>
      <c r="DGR235">
        <v>1</v>
      </c>
      <c r="DGS235">
        <v>1</v>
      </c>
      <c r="DGT235">
        <v>1</v>
      </c>
      <c r="DGU235">
        <v>0</v>
      </c>
      <c r="ERF235">
        <v>1</v>
      </c>
    </row>
    <row r="236" spans="1:984 1118:3072 3075:3854" x14ac:dyDescent="0.25">
      <c r="A236" s="48">
        <v>10098420</v>
      </c>
      <c r="UU236">
        <v>1</v>
      </c>
      <c r="UW236">
        <v>6</v>
      </c>
    </row>
    <row r="237" spans="1:984 1118:3072 3075:3854" x14ac:dyDescent="0.25">
      <c r="A237" s="48">
        <v>10129565</v>
      </c>
      <c r="UQ237">
        <v>2</v>
      </c>
      <c r="UR237">
        <v>1</v>
      </c>
    </row>
    <row r="238" spans="1:984 1118:3072 3075:3854" x14ac:dyDescent="0.25">
      <c r="A238" s="48">
        <v>10146828</v>
      </c>
      <c r="UQ238">
        <v>500</v>
      </c>
      <c r="UU238">
        <v>1</v>
      </c>
      <c r="UW238">
        <v>18</v>
      </c>
      <c r="UX238">
        <v>20</v>
      </c>
      <c r="UY238">
        <v>0</v>
      </c>
      <c r="UZ238">
        <v>0</v>
      </c>
      <c r="VC238">
        <v>100</v>
      </c>
      <c r="VD238">
        <v>1</v>
      </c>
      <c r="VG238">
        <v>1</v>
      </c>
      <c r="VH238" s="35">
        <v>999</v>
      </c>
      <c r="VI238">
        <v>999</v>
      </c>
      <c r="VJ238">
        <v>0</v>
      </c>
      <c r="VK238">
        <v>999</v>
      </c>
      <c r="ADM238">
        <v>600</v>
      </c>
      <c r="ADN238">
        <v>1</v>
      </c>
      <c r="ADQ238">
        <v>1</v>
      </c>
      <c r="ADS238" s="35">
        <v>999</v>
      </c>
      <c r="ADT238">
        <v>7</v>
      </c>
      <c r="ADU238">
        <v>0</v>
      </c>
      <c r="ADV238">
        <v>999</v>
      </c>
      <c r="ADX238" s="48"/>
      <c r="ADY238">
        <v>1</v>
      </c>
      <c r="AEB238">
        <v>1</v>
      </c>
      <c r="AEC238">
        <v>3</v>
      </c>
      <c r="AED238">
        <v>9</v>
      </c>
      <c r="AEE238">
        <v>7</v>
      </c>
      <c r="BHQ238">
        <v>10</v>
      </c>
      <c r="BHR238">
        <v>3</v>
      </c>
      <c r="BHU238">
        <v>1</v>
      </c>
      <c r="BHV238" s="35">
        <v>999</v>
      </c>
      <c r="BHW238">
        <v>999</v>
      </c>
      <c r="BHX238">
        <v>0</v>
      </c>
      <c r="BHY238">
        <v>999</v>
      </c>
      <c r="BQG238">
        <v>25</v>
      </c>
      <c r="BQH238">
        <v>1</v>
      </c>
      <c r="BQK238">
        <v>1</v>
      </c>
      <c r="BQL238" s="35">
        <v>999</v>
      </c>
      <c r="BQM238">
        <v>999</v>
      </c>
      <c r="BQN238">
        <v>0</v>
      </c>
      <c r="BQO238">
        <v>999</v>
      </c>
      <c r="BRL238">
        <v>10</v>
      </c>
      <c r="BRP238">
        <v>1</v>
      </c>
      <c r="BRQ238" s="35">
        <v>999</v>
      </c>
      <c r="BRR238">
        <v>20</v>
      </c>
      <c r="BRS238">
        <v>0</v>
      </c>
      <c r="BRT238">
        <v>999</v>
      </c>
      <c r="BTM238">
        <v>5000</v>
      </c>
      <c r="BTN238">
        <v>1</v>
      </c>
      <c r="BTP238">
        <v>1</v>
      </c>
      <c r="BTS238" s="35">
        <v>999</v>
      </c>
      <c r="BTT238">
        <v>3</v>
      </c>
      <c r="BTU238">
        <v>0</v>
      </c>
      <c r="BTV238">
        <v>999</v>
      </c>
      <c r="BWV238">
        <v>40</v>
      </c>
      <c r="BWW238">
        <v>1</v>
      </c>
      <c r="BWY238">
        <v>1</v>
      </c>
      <c r="BWZ238">
        <v>999</v>
      </c>
      <c r="BXA238">
        <v>999</v>
      </c>
      <c r="BXB238">
        <v>0</v>
      </c>
      <c r="BXC238">
        <v>0</v>
      </c>
      <c r="CLO238">
        <v>1</v>
      </c>
      <c r="CLP238">
        <v>12</v>
      </c>
      <c r="CLQ238">
        <v>12</v>
      </c>
      <c r="CLR238">
        <v>1</v>
      </c>
      <c r="CLS238">
        <v>0</v>
      </c>
    </row>
    <row r="239" spans="1:984 1118:3072 3075:3854" x14ac:dyDescent="0.25">
      <c r="A239">
        <v>10163776</v>
      </c>
      <c r="IW239">
        <v>40.4</v>
      </c>
      <c r="UP239">
        <v>1</v>
      </c>
      <c r="WH239">
        <v>1</v>
      </c>
      <c r="ADX239">
        <v>5</v>
      </c>
      <c r="ADY239">
        <v>1</v>
      </c>
      <c r="AEB239">
        <v>1</v>
      </c>
      <c r="AEC239">
        <v>999</v>
      </c>
      <c r="AED239">
        <v>8</v>
      </c>
      <c r="AEE239">
        <v>0</v>
      </c>
      <c r="AEF239">
        <v>999</v>
      </c>
      <c r="AYI239">
        <v>1</v>
      </c>
      <c r="BEN239">
        <v>1</v>
      </c>
      <c r="BMS239">
        <v>1</v>
      </c>
      <c r="BSF239">
        <v>1</v>
      </c>
      <c r="BXO239">
        <v>1</v>
      </c>
      <c r="DED239">
        <v>1</v>
      </c>
      <c r="DHQ239">
        <v>1</v>
      </c>
      <c r="EIT239">
        <v>1</v>
      </c>
      <c r="EKK239">
        <v>1</v>
      </c>
    </row>
    <row r="240" spans="1:984 1118:3072 3075:3854" x14ac:dyDescent="0.25">
      <c r="A240">
        <v>10173664</v>
      </c>
      <c r="BT240">
        <v>140</v>
      </c>
      <c r="CZ240">
        <v>4.21</v>
      </c>
      <c r="EC240">
        <v>2.4300000000000002</v>
      </c>
      <c r="UU240">
        <v>1</v>
      </c>
      <c r="UW240">
        <v>92</v>
      </c>
      <c r="UX240">
        <v>92</v>
      </c>
      <c r="UY240">
        <v>0</v>
      </c>
      <c r="UZ240">
        <v>0</v>
      </c>
      <c r="CZL240">
        <v>44</v>
      </c>
      <c r="CZM240">
        <v>3</v>
      </c>
      <c r="CZP240">
        <v>1</v>
      </c>
      <c r="CZR240">
        <v>92</v>
      </c>
      <c r="CZS240">
        <v>92</v>
      </c>
      <c r="CZT240">
        <v>0</v>
      </c>
      <c r="CZU240">
        <v>0</v>
      </c>
    </row>
  </sheetData>
  <conditionalFormatting sqref="A20">
    <cfRule type="duplicateValues" dxfId="44" priority="3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DC62-EA08-42F9-ACEC-82579FD522E2}">
  <dimension ref="A1:AA240"/>
  <sheetViews>
    <sheetView workbookViewId="0">
      <selection activeCell="B2" sqref="B2:AA2"/>
    </sheetView>
  </sheetViews>
  <sheetFormatPr baseColWidth="10" defaultRowHeight="15" x14ac:dyDescent="0.25"/>
  <sheetData>
    <row r="1" spans="1:27" x14ac:dyDescent="0.25">
      <c r="B1" t="str">
        <f>LOWER(Tabelle1[[#Headers],[ck-12 tage vor krankheitsbeginn]])</f>
        <v>ck-12 tage vor krankheitsbeginn</v>
      </c>
      <c r="C1" t="str">
        <f>LOWER(Tabelle1[[#Headers],[ck-11 tage vor krankheitsbeginn]])</f>
        <v>ck-11 tage vor krankheitsbeginn</v>
      </c>
      <c r="D1" t="str">
        <f>LOWER(Tabelle1[[#Headers],[ck-7 tage vor krankheitsbeginn]])</f>
        <v>ck-7 tage vor krankheitsbeginn</v>
      </c>
      <c r="E1" t="str">
        <f>LOWER(Tabelle1[[#Headers],[ck-6 tage vor krankheitsbeginn]])</f>
        <v>ck-6 tage vor krankheitsbeginn</v>
      </c>
      <c r="F1" t="str">
        <f>LOWER(Tabelle1[[#Headers],[ck-4 tage vor krankheitsbeginn ]])</f>
        <v xml:space="preserve">ck-4 tage vor krankheitsbeginn </v>
      </c>
      <c r="G1" t="str">
        <f>LOWER(Tabelle1[[#Headers],[ck-3 tage vor krankheitsbeginn]])</f>
        <v>ck-3 tage vor krankheitsbeginn</v>
      </c>
      <c r="H1" t="str">
        <f>LOWER(Tabelle1[[#Headers],[ck-2 tage vor krankheitsbeginn  ]])</f>
        <v xml:space="preserve">ck-2 tage vor krankheitsbeginn  </v>
      </c>
      <c r="I1" t="str">
        <f>LOWER(Tabelle1[[#Headers],[ck-1 tag vor krankheitsbeginn  ]])</f>
        <v xml:space="preserve">ck-1 tag vor krankheitsbeginn  </v>
      </c>
      <c r="J1" t="str">
        <f>LOWER(Tabelle1[[#Headers],[ck-datum unbekannt]])</f>
        <v>ck-datum unbekannt</v>
      </c>
      <c r="K1" t="str">
        <f>LOWER(Tabelle1[[#Headers],[ck-d1 ]])</f>
        <v xml:space="preserve">ck-d1 </v>
      </c>
      <c r="L1" t="str">
        <f>LOWER(Tabelle1[[#Headers],[ck-d2]])</f>
        <v>ck-d2</v>
      </c>
      <c r="M1" t="str">
        <f>LOWER(Tabelle1[[#Headers],[ck-d3]])</f>
        <v>ck-d3</v>
      </c>
      <c r="N1" t="str">
        <f>LOWER(Tabelle1[[#Headers],[ck-d4]])</f>
        <v>ck-d4</v>
      </c>
      <c r="O1" t="str">
        <f>LOWER(Tabelle1[[#Headers],[ck-  d5]])</f>
        <v>ck-  d5</v>
      </c>
      <c r="P1" t="str">
        <f>LOWER(Tabelle1[[#Headers],[ck-d6]])</f>
        <v>ck-d6</v>
      </c>
      <c r="Q1" t="str">
        <f>LOWER(Tabelle1[[#Headers],[ck-d7]])</f>
        <v>ck-d7</v>
      </c>
      <c r="R1" t="str">
        <f>LOWER(Tabelle1[[#Headers],[ck-d1w1]])</f>
        <v>ck-d1w1</v>
      </c>
      <c r="S1" t="str">
        <f>LOWER(Tabelle1[[#Headers],[ck-d2w1]])</f>
        <v>ck-d2w1</v>
      </c>
      <c r="T1" t="str">
        <f>LOWER(Tabelle1[[#Headers],[ck-d3w1 ]])</f>
        <v xml:space="preserve">ck-d3w1 </v>
      </c>
      <c r="U1" t="str">
        <f>LOWER(Tabelle1[[#Headers],[ck-d4w1]])</f>
        <v>ck-d4w1</v>
      </c>
      <c r="V1" t="str">
        <f>LOWER(Tabelle1[[#Headers],[ck-  d6w1]])</f>
        <v>ck-  d6w1</v>
      </c>
      <c r="W1" t="str">
        <f>LOWER(Tabelle1[[#Headers],[ck-d1w2]])</f>
        <v>ck-d1w2</v>
      </c>
      <c r="X1" t="str">
        <f>LOWER(Tabelle1[[#Headers],[ck-d2w2]])</f>
        <v>ck-d2w2</v>
      </c>
      <c r="Y1" t="str">
        <f>LOWER(Tabelle1[[#Headers],[ck-d4w2 ]])</f>
        <v xml:space="preserve">ck-d4w2 </v>
      </c>
      <c r="Z1" t="str">
        <f>LOWER(Tabelle1[[#Headers],[ck-  d3w3]])</f>
        <v>ck-  d3w3</v>
      </c>
      <c r="AA1" t="str">
        <f>LOWER(Tabelle1[[#Headers],[ck-  d5w3m1]])</f>
        <v>ck-  d5w3m1</v>
      </c>
    </row>
    <row r="2" spans="1:27" ht="30" x14ac:dyDescent="0.25">
      <c r="A2" s="57" t="s">
        <v>43</v>
      </c>
      <c r="B2" t="s">
        <v>1874</v>
      </c>
      <c r="C2" t="s">
        <v>1875</v>
      </c>
      <c r="D2" t="s">
        <v>1876</v>
      </c>
      <c r="E2" t="s">
        <v>1877</v>
      </c>
      <c r="F2" t="s">
        <v>1878</v>
      </c>
      <c r="G2" t="s">
        <v>1879</v>
      </c>
      <c r="H2" t="s">
        <v>1880</v>
      </c>
      <c r="I2" t="s">
        <v>1881</v>
      </c>
      <c r="J2" t="s">
        <v>1882</v>
      </c>
      <c r="K2" t="s">
        <v>1883</v>
      </c>
      <c r="L2" t="s">
        <v>1884</v>
      </c>
      <c r="M2" t="s">
        <v>1885</v>
      </c>
      <c r="N2" t="s">
        <v>1886</v>
      </c>
      <c r="O2" t="s">
        <v>1887</v>
      </c>
      <c r="P2" t="s">
        <v>1888</v>
      </c>
      <c r="Q2" t="s">
        <v>1889</v>
      </c>
      <c r="R2" t="s">
        <v>1890</v>
      </c>
      <c r="S2" t="s">
        <v>1891</v>
      </c>
      <c r="T2" t="s">
        <v>1892</v>
      </c>
      <c r="U2" t="s">
        <v>1893</v>
      </c>
      <c r="V2" t="s">
        <v>1894</v>
      </c>
      <c r="W2" t="s">
        <v>1895</v>
      </c>
      <c r="X2" t="s">
        <v>1896</v>
      </c>
      <c r="Y2" t="s">
        <v>1897</v>
      </c>
      <c r="Z2" t="s">
        <v>1898</v>
      </c>
      <c r="AA2" t="s">
        <v>1899</v>
      </c>
    </row>
    <row r="3" spans="1:27" x14ac:dyDescent="0.25">
      <c r="A3" s="40" t="s">
        <v>512</v>
      </c>
    </row>
    <row r="4" spans="1:27" x14ac:dyDescent="0.25">
      <c r="A4" s="10" t="s">
        <v>1868</v>
      </c>
      <c r="C4" s="10"/>
      <c r="D4" s="10"/>
      <c r="E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25">
      <c r="A5">
        <v>7072184</v>
      </c>
      <c r="J5">
        <v>12.441000000000001</v>
      </c>
      <c r="K5" s="6"/>
      <c r="L5" s="6"/>
      <c r="M5" s="6"/>
      <c r="N5" s="6"/>
      <c r="O5" s="6"/>
      <c r="P5" s="6"/>
      <c r="Q5" s="6"/>
      <c r="V5" s="6"/>
      <c r="W5" s="6"/>
      <c r="X5" s="6"/>
      <c r="Y5" s="6"/>
      <c r="Z5" s="6"/>
      <c r="AA5" s="6"/>
    </row>
    <row r="6" spans="1:27" x14ac:dyDescent="0.25">
      <c r="A6">
        <v>9108231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25">
      <c r="A7">
        <v>12061933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>
        <v>95005911</v>
      </c>
    </row>
    <row r="9" spans="1:27" x14ac:dyDescent="0.25">
      <c r="A9">
        <v>99001908</v>
      </c>
    </row>
    <row r="10" spans="1:27" x14ac:dyDescent="0.25">
      <c r="A10">
        <v>99004067</v>
      </c>
    </row>
    <row r="11" spans="1:27" x14ac:dyDescent="0.25">
      <c r="A11">
        <v>97002136</v>
      </c>
    </row>
    <row r="12" spans="1:27" x14ac:dyDescent="0.25">
      <c r="A12">
        <v>1502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>
        <v>4003543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>
        <v>4900261</v>
      </c>
      <c r="F14">
        <v>18973</v>
      </c>
      <c r="G14">
        <v>12480</v>
      </c>
      <c r="H14">
        <v>13564</v>
      </c>
      <c r="J14">
        <v>18000</v>
      </c>
      <c r="K14">
        <v>7207</v>
      </c>
      <c r="M14" s="2"/>
      <c r="N14" s="2"/>
      <c r="O14" s="2"/>
      <c r="P14" s="6"/>
      <c r="Q14">
        <v>4544</v>
      </c>
      <c r="R14" s="2"/>
      <c r="S14" s="2"/>
      <c r="T14" s="2"/>
      <c r="U14" s="2"/>
      <c r="V14" s="2"/>
      <c r="W14" s="2"/>
      <c r="X14" s="2"/>
      <c r="Y14">
        <v>341</v>
      </c>
    </row>
    <row r="16" spans="1:27" x14ac:dyDescent="0.25">
      <c r="A16" s="10" t="s">
        <v>1869</v>
      </c>
      <c r="C16" s="10"/>
      <c r="D16" s="10"/>
      <c r="E16" s="1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>
        <v>14242856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>
        <v>99001183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>
        <v>3000983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25">
      <c r="A20">
        <v>10064335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25">
      <c r="A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10" t="s">
        <v>1870</v>
      </c>
      <c r="C22" s="10"/>
      <c r="D22" s="10"/>
      <c r="E22" s="1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5">
      <c r="A23">
        <v>1480</v>
      </c>
      <c r="C23" s="60"/>
      <c r="D23" s="60"/>
      <c r="E23" s="60"/>
      <c r="F23" s="60"/>
      <c r="G23" s="60"/>
      <c r="H23" s="60"/>
      <c r="I23" s="60"/>
      <c r="J23" s="60"/>
    </row>
    <row r="24" spans="1:27" x14ac:dyDescent="0.25">
      <c r="A24">
        <v>7063959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25">
      <c r="A25">
        <v>1003215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25">
      <c r="A26">
        <v>99000802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25">
      <c r="A27">
        <v>99000892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25">
      <c r="A28">
        <v>1000192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25">
      <c r="A29">
        <v>1506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25">
      <c r="A30">
        <v>99000894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25">
      <c r="A31">
        <v>99000897</v>
      </c>
    </row>
    <row r="32" spans="1:27" x14ac:dyDescent="0.25">
      <c r="A32">
        <v>99001245</v>
      </c>
    </row>
    <row r="33" spans="1:27" x14ac:dyDescent="0.25">
      <c r="A33">
        <v>99001902</v>
      </c>
    </row>
    <row r="34" spans="1:27" x14ac:dyDescent="0.25">
      <c r="A34">
        <v>99001912</v>
      </c>
    </row>
    <row r="35" spans="1:27" x14ac:dyDescent="0.25">
      <c r="A35">
        <v>99001913</v>
      </c>
    </row>
    <row r="36" spans="1:27" x14ac:dyDescent="0.25">
      <c r="A36">
        <v>99001937</v>
      </c>
    </row>
    <row r="37" spans="1:27" x14ac:dyDescent="0.25">
      <c r="A37">
        <v>99001943</v>
      </c>
    </row>
    <row r="38" spans="1:27" x14ac:dyDescent="0.25">
      <c r="A38">
        <v>99001927</v>
      </c>
    </row>
    <row r="39" spans="1:27" x14ac:dyDescent="0.25">
      <c r="A39">
        <v>1505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25">
      <c r="A40">
        <v>1000197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25">
      <c r="A41">
        <v>96018835</v>
      </c>
      <c r="K41" s="6"/>
      <c r="L41" s="6"/>
      <c r="M41" s="6"/>
      <c r="N41" s="6"/>
      <c r="O41" s="6"/>
      <c r="P41">
        <v>40</v>
      </c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25">
      <c r="A42">
        <v>98008326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5">
      <c r="A43">
        <v>99000717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25"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25">
      <c r="A45" s="25" t="s">
        <v>129</v>
      </c>
      <c r="C45" s="10"/>
      <c r="D45" s="10"/>
      <c r="E45" s="10"/>
    </row>
    <row r="46" spans="1:27" x14ac:dyDescent="0.25">
      <c r="A46" s="10" t="s">
        <v>106</v>
      </c>
      <c r="C46" s="10"/>
      <c r="D46" s="10"/>
      <c r="E46" s="10"/>
    </row>
    <row r="47" spans="1:27" x14ac:dyDescent="0.25">
      <c r="A47">
        <v>6016435</v>
      </c>
    </row>
    <row r="48" spans="1:27" x14ac:dyDescent="0.25">
      <c r="A48">
        <v>8045149</v>
      </c>
    </row>
    <row r="49" spans="1:5" x14ac:dyDescent="0.25">
      <c r="A49">
        <v>10023001</v>
      </c>
    </row>
    <row r="50" spans="1:5" x14ac:dyDescent="0.25">
      <c r="A50">
        <v>10027526</v>
      </c>
    </row>
    <row r="51" spans="1:5" x14ac:dyDescent="0.25">
      <c r="A51">
        <v>14222171</v>
      </c>
    </row>
    <row r="52" spans="1:5" x14ac:dyDescent="0.25">
      <c r="A52">
        <v>1006143</v>
      </c>
    </row>
    <row r="53" spans="1:5" x14ac:dyDescent="0.25">
      <c r="A53">
        <v>6006917</v>
      </c>
    </row>
    <row r="55" spans="1:5" x14ac:dyDescent="0.25">
      <c r="A55" s="10" t="s">
        <v>109</v>
      </c>
    </row>
    <row r="56" spans="1:5" x14ac:dyDescent="0.25">
      <c r="A56">
        <v>8057159</v>
      </c>
    </row>
    <row r="57" spans="1:5" x14ac:dyDescent="0.25">
      <c r="A57">
        <v>9140312</v>
      </c>
    </row>
    <row r="58" spans="1:5" x14ac:dyDescent="0.25">
      <c r="A58">
        <v>12008230</v>
      </c>
      <c r="C58" s="23"/>
      <c r="D58" s="23"/>
      <c r="E58" s="23"/>
    </row>
    <row r="59" spans="1:5" x14ac:dyDescent="0.25">
      <c r="A59">
        <v>12088444</v>
      </c>
      <c r="C59" s="23"/>
      <c r="D59" s="23"/>
      <c r="E59" s="23"/>
    </row>
    <row r="60" spans="1:5" x14ac:dyDescent="0.25">
      <c r="A60">
        <v>13118872</v>
      </c>
    </row>
    <row r="61" spans="1:5" x14ac:dyDescent="0.25">
      <c r="A61">
        <v>12012030</v>
      </c>
    </row>
    <row r="63" spans="1:5" x14ac:dyDescent="0.25">
      <c r="A63" s="10" t="s">
        <v>83</v>
      </c>
    </row>
    <row r="64" spans="1:5" x14ac:dyDescent="0.25">
      <c r="A64">
        <v>9074418</v>
      </c>
    </row>
    <row r="65" spans="1:27" x14ac:dyDescent="0.25">
      <c r="A65">
        <v>1263</v>
      </c>
      <c r="C65" s="60"/>
      <c r="D65" s="60"/>
      <c r="E65" s="60"/>
      <c r="F65" s="60"/>
      <c r="G65" s="60"/>
      <c r="H65" s="60"/>
      <c r="I65" s="60"/>
      <c r="J65" s="60"/>
      <c r="K65">
        <v>124</v>
      </c>
      <c r="M65">
        <v>41</v>
      </c>
    </row>
    <row r="66" spans="1:27" x14ac:dyDescent="0.25">
      <c r="A66">
        <v>98004910</v>
      </c>
    </row>
    <row r="67" spans="1:27" x14ac:dyDescent="0.25">
      <c r="A67">
        <v>7103068</v>
      </c>
    </row>
    <row r="68" spans="1:27" x14ac:dyDescent="0.25">
      <c r="A68">
        <v>11240728</v>
      </c>
    </row>
    <row r="69" spans="1:27" x14ac:dyDescent="0.25"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5">
      <c r="A70" s="26" t="s">
        <v>130</v>
      </c>
      <c r="C70" s="10"/>
      <c r="D70" s="10"/>
      <c r="E70" s="10"/>
    </row>
    <row r="71" spans="1:27" x14ac:dyDescent="0.25">
      <c r="A71" s="10" t="s">
        <v>106</v>
      </c>
    </row>
    <row r="72" spans="1:27" x14ac:dyDescent="0.25">
      <c r="A72">
        <v>5015869</v>
      </c>
    </row>
    <row r="73" spans="1:27" x14ac:dyDescent="0.25">
      <c r="A73">
        <v>5016969</v>
      </c>
    </row>
    <row r="74" spans="1:27" x14ac:dyDescent="0.25">
      <c r="A74">
        <v>6023231</v>
      </c>
      <c r="J74">
        <v>83400</v>
      </c>
    </row>
    <row r="75" spans="1:27" x14ac:dyDescent="0.25">
      <c r="A75">
        <v>6010712</v>
      </c>
    </row>
    <row r="76" spans="1:27" x14ac:dyDescent="0.25">
      <c r="A76">
        <v>6011198</v>
      </c>
    </row>
    <row r="77" spans="1:27" x14ac:dyDescent="0.25">
      <c r="A77">
        <v>6012681</v>
      </c>
    </row>
    <row r="78" spans="1:27" x14ac:dyDescent="0.25">
      <c r="A78">
        <v>6014511</v>
      </c>
    </row>
    <row r="79" spans="1:27" x14ac:dyDescent="0.25">
      <c r="A79">
        <v>6045127</v>
      </c>
    </row>
    <row r="80" spans="1:27" x14ac:dyDescent="0.25">
      <c r="A80">
        <v>7000458</v>
      </c>
    </row>
    <row r="81" spans="1:10" x14ac:dyDescent="0.25">
      <c r="A81">
        <v>7015502</v>
      </c>
    </row>
    <row r="82" spans="1:10" x14ac:dyDescent="0.25">
      <c r="A82">
        <v>7025847</v>
      </c>
    </row>
    <row r="83" spans="1:10" x14ac:dyDescent="0.25">
      <c r="A83">
        <v>7082707</v>
      </c>
    </row>
    <row r="84" spans="1:10" x14ac:dyDescent="0.25">
      <c r="A84">
        <v>7083159</v>
      </c>
    </row>
    <row r="85" spans="1:10" x14ac:dyDescent="0.25">
      <c r="A85">
        <v>7084659</v>
      </c>
    </row>
    <row r="86" spans="1:10" x14ac:dyDescent="0.25">
      <c r="A86">
        <v>7076814</v>
      </c>
    </row>
    <row r="87" spans="1:10" x14ac:dyDescent="0.25">
      <c r="A87">
        <v>7076815</v>
      </c>
    </row>
    <row r="88" spans="1:10" x14ac:dyDescent="0.25">
      <c r="A88">
        <v>7089231</v>
      </c>
    </row>
    <row r="89" spans="1:10" x14ac:dyDescent="0.25">
      <c r="A89">
        <v>7116004</v>
      </c>
      <c r="J89">
        <v>40</v>
      </c>
    </row>
    <row r="90" spans="1:10" x14ac:dyDescent="0.25">
      <c r="A90">
        <v>8003819</v>
      </c>
    </row>
    <row r="91" spans="1:10" x14ac:dyDescent="0.25">
      <c r="A91">
        <v>8091779</v>
      </c>
    </row>
    <row r="92" spans="1:10" x14ac:dyDescent="0.25">
      <c r="A92">
        <v>8097989</v>
      </c>
    </row>
    <row r="93" spans="1:10" x14ac:dyDescent="0.25">
      <c r="A93">
        <v>8112522</v>
      </c>
    </row>
    <row r="94" spans="1:10" x14ac:dyDescent="0.25">
      <c r="A94">
        <v>8127397</v>
      </c>
    </row>
    <row r="95" spans="1:10" x14ac:dyDescent="0.25">
      <c r="A95">
        <v>8130998</v>
      </c>
    </row>
    <row r="96" spans="1:10" x14ac:dyDescent="0.25">
      <c r="A96">
        <v>9002836</v>
      </c>
    </row>
    <row r="97" spans="1:1" x14ac:dyDescent="0.25">
      <c r="A97">
        <v>9003331</v>
      </c>
    </row>
    <row r="98" spans="1:1" x14ac:dyDescent="0.25">
      <c r="A98">
        <v>9003370</v>
      </c>
    </row>
    <row r="99" spans="1:1" x14ac:dyDescent="0.25">
      <c r="A99">
        <v>9016278</v>
      </c>
    </row>
    <row r="100" spans="1:1" x14ac:dyDescent="0.25">
      <c r="A100">
        <v>9030684</v>
      </c>
    </row>
    <row r="101" spans="1:1" x14ac:dyDescent="0.25">
      <c r="A101">
        <v>9031387</v>
      </c>
    </row>
    <row r="102" spans="1:1" x14ac:dyDescent="0.25">
      <c r="A102">
        <v>9038676</v>
      </c>
    </row>
    <row r="103" spans="1:1" x14ac:dyDescent="0.25">
      <c r="A103">
        <v>9039416</v>
      </c>
    </row>
    <row r="104" spans="1:1" x14ac:dyDescent="0.25">
      <c r="A104">
        <v>9042861</v>
      </c>
    </row>
    <row r="105" spans="1:1" x14ac:dyDescent="0.25">
      <c r="A105">
        <v>9044899</v>
      </c>
    </row>
    <row r="106" spans="1:1" x14ac:dyDescent="0.25">
      <c r="A106">
        <v>9052398</v>
      </c>
    </row>
    <row r="107" spans="1:1" x14ac:dyDescent="0.25">
      <c r="A107">
        <v>9085204</v>
      </c>
    </row>
    <row r="108" spans="1:1" x14ac:dyDescent="0.25">
      <c r="A108">
        <v>9090323</v>
      </c>
    </row>
    <row r="109" spans="1:1" x14ac:dyDescent="0.25">
      <c r="A109">
        <v>9105492</v>
      </c>
    </row>
    <row r="110" spans="1:1" x14ac:dyDescent="0.25">
      <c r="A110">
        <v>9138470</v>
      </c>
    </row>
    <row r="111" spans="1:1" x14ac:dyDescent="0.25">
      <c r="A111">
        <v>9150676</v>
      </c>
    </row>
    <row r="112" spans="1:1" x14ac:dyDescent="0.25">
      <c r="A112">
        <v>10010926</v>
      </c>
    </row>
    <row r="113" spans="1:21" x14ac:dyDescent="0.25">
      <c r="A113">
        <v>10016588</v>
      </c>
    </row>
    <row r="114" spans="1:21" x14ac:dyDescent="0.25">
      <c r="A114">
        <v>10030897</v>
      </c>
    </row>
    <row r="115" spans="1:21" x14ac:dyDescent="0.25">
      <c r="A115">
        <v>324</v>
      </c>
    </row>
    <row r="116" spans="1:21" x14ac:dyDescent="0.25">
      <c r="A116">
        <v>3909</v>
      </c>
    </row>
    <row r="117" spans="1:21" x14ac:dyDescent="0.25">
      <c r="A117">
        <v>4663</v>
      </c>
    </row>
    <row r="118" spans="1:21" x14ac:dyDescent="0.25">
      <c r="A118">
        <v>1005522</v>
      </c>
    </row>
    <row r="119" spans="1:21" x14ac:dyDescent="0.25">
      <c r="A119">
        <v>1007631</v>
      </c>
    </row>
    <row r="120" spans="1:21" x14ac:dyDescent="0.25">
      <c r="A120">
        <v>1009760</v>
      </c>
    </row>
    <row r="121" spans="1:21" x14ac:dyDescent="0.25">
      <c r="A121">
        <v>2000646</v>
      </c>
      <c r="K121">
        <v>1987</v>
      </c>
      <c r="L121">
        <v>5772</v>
      </c>
      <c r="R121">
        <v>1366</v>
      </c>
      <c r="S121">
        <v>1330</v>
      </c>
      <c r="T121">
        <v>1190</v>
      </c>
      <c r="U121">
        <v>1001</v>
      </c>
    </row>
    <row r="122" spans="1:21" x14ac:dyDescent="0.25">
      <c r="A122">
        <v>2003761</v>
      </c>
    </row>
    <row r="123" spans="1:21" x14ac:dyDescent="0.25">
      <c r="A123">
        <v>2004061</v>
      </c>
    </row>
    <row r="124" spans="1:21" x14ac:dyDescent="0.25">
      <c r="A124">
        <v>2006469</v>
      </c>
    </row>
    <row r="125" spans="1:21" x14ac:dyDescent="0.25">
      <c r="A125">
        <v>3005132</v>
      </c>
    </row>
    <row r="126" spans="1:21" x14ac:dyDescent="0.25">
      <c r="A126">
        <v>3009119</v>
      </c>
      <c r="K126">
        <v>250</v>
      </c>
    </row>
    <row r="127" spans="1:21" x14ac:dyDescent="0.25">
      <c r="A127">
        <v>3009936</v>
      </c>
    </row>
    <row r="128" spans="1:21" x14ac:dyDescent="0.25">
      <c r="A128">
        <v>3011094</v>
      </c>
    </row>
    <row r="129" spans="1:18" x14ac:dyDescent="0.25">
      <c r="A129">
        <v>3014643</v>
      </c>
    </row>
    <row r="130" spans="1:18" x14ac:dyDescent="0.25">
      <c r="A130">
        <v>3016056</v>
      </c>
    </row>
    <row r="131" spans="1:18" x14ac:dyDescent="0.25">
      <c r="A131">
        <v>3900219</v>
      </c>
    </row>
    <row r="132" spans="1:18" x14ac:dyDescent="0.25">
      <c r="A132">
        <v>4000158</v>
      </c>
    </row>
    <row r="133" spans="1:18" x14ac:dyDescent="0.25">
      <c r="A133">
        <v>4000304</v>
      </c>
    </row>
    <row r="134" spans="1:18" x14ac:dyDescent="0.25">
      <c r="A134">
        <v>4001905</v>
      </c>
      <c r="K134">
        <v>8209</v>
      </c>
      <c r="L134">
        <v>8047</v>
      </c>
      <c r="M134">
        <v>3881</v>
      </c>
      <c r="N134">
        <v>1505</v>
      </c>
      <c r="O134">
        <v>782</v>
      </c>
      <c r="R134">
        <v>261</v>
      </c>
    </row>
    <row r="135" spans="1:18" x14ac:dyDescent="0.25">
      <c r="A135">
        <v>4002206</v>
      </c>
    </row>
    <row r="136" spans="1:18" x14ac:dyDescent="0.25">
      <c r="A136">
        <v>4002715</v>
      </c>
    </row>
    <row r="137" spans="1:18" x14ac:dyDescent="0.25">
      <c r="A137">
        <v>4003924</v>
      </c>
    </row>
    <row r="138" spans="1:18" x14ac:dyDescent="0.25">
      <c r="A138">
        <v>4006051</v>
      </c>
    </row>
    <row r="139" spans="1:18" x14ac:dyDescent="0.25">
      <c r="A139">
        <v>4008140</v>
      </c>
    </row>
    <row r="140" spans="1:18" x14ac:dyDescent="0.25">
      <c r="A140">
        <v>4009906</v>
      </c>
    </row>
    <row r="141" spans="1:18" x14ac:dyDescent="0.25">
      <c r="A141">
        <v>4011027</v>
      </c>
    </row>
    <row r="142" spans="1:18" x14ac:dyDescent="0.25">
      <c r="A142">
        <v>4011920</v>
      </c>
    </row>
    <row r="143" spans="1:18" x14ac:dyDescent="0.25">
      <c r="A143">
        <v>4012248</v>
      </c>
    </row>
    <row r="144" spans="1:18" x14ac:dyDescent="0.25">
      <c r="A144">
        <v>4013603</v>
      </c>
    </row>
    <row r="145" spans="1:24" x14ac:dyDescent="0.25">
      <c r="A145">
        <v>5004654</v>
      </c>
      <c r="L145">
        <v>186</v>
      </c>
    </row>
    <row r="146" spans="1:24" x14ac:dyDescent="0.25">
      <c r="A146" s="61"/>
    </row>
    <row r="147" spans="1:24" x14ac:dyDescent="0.25">
      <c r="A147" s="10" t="s">
        <v>109</v>
      </c>
    </row>
    <row r="148" spans="1:24" x14ac:dyDescent="0.25">
      <c r="A148">
        <v>4289</v>
      </c>
      <c r="L148">
        <v>18780</v>
      </c>
      <c r="M148">
        <v>67895</v>
      </c>
    </row>
    <row r="149" spans="1:24" x14ac:dyDescent="0.25">
      <c r="A149">
        <v>500245</v>
      </c>
    </row>
    <row r="150" spans="1:24" x14ac:dyDescent="0.25">
      <c r="A150">
        <v>2002573</v>
      </c>
    </row>
    <row r="151" spans="1:24" x14ac:dyDescent="0.25">
      <c r="A151">
        <v>2003539</v>
      </c>
    </row>
    <row r="152" spans="1:24" x14ac:dyDescent="0.25">
      <c r="A152">
        <v>2003649</v>
      </c>
    </row>
    <row r="153" spans="1:24" x14ac:dyDescent="0.25">
      <c r="A153">
        <v>2005572</v>
      </c>
    </row>
    <row r="154" spans="1:24" x14ac:dyDescent="0.25">
      <c r="A154">
        <v>2013117</v>
      </c>
    </row>
    <row r="155" spans="1:24" x14ac:dyDescent="0.25">
      <c r="A155">
        <v>3009633</v>
      </c>
    </row>
    <row r="156" spans="1:24" x14ac:dyDescent="0.25">
      <c r="A156">
        <v>3010583</v>
      </c>
    </row>
    <row r="157" spans="1:24" x14ac:dyDescent="0.25">
      <c r="A157" s="23">
        <v>3011892</v>
      </c>
    </row>
    <row r="158" spans="1:24" x14ac:dyDescent="0.25">
      <c r="A158">
        <v>4001382</v>
      </c>
      <c r="W158" s="14">
        <v>126</v>
      </c>
      <c r="X158" s="14">
        <v>275.5</v>
      </c>
    </row>
    <row r="159" spans="1:24" x14ac:dyDescent="0.25">
      <c r="A159">
        <v>5018675</v>
      </c>
    </row>
    <row r="160" spans="1:24" x14ac:dyDescent="0.25">
      <c r="A160">
        <v>6050168</v>
      </c>
    </row>
    <row r="161" spans="1:11" x14ac:dyDescent="0.25">
      <c r="A161">
        <v>5006592</v>
      </c>
    </row>
    <row r="162" spans="1:11" x14ac:dyDescent="0.25">
      <c r="A162">
        <v>5007274</v>
      </c>
    </row>
    <row r="163" spans="1:11" x14ac:dyDescent="0.25">
      <c r="A163">
        <v>5015851</v>
      </c>
    </row>
    <row r="164" spans="1:11" x14ac:dyDescent="0.25">
      <c r="A164">
        <v>6015647</v>
      </c>
      <c r="K164">
        <v>75</v>
      </c>
    </row>
    <row r="165" spans="1:11" x14ac:dyDescent="0.25">
      <c r="A165">
        <v>6056633</v>
      </c>
    </row>
    <row r="166" spans="1:11" x14ac:dyDescent="0.25">
      <c r="A166">
        <v>7086224</v>
      </c>
    </row>
    <row r="167" spans="1:11" x14ac:dyDescent="0.25">
      <c r="A167">
        <v>8040959</v>
      </c>
    </row>
    <row r="168" spans="1:11" x14ac:dyDescent="0.25">
      <c r="A168">
        <v>8107048</v>
      </c>
    </row>
    <row r="169" spans="1:11" x14ac:dyDescent="0.25">
      <c r="A169">
        <v>8124044</v>
      </c>
    </row>
    <row r="170" spans="1:11" x14ac:dyDescent="0.25">
      <c r="A170">
        <v>8142949</v>
      </c>
    </row>
    <row r="171" spans="1:11" x14ac:dyDescent="0.25">
      <c r="A171">
        <v>9023306</v>
      </c>
    </row>
    <row r="172" spans="1:11" x14ac:dyDescent="0.25">
      <c r="A172">
        <v>9030615</v>
      </c>
    </row>
    <row r="173" spans="1:11" x14ac:dyDescent="0.25">
      <c r="A173">
        <v>9034464</v>
      </c>
    </row>
    <row r="174" spans="1:11" x14ac:dyDescent="0.25">
      <c r="A174">
        <v>9040167</v>
      </c>
    </row>
    <row r="175" spans="1:11" x14ac:dyDescent="0.25">
      <c r="A175">
        <v>9054567</v>
      </c>
    </row>
    <row r="176" spans="1:11" x14ac:dyDescent="0.25">
      <c r="A176">
        <v>9083682</v>
      </c>
      <c r="J176">
        <v>55</v>
      </c>
    </row>
    <row r="177" spans="1:1" x14ac:dyDescent="0.25">
      <c r="A177">
        <v>9102044</v>
      </c>
    </row>
    <row r="178" spans="1:1" x14ac:dyDescent="0.25">
      <c r="A178">
        <v>9119854</v>
      </c>
    </row>
    <row r="179" spans="1:1" x14ac:dyDescent="0.25">
      <c r="A179">
        <v>9125126</v>
      </c>
    </row>
    <row r="180" spans="1:1" x14ac:dyDescent="0.25">
      <c r="A180">
        <v>9174811</v>
      </c>
    </row>
    <row r="181" spans="1:1" x14ac:dyDescent="0.25">
      <c r="A181">
        <v>10002875</v>
      </c>
    </row>
    <row r="182" spans="1:1" x14ac:dyDescent="0.25">
      <c r="A182">
        <v>10023080</v>
      </c>
    </row>
    <row r="183" spans="1:1" x14ac:dyDescent="0.25">
      <c r="A183">
        <v>10025212</v>
      </c>
    </row>
    <row r="184" spans="1:1" x14ac:dyDescent="0.25">
      <c r="A184">
        <v>10069407</v>
      </c>
    </row>
    <row r="185" spans="1:1" x14ac:dyDescent="0.25">
      <c r="A185">
        <v>10071135</v>
      </c>
    </row>
    <row r="186" spans="1:1" x14ac:dyDescent="0.25">
      <c r="A186">
        <v>10083649</v>
      </c>
    </row>
    <row r="187" spans="1:1" x14ac:dyDescent="0.25">
      <c r="A187">
        <v>10102021</v>
      </c>
    </row>
    <row r="188" spans="1:1" x14ac:dyDescent="0.25">
      <c r="A188">
        <v>10123729</v>
      </c>
    </row>
    <row r="189" spans="1:1" x14ac:dyDescent="0.25">
      <c r="A189">
        <v>10144736</v>
      </c>
    </row>
    <row r="190" spans="1:1" x14ac:dyDescent="0.25">
      <c r="A190">
        <v>10157275</v>
      </c>
    </row>
    <row r="191" spans="1:1" x14ac:dyDescent="0.25">
      <c r="A191" s="61"/>
    </row>
    <row r="192" spans="1:1" x14ac:dyDescent="0.25">
      <c r="A192" s="10" t="s">
        <v>83</v>
      </c>
    </row>
    <row r="193" spans="1:21" x14ac:dyDescent="0.25">
      <c r="A193">
        <v>5281</v>
      </c>
    </row>
    <row r="194" spans="1:21" x14ac:dyDescent="0.25">
      <c r="A194">
        <v>200085</v>
      </c>
      <c r="K194">
        <v>20</v>
      </c>
      <c r="L194">
        <v>12</v>
      </c>
      <c r="P194">
        <v>8</v>
      </c>
      <c r="Q194">
        <v>8</v>
      </c>
      <c r="R194">
        <v>8</v>
      </c>
      <c r="T194">
        <v>9</v>
      </c>
    </row>
    <row r="195" spans="1:21" x14ac:dyDescent="0.25">
      <c r="A195">
        <v>500129</v>
      </c>
    </row>
    <row r="196" spans="1:21" x14ac:dyDescent="0.25">
      <c r="A196" s="23">
        <v>1002033</v>
      </c>
    </row>
    <row r="197" spans="1:21" x14ac:dyDescent="0.25">
      <c r="A197">
        <v>1003457</v>
      </c>
    </row>
    <row r="198" spans="1:21" x14ac:dyDescent="0.25">
      <c r="A198">
        <v>2005223</v>
      </c>
      <c r="M198">
        <v>348.6</v>
      </c>
    </row>
    <row r="199" spans="1:21" x14ac:dyDescent="0.25">
      <c r="A199">
        <v>2006107</v>
      </c>
    </row>
    <row r="200" spans="1:21" x14ac:dyDescent="0.25">
      <c r="A200">
        <v>2012014</v>
      </c>
    </row>
    <row r="201" spans="1:21" x14ac:dyDescent="0.25">
      <c r="A201">
        <v>3000152</v>
      </c>
      <c r="J201">
        <v>65.400000000000006</v>
      </c>
    </row>
    <row r="202" spans="1:21" x14ac:dyDescent="0.25">
      <c r="A202">
        <v>3014566</v>
      </c>
    </row>
    <row r="203" spans="1:21" x14ac:dyDescent="0.25">
      <c r="A203">
        <v>3015058</v>
      </c>
      <c r="C203">
        <v>105</v>
      </c>
      <c r="L203">
        <v>56</v>
      </c>
      <c r="M203">
        <v>37</v>
      </c>
      <c r="S203">
        <v>132</v>
      </c>
    </row>
    <row r="204" spans="1:21" x14ac:dyDescent="0.25">
      <c r="A204" s="23">
        <v>4000996</v>
      </c>
      <c r="U204">
        <v>13.8</v>
      </c>
    </row>
    <row r="205" spans="1:21" x14ac:dyDescent="0.25">
      <c r="A205">
        <v>4003768</v>
      </c>
    </row>
    <row r="206" spans="1:21" x14ac:dyDescent="0.25">
      <c r="A206">
        <v>4006540</v>
      </c>
    </row>
    <row r="207" spans="1:21" x14ac:dyDescent="0.25">
      <c r="A207">
        <v>4007054</v>
      </c>
    </row>
    <row r="208" spans="1:21" x14ac:dyDescent="0.25">
      <c r="A208">
        <v>4011002</v>
      </c>
    </row>
    <row r="209" spans="1:18" x14ac:dyDescent="0.25">
      <c r="A209">
        <v>4900268</v>
      </c>
    </row>
    <row r="210" spans="1:18" x14ac:dyDescent="0.25">
      <c r="A210">
        <v>5001097</v>
      </c>
      <c r="D210">
        <v>63</v>
      </c>
      <c r="E210">
        <v>42</v>
      </c>
    </row>
    <row r="211" spans="1:18" x14ac:dyDescent="0.25">
      <c r="A211">
        <v>5001098</v>
      </c>
      <c r="B211">
        <v>24</v>
      </c>
      <c r="D211">
        <v>16</v>
      </c>
    </row>
    <row r="212" spans="1:18" x14ac:dyDescent="0.25">
      <c r="A212">
        <v>5006152</v>
      </c>
      <c r="L212">
        <v>234</v>
      </c>
    </row>
    <row r="213" spans="1:18" x14ac:dyDescent="0.25">
      <c r="A213">
        <v>6012361</v>
      </c>
    </row>
    <row r="214" spans="1:18" x14ac:dyDescent="0.25">
      <c r="A214">
        <v>6015793</v>
      </c>
    </row>
    <row r="215" spans="1:18" x14ac:dyDescent="0.25">
      <c r="A215">
        <v>6043619</v>
      </c>
    </row>
    <row r="216" spans="1:18" x14ac:dyDescent="0.25">
      <c r="A216">
        <v>7001097</v>
      </c>
    </row>
    <row r="217" spans="1:18" x14ac:dyDescent="0.25">
      <c r="A217">
        <v>7011435</v>
      </c>
    </row>
    <row r="218" spans="1:18" x14ac:dyDescent="0.25">
      <c r="A218">
        <v>7045811</v>
      </c>
      <c r="O218">
        <v>500.4</v>
      </c>
      <c r="R218">
        <v>336</v>
      </c>
    </row>
    <row r="219" spans="1:18" x14ac:dyDescent="0.25">
      <c r="A219">
        <v>7071198</v>
      </c>
    </row>
    <row r="220" spans="1:18" x14ac:dyDescent="0.25">
      <c r="A220">
        <v>7101143</v>
      </c>
    </row>
    <row r="221" spans="1:18" x14ac:dyDescent="0.25">
      <c r="A221">
        <v>8073350</v>
      </c>
    </row>
    <row r="222" spans="1:18" x14ac:dyDescent="0.25">
      <c r="A222">
        <v>8073645</v>
      </c>
    </row>
    <row r="223" spans="1:18" x14ac:dyDescent="0.25">
      <c r="A223" s="23">
        <v>8089666</v>
      </c>
      <c r="H223" s="14">
        <v>55.5</v>
      </c>
      <c r="I223">
        <v>45</v>
      </c>
      <c r="K223" s="14">
        <v>102.5</v>
      </c>
      <c r="L223">
        <v>147</v>
      </c>
    </row>
    <row r="224" spans="1:18" x14ac:dyDescent="0.25">
      <c r="A224">
        <v>8103536</v>
      </c>
      <c r="J224">
        <v>83</v>
      </c>
    </row>
    <row r="225" spans="1:11" x14ac:dyDescent="0.25">
      <c r="A225">
        <v>8124816</v>
      </c>
    </row>
    <row r="226" spans="1:11" x14ac:dyDescent="0.25">
      <c r="A226">
        <v>9003267</v>
      </c>
    </row>
    <row r="227" spans="1:11" x14ac:dyDescent="0.25">
      <c r="A227">
        <v>9036964</v>
      </c>
    </row>
    <row r="228" spans="1:11" x14ac:dyDescent="0.25">
      <c r="A228">
        <v>9090287</v>
      </c>
    </row>
    <row r="229" spans="1:11" x14ac:dyDescent="0.25">
      <c r="A229">
        <v>9095148</v>
      </c>
    </row>
    <row r="230" spans="1:11" x14ac:dyDescent="0.25">
      <c r="A230">
        <v>9104979</v>
      </c>
    </row>
    <row r="231" spans="1:11" x14ac:dyDescent="0.25">
      <c r="A231">
        <v>9139514</v>
      </c>
    </row>
    <row r="232" spans="1:11" x14ac:dyDescent="0.25">
      <c r="A232">
        <v>10020659</v>
      </c>
    </row>
    <row r="233" spans="1:11" x14ac:dyDescent="0.25">
      <c r="A233">
        <v>10025902</v>
      </c>
    </row>
    <row r="234" spans="1:11" x14ac:dyDescent="0.25">
      <c r="A234">
        <v>10027654</v>
      </c>
    </row>
    <row r="235" spans="1:11" x14ac:dyDescent="0.25">
      <c r="A235">
        <v>10084485</v>
      </c>
      <c r="K235">
        <v>4000</v>
      </c>
    </row>
    <row r="236" spans="1:11" x14ac:dyDescent="0.25">
      <c r="A236">
        <v>10098420</v>
      </c>
    </row>
    <row r="237" spans="1:11" x14ac:dyDescent="0.25">
      <c r="A237">
        <v>10129565</v>
      </c>
    </row>
    <row r="238" spans="1:11" x14ac:dyDescent="0.25">
      <c r="A238">
        <v>10146828</v>
      </c>
    </row>
    <row r="239" spans="1:11" x14ac:dyDescent="0.25">
      <c r="A239">
        <v>10163776</v>
      </c>
    </row>
    <row r="240" spans="1:11" x14ac:dyDescent="0.25">
      <c r="A240">
        <v>10173664</v>
      </c>
    </row>
  </sheetData>
  <conditionalFormatting sqref="F4:J4">
    <cfRule type="duplicateValues" dxfId="43" priority="6"/>
  </conditionalFormatting>
  <conditionalFormatting sqref="O38">
    <cfRule type="duplicateValues" dxfId="42" priority="5"/>
  </conditionalFormatting>
  <conditionalFormatting sqref="O38">
    <cfRule type="duplicateValues" dxfId="41" priority="4"/>
  </conditionalFormatting>
  <conditionalFormatting sqref="A20">
    <cfRule type="duplicateValues" dxfId="40" priority="3"/>
  </conditionalFormatting>
  <conditionalFormatting sqref="C31:J31">
    <cfRule type="duplicateValues" dxfId="39" priority="7"/>
  </conditionalFormatting>
  <conditionalFormatting sqref="C32:J32">
    <cfRule type="duplicateValues" dxfId="38" priority="8"/>
  </conditionalFormatting>
  <conditionalFormatting sqref="C34:J34">
    <cfRule type="duplicateValues" dxfId="37" priority="9"/>
  </conditionalFormatting>
  <conditionalFormatting sqref="C35:J35">
    <cfRule type="duplicateValues" dxfId="36" priority="10"/>
  </conditionalFormatting>
  <conditionalFormatting sqref="C38:E38">
    <cfRule type="duplicateValues" dxfId="35" priority="11"/>
  </conditionalFormatting>
  <conditionalFormatting sqref="C36:J36">
    <cfRule type="duplicateValues" dxfId="34" priority="12"/>
  </conditionalFormatting>
  <conditionalFormatting sqref="C8:J8">
    <cfRule type="duplicateValues" dxfId="33" priority="13"/>
  </conditionalFormatting>
  <conditionalFormatting sqref="C9:J9">
    <cfRule type="duplicateValues" dxfId="32" priority="14"/>
  </conditionalFormatting>
  <conditionalFormatting sqref="C10:J10">
    <cfRule type="duplicateValues" dxfId="31" priority="15"/>
  </conditionalFormatting>
  <conditionalFormatting sqref="C25:E25">
    <cfRule type="duplicateValues" dxfId="30" priority="16"/>
  </conditionalFormatting>
  <conditionalFormatting sqref="C26:E26">
    <cfRule type="duplicateValues" dxfId="29" priority="17"/>
  </conditionalFormatting>
  <conditionalFormatting sqref="C27:E27">
    <cfRule type="duplicateValues" dxfId="28" priority="18"/>
  </conditionalFormatting>
  <conditionalFormatting sqref="C39:E39">
    <cfRule type="duplicateValues" dxfId="27" priority="19"/>
  </conditionalFormatting>
  <conditionalFormatting sqref="C40:E40">
    <cfRule type="duplicateValues" dxfId="26" priority="20"/>
  </conditionalFormatting>
  <conditionalFormatting sqref="C29:E29">
    <cfRule type="duplicateValues" dxfId="25" priority="21"/>
  </conditionalFormatting>
  <conditionalFormatting sqref="C28:E28">
    <cfRule type="duplicateValues" dxfId="24" priority="22"/>
  </conditionalFormatting>
  <conditionalFormatting sqref="C41:E41">
    <cfRule type="duplicateValues" dxfId="23" priority="23"/>
  </conditionalFormatting>
  <conditionalFormatting sqref="C42:E42">
    <cfRule type="duplicateValues" dxfId="22" priority="24"/>
  </conditionalFormatting>
  <conditionalFormatting sqref="C43:E43">
    <cfRule type="duplicateValues" dxfId="21" priority="25"/>
  </conditionalFormatting>
  <conditionalFormatting sqref="C30:E30">
    <cfRule type="duplicateValues" dxfId="20" priority="26"/>
  </conditionalFormatting>
  <conditionalFormatting sqref="C37:J37">
    <cfRule type="duplicateValues" dxfId="19" priority="27"/>
  </conditionalFormatting>
  <conditionalFormatting sqref="C13:E13">
    <cfRule type="duplicateValues" dxfId="18" priority="1"/>
  </conditionalFormatting>
  <conditionalFormatting sqref="C14:E14">
    <cfRule type="duplicateValues" dxfId="17" priority="2"/>
  </conditionalFormatting>
  <conditionalFormatting sqref="C11:J11 C15:J15">
    <cfRule type="duplicateValues" dxfId="16" priority="28"/>
  </conditionalFormatting>
  <conditionalFormatting sqref="C33:J33">
    <cfRule type="duplicateValues" dxfId="15" priority="29"/>
  </conditionalFormatting>
  <conditionalFormatting sqref="C18:E18">
    <cfRule type="duplicateValues" dxfId="14" priority="30"/>
  </conditionalFormatting>
  <conditionalFormatting sqref="C44:E44 C69:E69 C42:E42">
    <cfRule type="duplicateValues" dxfId="13" priority="3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0D42-1A25-4C8A-9B75-8F7475F6762E}">
  <dimension ref="A1:D29"/>
  <sheetViews>
    <sheetView workbookViewId="0">
      <selection activeCell="D33" sqref="D33"/>
    </sheetView>
  </sheetViews>
  <sheetFormatPr baseColWidth="10" defaultRowHeight="15" x14ac:dyDescent="0.25"/>
  <cols>
    <col min="1" max="1" width="21.140625" bestFit="1" customWidth="1"/>
    <col min="2" max="2" width="8" bestFit="1" customWidth="1"/>
    <col min="3" max="3" width="81.140625" bestFit="1" customWidth="1"/>
    <col min="4" max="4" width="35.5703125" bestFit="1" customWidth="1"/>
  </cols>
  <sheetData>
    <row r="1" spans="1:4" ht="15.75" x14ac:dyDescent="0.25">
      <c r="A1" s="63" t="s">
        <v>43</v>
      </c>
      <c r="B1" s="63" t="s">
        <v>1871</v>
      </c>
      <c r="C1" s="63" t="s">
        <v>1872</v>
      </c>
      <c r="D1" s="63" t="s">
        <v>1873</v>
      </c>
    </row>
    <row r="2" spans="1:4" x14ac:dyDescent="0.25">
      <c r="A2" s="62">
        <v>7072184</v>
      </c>
      <c r="B2" s="62" t="s">
        <v>1900</v>
      </c>
      <c r="C2" s="62" t="s">
        <v>1882</v>
      </c>
      <c r="D2" s="62">
        <v>1</v>
      </c>
    </row>
    <row r="3" spans="1:4" ht="30" x14ac:dyDescent="0.25">
      <c r="A3" s="62">
        <v>4900261</v>
      </c>
      <c r="B3" s="62" t="s">
        <v>1900</v>
      </c>
      <c r="C3" s="64" t="s">
        <v>1901</v>
      </c>
      <c r="D3" s="62">
        <v>7</v>
      </c>
    </row>
    <row r="4" spans="1:4" x14ac:dyDescent="0.25">
      <c r="A4" s="62">
        <v>96018835</v>
      </c>
      <c r="B4" s="62" t="s">
        <v>1900</v>
      </c>
      <c r="C4" s="62" t="s">
        <v>1888</v>
      </c>
      <c r="D4" s="62">
        <v>1</v>
      </c>
    </row>
    <row r="5" spans="1:4" x14ac:dyDescent="0.25">
      <c r="A5" s="62">
        <v>1263</v>
      </c>
      <c r="B5" s="62" t="s">
        <v>1900</v>
      </c>
      <c r="C5" s="62" t="s">
        <v>1902</v>
      </c>
      <c r="D5" s="62">
        <v>2</v>
      </c>
    </row>
    <row r="6" spans="1:4" x14ac:dyDescent="0.25">
      <c r="A6" s="62">
        <v>6023231</v>
      </c>
      <c r="B6" s="62" t="s">
        <v>1900</v>
      </c>
      <c r="C6" s="62" t="s">
        <v>1882</v>
      </c>
      <c r="D6" s="62">
        <v>1</v>
      </c>
    </row>
    <row r="7" spans="1:4" x14ac:dyDescent="0.25">
      <c r="A7" s="62">
        <v>7116004</v>
      </c>
      <c r="B7" s="62" t="s">
        <v>1900</v>
      </c>
      <c r="C7" s="62" t="s">
        <v>1882</v>
      </c>
      <c r="D7" s="62">
        <v>1</v>
      </c>
    </row>
    <row r="8" spans="1:4" x14ac:dyDescent="0.25">
      <c r="A8" s="62">
        <v>2000646</v>
      </c>
      <c r="B8" s="62" t="s">
        <v>1900</v>
      </c>
      <c r="C8" s="62" t="s">
        <v>1903</v>
      </c>
      <c r="D8" s="62">
        <v>6</v>
      </c>
    </row>
    <row r="9" spans="1:4" x14ac:dyDescent="0.25">
      <c r="A9" s="62">
        <v>3009119</v>
      </c>
      <c r="B9" s="62" t="s">
        <v>1900</v>
      </c>
      <c r="C9" s="62" t="s">
        <v>1883</v>
      </c>
      <c r="D9" s="62">
        <v>1</v>
      </c>
    </row>
    <row r="10" spans="1:4" x14ac:dyDescent="0.25">
      <c r="A10" s="62">
        <v>4001905</v>
      </c>
      <c r="B10" s="62" t="s">
        <v>1900</v>
      </c>
      <c r="C10" s="62" t="s">
        <v>1904</v>
      </c>
      <c r="D10" s="62">
        <v>6</v>
      </c>
    </row>
    <row r="11" spans="1:4" x14ac:dyDescent="0.25">
      <c r="A11" s="62">
        <v>5004654</v>
      </c>
      <c r="B11" s="62" t="s">
        <v>1900</v>
      </c>
      <c r="C11" s="62" t="s">
        <v>1884</v>
      </c>
      <c r="D11" s="62">
        <v>1</v>
      </c>
    </row>
    <row r="12" spans="1:4" x14ac:dyDescent="0.25">
      <c r="A12" s="62">
        <v>4289</v>
      </c>
      <c r="B12" s="62" t="s">
        <v>1900</v>
      </c>
      <c r="C12" s="62" t="s">
        <v>1905</v>
      </c>
      <c r="D12" s="62">
        <v>2</v>
      </c>
    </row>
    <row r="13" spans="1:4" x14ac:dyDescent="0.25">
      <c r="A13" s="62">
        <v>4001382</v>
      </c>
      <c r="B13" s="62" t="s">
        <v>1900</v>
      </c>
      <c r="C13" s="62" t="s">
        <v>1906</v>
      </c>
      <c r="D13" s="62">
        <v>2</v>
      </c>
    </row>
    <row r="14" spans="1:4" x14ac:dyDescent="0.25">
      <c r="A14" s="62">
        <v>6015647</v>
      </c>
      <c r="B14" s="62" t="s">
        <v>1900</v>
      </c>
      <c r="C14" s="62" t="s">
        <v>1883</v>
      </c>
      <c r="D14" s="62">
        <v>1</v>
      </c>
    </row>
    <row r="15" spans="1:4" x14ac:dyDescent="0.25">
      <c r="A15" s="62">
        <v>9083682</v>
      </c>
      <c r="B15" s="62" t="s">
        <v>1900</v>
      </c>
      <c r="C15" s="62" t="s">
        <v>1882</v>
      </c>
      <c r="D15" s="62">
        <v>1</v>
      </c>
    </row>
    <row r="16" spans="1:4" x14ac:dyDescent="0.25">
      <c r="A16" s="62">
        <v>200085</v>
      </c>
      <c r="B16" s="62" t="s">
        <v>1900</v>
      </c>
      <c r="C16" s="62" t="s">
        <v>1907</v>
      </c>
      <c r="D16" s="62">
        <v>6</v>
      </c>
    </row>
    <row r="17" spans="1:4" x14ac:dyDescent="0.25">
      <c r="A17" s="62">
        <v>2005223</v>
      </c>
      <c r="B17" s="62" t="s">
        <v>1900</v>
      </c>
      <c r="C17" s="62" t="s">
        <v>1885</v>
      </c>
      <c r="D17" s="62">
        <v>1</v>
      </c>
    </row>
    <row r="18" spans="1:4" x14ac:dyDescent="0.25">
      <c r="A18" s="62">
        <v>3000152</v>
      </c>
      <c r="B18" s="62" t="s">
        <v>1900</v>
      </c>
      <c r="C18" s="62" t="s">
        <v>1882</v>
      </c>
      <c r="D18" s="62">
        <v>1</v>
      </c>
    </row>
    <row r="19" spans="1:4" x14ac:dyDescent="0.25">
      <c r="A19" s="62">
        <v>3015058</v>
      </c>
      <c r="B19" s="62" t="s">
        <v>1900</v>
      </c>
      <c r="C19" s="62" t="s">
        <v>1908</v>
      </c>
      <c r="D19" s="62">
        <v>4</v>
      </c>
    </row>
    <row r="20" spans="1:4" x14ac:dyDescent="0.25">
      <c r="A20" s="62">
        <v>4000996</v>
      </c>
      <c r="B20" s="62" t="s">
        <v>1900</v>
      </c>
      <c r="C20" s="62" t="s">
        <v>1893</v>
      </c>
      <c r="D20" s="62">
        <v>1</v>
      </c>
    </row>
    <row r="21" spans="1:4" x14ac:dyDescent="0.25">
      <c r="A21" s="62">
        <v>5001097</v>
      </c>
      <c r="B21" s="62" t="s">
        <v>1900</v>
      </c>
      <c r="C21" s="62" t="s">
        <v>1909</v>
      </c>
      <c r="D21" s="62">
        <v>2</v>
      </c>
    </row>
    <row r="22" spans="1:4" x14ac:dyDescent="0.25">
      <c r="A22" s="62">
        <v>5001098</v>
      </c>
      <c r="B22" s="62" t="s">
        <v>1900</v>
      </c>
      <c r="C22" s="62" t="s">
        <v>1910</v>
      </c>
      <c r="D22" s="62">
        <v>2</v>
      </c>
    </row>
    <row r="23" spans="1:4" x14ac:dyDescent="0.25">
      <c r="A23" s="62">
        <v>5006152</v>
      </c>
      <c r="B23" s="62" t="s">
        <v>1900</v>
      </c>
      <c r="C23" s="62" t="s">
        <v>1884</v>
      </c>
      <c r="D23" s="62">
        <v>1</v>
      </c>
    </row>
    <row r="24" spans="1:4" x14ac:dyDescent="0.25">
      <c r="A24" s="62">
        <v>7045811</v>
      </c>
      <c r="B24" s="62" t="s">
        <v>1900</v>
      </c>
      <c r="C24" s="62" t="s">
        <v>1911</v>
      </c>
      <c r="D24" s="62">
        <v>2</v>
      </c>
    </row>
    <row r="25" spans="1:4" x14ac:dyDescent="0.25">
      <c r="A25" s="62">
        <v>8089666</v>
      </c>
      <c r="B25" s="62" t="s">
        <v>1900</v>
      </c>
      <c r="C25" s="62" t="s">
        <v>1912</v>
      </c>
      <c r="D25" s="62">
        <v>4</v>
      </c>
    </row>
    <row r="26" spans="1:4" x14ac:dyDescent="0.25">
      <c r="A26" s="62">
        <v>8103536</v>
      </c>
      <c r="B26" s="62" t="s">
        <v>1900</v>
      </c>
      <c r="C26" s="62" t="s">
        <v>1882</v>
      </c>
      <c r="D26" s="62">
        <v>1</v>
      </c>
    </row>
    <row r="27" spans="1:4" x14ac:dyDescent="0.25">
      <c r="A27" s="62">
        <v>10084485</v>
      </c>
      <c r="B27" s="62" t="s">
        <v>1900</v>
      </c>
      <c r="C27" s="62" t="s">
        <v>1883</v>
      </c>
      <c r="D27" s="62">
        <v>1</v>
      </c>
    </row>
    <row r="29" spans="1:4" x14ac:dyDescent="0.25">
      <c r="A29">
        <f>SUBTOTAL(3,CK[BfArM Nummer])</f>
        <v>26</v>
      </c>
      <c r="B29">
        <f>SUBTOTAL(3,CK[BfArM Nummer])</f>
        <v>26</v>
      </c>
      <c r="C29">
        <f>SUBTOTAL(3,CK[BfArM Nummer])</f>
        <v>26</v>
      </c>
      <c r="D29">
        <f>SUBTOTAL(9,CK[Total Number of Observations])</f>
        <v>59</v>
      </c>
    </row>
  </sheetData>
  <phoneticPr fontId="6" type="noConversion"/>
  <conditionalFormatting sqref="A2:A27">
    <cfRule type="duplicateValues" dxfId="12" priority="326"/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D365-A443-47BA-ACAB-756C14737077}">
  <dimension ref="A1:R239"/>
  <sheetViews>
    <sheetView workbookViewId="0">
      <selection sqref="A1:R239"/>
    </sheetView>
  </sheetViews>
  <sheetFormatPr baseColWidth="10" defaultRowHeight="15" x14ac:dyDescent="0.25"/>
  <cols>
    <col min="1" max="1" width="17.140625" customWidth="1"/>
    <col min="2" max="2" width="39.42578125" customWidth="1"/>
    <col min="3" max="3" width="34.7109375" customWidth="1"/>
    <col min="4" max="4" width="39.42578125" customWidth="1"/>
    <col min="5" max="5" width="17" customWidth="1"/>
    <col min="6" max="7" width="12" customWidth="1"/>
    <col min="8" max="8" width="17.140625" customWidth="1"/>
    <col min="9" max="10" width="12" customWidth="1"/>
    <col min="11" max="11" width="19.7109375" customWidth="1"/>
    <col min="12" max="14" width="15" customWidth="1"/>
    <col min="15" max="15" width="20.140625" customWidth="1"/>
    <col min="16" max="16" width="15" customWidth="1"/>
    <col min="17" max="17" width="20.140625" customWidth="1"/>
    <col min="18" max="18" width="22.85546875" customWidth="1"/>
  </cols>
  <sheetData>
    <row r="1" spans="1:18" ht="75" x14ac:dyDescent="0.25">
      <c r="A1" s="57" t="s">
        <v>43</v>
      </c>
      <c r="B1" s="58" t="s">
        <v>1048</v>
      </c>
      <c r="C1" s="58" t="s">
        <v>453</v>
      </c>
      <c r="D1" s="58" t="s">
        <v>1049</v>
      </c>
      <c r="E1" s="65" t="s">
        <v>454</v>
      </c>
      <c r="F1" s="66" t="s">
        <v>1032</v>
      </c>
      <c r="G1" s="66" t="s">
        <v>1033</v>
      </c>
      <c r="H1" s="66" t="s">
        <v>1040</v>
      </c>
      <c r="I1" s="66" t="s">
        <v>1034</v>
      </c>
      <c r="J1" s="66" t="s">
        <v>1035</v>
      </c>
      <c r="K1" s="66" t="s">
        <v>1041</v>
      </c>
      <c r="L1" s="66" t="s">
        <v>1036</v>
      </c>
      <c r="M1" s="66" t="s">
        <v>1037</v>
      </c>
      <c r="N1" s="66" t="s">
        <v>1038</v>
      </c>
      <c r="O1" s="66" t="s">
        <v>1042</v>
      </c>
      <c r="P1" s="66" t="s">
        <v>1039</v>
      </c>
      <c r="Q1" s="66" t="s">
        <v>1043</v>
      </c>
      <c r="R1" s="66" t="s">
        <v>1723</v>
      </c>
    </row>
    <row r="2" spans="1:18" x14ac:dyDescent="0.25">
      <c r="A2" s="40" t="s">
        <v>512</v>
      </c>
    </row>
    <row r="3" spans="1:18" x14ac:dyDescent="0.25">
      <c r="A3" s="10" t="s">
        <v>1868</v>
      </c>
      <c r="B3" s="6"/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25">
      <c r="A4" s="48">
        <v>7072184</v>
      </c>
      <c r="B4" s="6"/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25">
      <c r="A5" s="48">
        <v>9108231</v>
      </c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25">
      <c r="A6" s="48">
        <v>12061933</v>
      </c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x14ac:dyDescent="0.25">
      <c r="A7" s="48">
        <v>95005911</v>
      </c>
    </row>
    <row r="8" spans="1:18" x14ac:dyDescent="0.25">
      <c r="A8" s="48">
        <v>99001908</v>
      </c>
    </row>
    <row r="9" spans="1:18" x14ac:dyDescent="0.25">
      <c r="A9" s="48">
        <v>99004067</v>
      </c>
    </row>
    <row r="10" spans="1:18" x14ac:dyDescent="0.25">
      <c r="A10" s="48">
        <v>97002136</v>
      </c>
    </row>
    <row r="11" spans="1:18" x14ac:dyDescent="0.25">
      <c r="A11" s="48">
        <v>1502</v>
      </c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x14ac:dyDescent="0.25">
      <c r="A12" s="48">
        <v>4003543</v>
      </c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25">
      <c r="A13" s="48">
        <v>4900261</v>
      </c>
      <c r="B13">
        <v>258</v>
      </c>
      <c r="C13">
        <v>165</v>
      </c>
      <c r="D13">
        <v>132</v>
      </c>
      <c r="E13">
        <v>106</v>
      </c>
      <c r="J13">
        <v>71</v>
      </c>
      <c r="P13">
        <v>24</v>
      </c>
    </row>
    <row r="14" spans="1:18" x14ac:dyDescent="0.25">
      <c r="A14" s="48"/>
    </row>
    <row r="15" spans="1:18" x14ac:dyDescent="0.25">
      <c r="A15" s="50" t="s">
        <v>1869</v>
      </c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x14ac:dyDescent="0.25">
      <c r="A16" s="48">
        <v>14242856</v>
      </c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25">
      <c r="A17" s="48">
        <v>99001183</v>
      </c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25">
      <c r="A18" s="48">
        <v>3000983</v>
      </c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25">
      <c r="A19" s="48">
        <v>10064335</v>
      </c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25">
      <c r="A20" s="49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x14ac:dyDescent="0.25">
      <c r="A21" s="50" t="s">
        <v>1870</v>
      </c>
      <c r="B21" s="6"/>
      <c r="C21" s="6"/>
      <c r="D21" s="6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x14ac:dyDescent="0.25">
      <c r="A22" s="48">
        <v>1480</v>
      </c>
    </row>
    <row r="23" spans="1:18" x14ac:dyDescent="0.25">
      <c r="A23" s="48">
        <v>7063959</v>
      </c>
      <c r="B23" s="6"/>
      <c r="C23" s="6"/>
      <c r="D23" s="6"/>
      <c r="E23" s="6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x14ac:dyDescent="0.25">
      <c r="A24" s="48">
        <v>1003215</v>
      </c>
      <c r="B24" s="6"/>
      <c r="C24" s="6"/>
      <c r="D24" s="6"/>
      <c r="E24" s="6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25">
      <c r="A25" s="48">
        <v>99000802</v>
      </c>
      <c r="B25" s="6"/>
      <c r="C25" s="6"/>
      <c r="D25" s="6"/>
      <c r="E25" s="6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25">
      <c r="A26" s="48">
        <v>99000892</v>
      </c>
      <c r="B26" s="6"/>
      <c r="C26" s="6"/>
      <c r="D26" s="6"/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x14ac:dyDescent="0.25">
      <c r="A27" s="48">
        <v>1000192</v>
      </c>
      <c r="B27" s="6"/>
      <c r="C27" s="6"/>
      <c r="D27" s="6"/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x14ac:dyDescent="0.25">
      <c r="A28" s="48">
        <v>1506</v>
      </c>
      <c r="B28" s="6"/>
      <c r="C28" s="6"/>
      <c r="D28" s="6"/>
      <c r="E28" s="6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25">
      <c r="A29" s="48">
        <v>99000894</v>
      </c>
      <c r="B29" s="6"/>
      <c r="C29" s="6"/>
      <c r="D29" s="6"/>
      <c r="E29" s="6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x14ac:dyDescent="0.25">
      <c r="A30" s="48">
        <v>99000897</v>
      </c>
    </row>
    <row r="31" spans="1:18" x14ac:dyDescent="0.25">
      <c r="A31" s="48">
        <v>99001245</v>
      </c>
    </row>
    <row r="32" spans="1:18" x14ac:dyDescent="0.25">
      <c r="A32" s="48">
        <v>99001902</v>
      </c>
    </row>
    <row r="33" spans="1:18" x14ac:dyDescent="0.25">
      <c r="A33" s="48">
        <v>99001912</v>
      </c>
    </row>
    <row r="34" spans="1:18" x14ac:dyDescent="0.25">
      <c r="A34" s="48">
        <v>99001913</v>
      </c>
    </row>
    <row r="35" spans="1:18" x14ac:dyDescent="0.25">
      <c r="A35" s="48">
        <v>99001937</v>
      </c>
    </row>
    <row r="36" spans="1:18" x14ac:dyDescent="0.25">
      <c r="A36" s="48">
        <v>99001943</v>
      </c>
    </row>
    <row r="37" spans="1:18" x14ac:dyDescent="0.25">
      <c r="A37" s="48">
        <v>99001927</v>
      </c>
    </row>
    <row r="38" spans="1:18" x14ac:dyDescent="0.25">
      <c r="A38" s="48">
        <v>1505</v>
      </c>
      <c r="B38" s="6"/>
      <c r="C38" s="6"/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48">
        <v>1000197</v>
      </c>
      <c r="B39" s="6"/>
      <c r="C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48">
        <v>96018835</v>
      </c>
      <c r="B40" s="6"/>
      <c r="C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48">
        <v>98008326</v>
      </c>
      <c r="B41" s="6"/>
      <c r="C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48">
        <v>99000717</v>
      </c>
      <c r="B42" s="6"/>
      <c r="C42" s="6"/>
      <c r="D42" s="6"/>
      <c r="E42" s="6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x14ac:dyDescent="0.25">
      <c r="A43" s="48"/>
      <c r="B43" s="6"/>
      <c r="C43" s="6"/>
      <c r="D43" s="6"/>
      <c r="E43" s="6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x14ac:dyDescent="0.25">
      <c r="A44" s="25" t="s">
        <v>129</v>
      </c>
    </row>
    <row r="45" spans="1:18" x14ac:dyDescent="0.25">
      <c r="A45" s="50" t="s">
        <v>106</v>
      </c>
    </row>
    <row r="46" spans="1:18" x14ac:dyDescent="0.25">
      <c r="A46" s="48">
        <v>6016435</v>
      </c>
    </row>
    <row r="47" spans="1:18" x14ac:dyDescent="0.25">
      <c r="A47" s="48">
        <v>8045149</v>
      </c>
    </row>
    <row r="48" spans="1:18" x14ac:dyDescent="0.25">
      <c r="A48" s="48">
        <v>10023001</v>
      </c>
    </row>
    <row r="49" spans="1:1" x14ac:dyDescent="0.25">
      <c r="A49" s="48">
        <v>10027526</v>
      </c>
    </row>
    <row r="50" spans="1:1" x14ac:dyDescent="0.25">
      <c r="A50" s="48">
        <v>14222171</v>
      </c>
    </row>
    <row r="51" spans="1:1" x14ac:dyDescent="0.25">
      <c r="A51" s="48">
        <v>1006143</v>
      </c>
    </row>
    <row r="52" spans="1:1" x14ac:dyDescent="0.25">
      <c r="A52" s="48">
        <v>6006917</v>
      </c>
    </row>
    <row r="53" spans="1:1" x14ac:dyDescent="0.25">
      <c r="A53" s="48"/>
    </row>
    <row r="54" spans="1:1" x14ac:dyDescent="0.25">
      <c r="A54" s="50" t="s">
        <v>109</v>
      </c>
    </row>
    <row r="55" spans="1:1" x14ac:dyDescent="0.25">
      <c r="A55" s="48">
        <v>8057159</v>
      </c>
    </row>
    <row r="56" spans="1:1" x14ac:dyDescent="0.25">
      <c r="A56" s="48">
        <v>9140312</v>
      </c>
    </row>
    <row r="57" spans="1:1" x14ac:dyDescent="0.25">
      <c r="A57" s="48">
        <v>12008230</v>
      </c>
    </row>
    <row r="58" spans="1:1" x14ac:dyDescent="0.25">
      <c r="A58" s="48">
        <v>12088444</v>
      </c>
    </row>
    <row r="59" spans="1:1" x14ac:dyDescent="0.25">
      <c r="A59" s="48">
        <v>13118872</v>
      </c>
    </row>
    <row r="60" spans="1:1" x14ac:dyDescent="0.25">
      <c r="A60" s="48">
        <v>12012030</v>
      </c>
    </row>
    <row r="61" spans="1:1" x14ac:dyDescent="0.25">
      <c r="A61" s="48"/>
    </row>
    <row r="62" spans="1:1" x14ac:dyDescent="0.25">
      <c r="A62" s="50" t="s">
        <v>83</v>
      </c>
    </row>
    <row r="63" spans="1:1" x14ac:dyDescent="0.25">
      <c r="A63" s="48">
        <v>9074418</v>
      </c>
    </row>
    <row r="64" spans="1:1" x14ac:dyDescent="0.25">
      <c r="A64" s="48">
        <v>1263</v>
      </c>
    </row>
    <row r="65" spans="1:18" x14ac:dyDescent="0.25">
      <c r="A65" s="48">
        <v>98004910</v>
      </c>
    </row>
    <row r="66" spans="1:18" x14ac:dyDescent="0.25">
      <c r="A66" s="48">
        <v>7103068</v>
      </c>
    </row>
    <row r="67" spans="1:18" x14ac:dyDescent="0.25">
      <c r="A67" s="48">
        <v>11240728</v>
      </c>
    </row>
    <row r="68" spans="1:18" x14ac:dyDescent="0.25">
      <c r="B68" s="6"/>
      <c r="C68" s="6"/>
      <c r="D68" s="6"/>
      <c r="E68" s="6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x14ac:dyDescent="0.25">
      <c r="A69" s="26" t="s">
        <v>130</v>
      </c>
    </row>
    <row r="70" spans="1:18" x14ac:dyDescent="0.25">
      <c r="A70" s="10" t="s">
        <v>106</v>
      </c>
    </row>
    <row r="71" spans="1:18" x14ac:dyDescent="0.25">
      <c r="A71" s="48">
        <v>5015869</v>
      </c>
    </row>
    <row r="72" spans="1:18" x14ac:dyDescent="0.25">
      <c r="A72" s="48">
        <v>5016969</v>
      </c>
    </row>
    <row r="73" spans="1:18" x14ac:dyDescent="0.25">
      <c r="A73" s="48">
        <v>6023231</v>
      </c>
    </row>
    <row r="74" spans="1:18" x14ac:dyDescent="0.25">
      <c r="A74" s="48">
        <v>6010712</v>
      </c>
    </row>
    <row r="75" spans="1:18" x14ac:dyDescent="0.25">
      <c r="A75" s="48">
        <v>6011198</v>
      </c>
    </row>
    <row r="76" spans="1:18" x14ac:dyDescent="0.25">
      <c r="A76" s="48">
        <v>6012681</v>
      </c>
    </row>
    <row r="77" spans="1:18" x14ac:dyDescent="0.25">
      <c r="A77" s="48">
        <v>6014511</v>
      </c>
    </row>
    <row r="78" spans="1:18" x14ac:dyDescent="0.25">
      <c r="A78" s="48">
        <v>6045127</v>
      </c>
    </row>
    <row r="79" spans="1:18" x14ac:dyDescent="0.25">
      <c r="A79" s="48">
        <v>7000458</v>
      </c>
    </row>
    <row r="80" spans="1:18" x14ac:dyDescent="0.25">
      <c r="A80" s="48">
        <v>7015502</v>
      </c>
    </row>
    <row r="81" spans="1:1" x14ac:dyDescent="0.25">
      <c r="A81" s="48">
        <v>7025847</v>
      </c>
    </row>
    <row r="82" spans="1:1" x14ac:dyDescent="0.25">
      <c r="A82" s="48">
        <v>7082707</v>
      </c>
    </row>
    <row r="83" spans="1:1" x14ac:dyDescent="0.25">
      <c r="A83" s="48">
        <v>7083159</v>
      </c>
    </row>
    <row r="84" spans="1:1" x14ac:dyDescent="0.25">
      <c r="A84" s="48">
        <v>7084659</v>
      </c>
    </row>
    <row r="85" spans="1:1" x14ac:dyDescent="0.25">
      <c r="A85" s="48">
        <v>7076814</v>
      </c>
    </row>
    <row r="86" spans="1:1" x14ac:dyDescent="0.25">
      <c r="A86" s="48">
        <v>7076815</v>
      </c>
    </row>
    <row r="87" spans="1:1" x14ac:dyDescent="0.25">
      <c r="A87" s="48">
        <v>7089231</v>
      </c>
    </row>
    <row r="88" spans="1:1" x14ac:dyDescent="0.25">
      <c r="A88" s="48">
        <v>7116004</v>
      </c>
    </row>
    <row r="89" spans="1:1" x14ac:dyDescent="0.25">
      <c r="A89" s="48">
        <v>8003819</v>
      </c>
    </row>
    <row r="90" spans="1:1" x14ac:dyDescent="0.25">
      <c r="A90" s="48">
        <v>8091779</v>
      </c>
    </row>
    <row r="91" spans="1:1" x14ac:dyDescent="0.25">
      <c r="A91" s="48">
        <v>8097989</v>
      </c>
    </row>
    <row r="92" spans="1:1" x14ac:dyDescent="0.25">
      <c r="A92" s="48">
        <v>8112522</v>
      </c>
    </row>
    <row r="93" spans="1:1" x14ac:dyDescent="0.25">
      <c r="A93" s="48">
        <v>8127397</v>
      </c>
    </row>
    <row r="94" spans="1:1" x14ac:dyDescent="0.25">
      <c r="A94" s="48">
        <v>8130998</v>
      </c>
    </row>
    <row r="95" spans="1:1" x14ac:dyDescent="0.25">
      <c r="A95" s="48">
        <v>9002836</v>
      </c>
    </row>
    <row r="96" spans="1:1" x14ac:dyDescent="0.25">
      <c r="A96" s="48">
        <v>9003331</v>
      </c>
    </row>
    <row r="97" spans="1:1" x14ac:dyDescent="0.25">
      <c r="A97" s="48">
        <v>9003370</v>
      </c>
    </row>
    <row r="98" spans="1:1" x14ac:dyDescent="0.25">
      <c r="A98" s="48">
        <v>9016278</v>
      </c>
    </row>
    <row r="99" spans="1:1" x14ac:dyDescent="0.25">
      <c r="A99" s="48">
        <v>9030684</v>
      </c>
    </row>
    <row r="100" spans="1:1" x14ac:dyDescent="0.25">
      <c r="A100" s="48">
        <v>9031387</v>
      </c>
    </row>
    <row r="101" spans="1:1" x14ac:dyDescent="0.25">
      <c r="A101" s="48">
        <v>9038676</v>
      </c>
    </row>
    <row r="102" spans="1:1" x14ac:dyDescent="0.25">
      <c r="A102" s="48">
        <v>9039416</v>
      </c>
    </row>
    <row r="103" spans="1:1" x14ac:dyDescent="0.25">
      <c r="A103" s="48">
        <v>9042861</v>
      </c>
    </row>
    <row r="104" spans="1:1" x14ac:dyDescent="0.25">
      <c r="A104" s="48">
        <v>9044899</v>
      </c>
    </row>
    <row r="105" spans="1:1" x14ac:dyDescent="0.25">
      <c r="A105" s="48">
        <v>9052398</v>
      </c>
    </row>
    <row r="106" spans="1:1" x14ac:dyDescent="0.25">
      <c r="A106" s="48">
        <v>9085204</v>
      </c>
    </row>
    <row r="107" spans="1:1" x14ac:dyDescent="0.25">
      <c r="A107" s="48">
        <v>9090323</v>
      </c>
    </row>
    <row r="108" spans="1:1" x14ac:dyDescent="0.25">
      <c r="A108" s="48">
        <v>9105492</v>
      </c>
    </row>
    <row r="109" spans="1:1" x14ac:dyDescent="0.25">
      <c r="A109" s="48">
        <v>9138470</v>
      </c>
    </row>
    <row r="110" spans="1:1" x14ac:dyDescent="0.25">
      <c r="A110" s="48">
        <v>9150676</v>
      </c>
    </row>
    <row r="111" spans="1:1" x14ac:dyDescent="0.25">
      <c r="A111" s="48">
        <v>10010926</v>
      </c>
    </row>
    <row r="112" spans="1:1" x14ac:dyDescent="0.25">
      <c r="A112" s="48">
        <v>10016588</v>
      </c>
    </row>
    <row r="113" spans="1:14" x14ac:dyDescent="0.25">
      <c r="A113" s="48">
        <v>10030897</v>
      </c>
    </row>
    <row r="114" spans="1:14" x14ac:dyDescent="0.25">
      <c r="A114" s="48">
        <v>324</v>
      </c>
    </row>
    <row r="115" spans="1:14" x14ac:dyDescent="0.25">
      <c r="A115" s="48">
        <v>3909</v>
      </c>
    </row>
    <row r="116" spans="1:14" x14ac:dyDescent="0.25">
      <c r="A116" s="48">
        <v>4663</v>
      </c>
    </row>
    <row r="117" spans="1:14" x14ac:dyDescent="0.25">
      <c r="A117" s="48">
        <v>1005522</v>
      </c>
    </row>
    <row r="118" spans="1:14" x14ac:dyDescent="0.25">
      <c r="A118" s="48">
        <v>1007631</v>
      </c>
    </row>
    <row r="119" spans="1:14" x14ac:dyDescent="0.25">
      <c r="A119" s="48">
        <v>1009760</v>
      </c>
    </row>
    <row r="120" spans="1:14" x14ac:dyDescent="0.25">
      <c r="A120" s="48">
        <v>2000646</v>
      </c>
      <c r="E120">
        <v>104</v>
      </c>
      <c r="F120">
        <v>94</v>
      </c>
      <c r="K120">
        <v>27</v>
      </c>
      <c r="L120">
        <v>37</v>
      </c>
      <c r="M120">
        <v>26</v>
      </c>
      <c r="N120">
        <v>73</v>
      </c>
    </row>
    <row r="121" spans="1:14" x14ac:dyDescent="0.25">
      <c r="A121" s="48">
        <v>2003761</v>
      </c>
    </row>
    <row r="122" spans="1:14" x14ac:dyDescent="0.25">
      <c r="A122" s="48">
        <v>2004061</v>
      </c>
    </row>
    <row r="123" spans="1:14" x14ac:dyDescent="0.25">
      <c r="A123" s="48">
        <v>2006469</v>
      </c>
    </row>
    <row r="124" spans="1:14" x14ac:dyDescent="0.25">
      <c r="A124" s="48">
        <v>3005132</v>
      </c>
    </row>
    <row r="125" spans="1:14" x14ac:dyDescent="0.25">
      <c r="A125" s="48">
        <v>3009119</v>
      </c>
    </row>
    <row r="126" spans="1:14" x14ac:dyDescent="0.25">
      <c r="A126" s="48">
        <v>3009936</v>
      </c>
    </row>
    <row r="127" spans="1:14" x14ac:dyDescent="0.25">
      <c r="A127" s="48">
        <v>3011094</v>
      </c>
    </row>
    <row r="128" spans="1:14" x14ac:dyDescent="0.25">
      <c r="A128" s="48">
        <v>3014643</v>
      </c>
    </row>
    <row r="129" spans="1:6" x14ac:dyDescent="0.25">
      <c r="A129" s="48">
        <v>3016056</v>
      </c>
    </row>
    <row r="130" spans="1:6" x14ac:dyDescent="0.25">
      <c r="A130" s="48">
        <v>3900219</v>
      </c>
    </row>
    <row r="131" spans="1:6" x14ac:dyDescent="0.25">
      <c r="A131" s="48">
        <v>4000158</v>
      </c>
    </row>
    <row r="132" spans="1:6" x14ac:dyDescent="0.25">
      <c r="A132" s="48">
        <v>4000304</v>
      </c>
    </row>
    <row r="133" spans="1:6" x14ac:dyDescent="0.25">
      <c r="A133" s="48">
        <v>4001905</v>
      </c>
    </row>
    <row r="134" spans="1:6" x14ac:dyDescent="0.25">
      <c r="A134" s="48">
        <v>4002206</v>
      </c>
    </row>
    <row r="135" spans="1:6" x14ac:dyDescent="0.25">
      <c r="A135" s="48">
        <v>4002715</v>
      </c>
    </row>
    <row r="136" spans="1:6" x14ac:dyDescent="0.25">
      <c r="A136" s="48">
        <v>4003924</v>
      </c>
    </row>
    <row r="137" spans="1:6" x14ac:dyDescent="0.25">
      <c r="A137" s="48">
        <v>4006051</v>
      </c>
    </row>
    <row r="138" spans="1:6" x14ac:dyDescent="0.25">
      <c r="A138" s="48">
        <v>4008140</v>
      </c>
    </row>
    <row r="139" spans="1:6" x14ac:dyDescent="0.25">
      <c r="A139" s="48">
        <v>4009906</v>
      </c>
    </row>
    <row r="140" spans="1:6" x14ac:dyDescent="0.25">
      <c r="A140" s="48">
        <v>4011027</v>
      </c>
    </row>
    <row r="141" spans="1:6" x14ac:dyDescent="0.25">
      <c r="A141" s="48">
        <v>4011920</v>
      </c>
    </row>
    <row r="142" spans="1:6" x14ac:dyDescent="0.25">
      <c r="A142" s="48">
        <v>4012248</v>
      </c>
    </row>
    <row r="143" spans="1:6" x14ac:dyDescent="0.25">
      <c r="A143" s="48">
        <v>4013603</v>
      </c>
    </row>
    <row r="144" spans="1:6" x14ac:dyDescent="0.25">
      <c r="A144" s="48">
        <v>5004654</v>
      </c>
      <c r="F144">
        <v>6.6</v>
      </c>
    </row>
    <row r="145" spans="1:6" x14ac:dyDescent="0.25">
      <c r="A145" s="52"/>
    </row>
    <row r="146" spans="1:6" x14ac:dyDescent="0.25">
      <c r="A146" s="50" t="s">
        <v>109</v>
      </c>
    </row>
    <row r="147" spans="1:6" x14ac:dyDescent="0.25">
      <c r="A147" s="48">
        <v>4289</v>
      </c>
      <c r="F147">
        <v>280</v>
      </c>
    </row>
    <row r="148" spans="1:6" x14ac:dyDescent="0.25">
      <c r="A148" s="48">
        <v>500245</v>
      </c>
    </row>
    <row r="149" spans="1:6" x14ac:dyDescent="0.25">
      <c r="A149" s="48">
        <v>2002573</v>
      </c>
    </row>
    <row r="150" spans="1:6" x14ac:dyDescent="0.25">
      <c r="A150" s="48">
        <v>2003539</v>
      </c>
    </row>
    <row r="151" spans="1:6" x14ac:dyDescent="0.25">
      <c r="A151" s="48">
        <v>2003649</v>
      </c>
    </row>
    <row r="152" spans="1:6" x14ac:dyDescent="0.25">
      <c r="A152" s="48">
        <v>2005572</v>
      </c>
    </row>
    <row r="153" spans="1:6" x14ac:dyDescent="0.25">
      <c r="A153" s="48">
        <v>2013117</v>
      </c>
    </row>
    <row r="154" spans="1:6" x14ac:dyDescent="0.25">
      <c r="A154" s="48">
        <v>3009633</v>
      </c>
    </row>
    <row r="155" spans="1:6" x14ac:dyDescent="0.25">
      <c r="A155" s="48">
        <v>3010583</v>
      </c>
    </row>
    <row r="156" spans="1:6" x14ac:dyDescent="0.25">
      <c r="A156" s="23">
        <v>3011892</v>
      </c>
    </row>
    <row r="157" spans="1:6" x14ac:dyDescent="0.25">
      <c r="A157">
        <v>4001382</v>
      </c>
    </row>
    <row r="158" spans="1:6" x14ac:dyDescent="0.25">
      <c r="A158" s="48">
        <v>5018675</v>
      </c>
    </row>
    <row r="159" spans="1:6" x14ac:dyDescent="0.25">
      <c r="A159" s="48">
        <v>6050168</v>
      </c>
    </row>
    <row r="160" spans="1:6" x14ac:dyDescent="0.25">
      <c r="A160" s="48">
        <v>5006592</v>
      </c>
    </row>
    <row r="161" spans="1:1" x14ac:dyDescent="0.25">
      <c r="A161" s="48">
        <v>5007274</v>
      </c>
    </row>
    <row r="162" spans="1:1" x14ac:dyDescent="0.25">
      <c r="A162" s="48">
        <v>5015851</v>
      </c>
    </row>
    <row r="163" spans="1:1" x14ac:dyDescent="0.25">
      <c r="A163" s="48">
        <v>6015647</v>
      </c>
    </row>
    <row r="164" spans="1:1" x14ac:dyDescent="0.25">
      <c r="A164" s="48">
        <v>6056633</v>
      </c>
    </row>
    <row r="165" spans="1:1" x14ac:dyDescent="0.25">
      <c r="A165" s="48">
        <v>7086224</v>
      </c>
    </row>
    <row r="166" spans="1:1" x14ac:dyDescent="0.25">
      <c r="A166" s="48">
        <v>8040959</v>
      </c>
    </row>
    <row r="167" spans="1:1" x14ac:dyDescent="0.25">
      <c r="A167" s="48">
        <v>8107048</v>
      </c>
    </row>
    <row r="168" spans="1:1" x14ac:dyDescent="0.25">
      <c r="A168" s="48">
        <v>8124044</v>
      </c>
    </row>
    <row r="169" spans="1:1" x14ac:dyDescent="0.25">
      <c r="A169" s="48">
        <v>8142949</v>
      </c>
    </row>
    <row r="170" spans="1:1" x14ac:dyDescent="0.25">
      <c r="A170" s="48">
        <v>9023306</v>
      </c>
    </row>
    <row r="171" spans="1:1" x14ac:dyDescent="0.25">
      <c r="A171" s="48">
        <v>9030615</v>
      </c>
    </row>
    <row r="172" spans="1:1" x14ac:dyDescent="0.25">
      <c r="A172" s="48">
        <v>9034464</v>
      </c>
    </row>
    <row r="173" spans="1:1" x14ac:dyDescent="0.25">
      <c r="A173" s="48">
        <v>9040167</v>
      </c>
    </row>
    <row r="174" spans="1:1" x14ac:dyDescent="0.25">
      <c r="A174" s="48">
        <v>9054567</v>
      </c>
    </row>
    <row r="175" spans="1:1" x14ac:dyDescent="0.25">
      <c r="A175" s="48">
        <v>9083682</v>
      </c>
    </row>
    <row r="176" spans="1:1" x14ac:dyDescent="0.25">
      <c r="A176" s="48">
        <v>9102044</v>
      </c>
    </row>
    <row r="177" spans="1:1" x14ac:dyDescent="0.25">
      <c r="A177" s="48">
        <v>9119854</v>
      </c>
    </row>
    <row r="178" spans="1:1" x14ac:dyDescent="0.25">
      <c r="A178" s="48">
        <v>9125126</v>
      </c>
    </row>
    <row r="179" spans="1:1" x14ac:dyDescent="0.25">
      <c r="A179" s="48">
        <v>9174811</v>
      </c>
    </row>
    <row r="180" spans="1:1" x14ac:dyDescent="0.25">
      <c r="A180" s="48">
        <v>10002875</v>
      </c>
    </row>
    <row r="181" spans="1:1" x14ac:dyDescent="0.25">
      <c r="A181" s="48">
        <v>10023080</v>
      </c>
    </row>
    <row r="182" spans="1:1" x14ac:dyDescent="0.25">
      <c r="A182" s="48">
        <v>10025212</v>
      </c>
    </row>
    <row r="183" spans="1:1" x14ac:dyDescent="0.25">
      <c r="A183" s="48">
        <v>10069407</v>
      </c>
    </row>
    <row r="184" spans="1:1" x14ac:dyDescent="0.25">
      <c r="A184" s="48">
        <v>10071135</v>
      </c>
    </row>
    <row r="185" spans="1:1" x14ac:dyDescent="0.25">
      <c r="A185" s="48">
        <v>10083649</v>
      </c>
    </row>
    <row r="186" spans="1:1" x14ac:dyDescent="0.25">
      <c r="A186" s="48">
        <v>10102021</v>
      </c>
    </row>
    <row r="187" spans="1:1" x14ac:dyDescent="0.25">
      <c r="A187" s="48">
        <v>10123729</v>
      </c>
    </row>
    <row r="188" spans="1:1" x14ac:dyDescent="0.25">
      <c r="A188" s="48">
        <v>10144736</v>
      </c>
    </row>
    <row r="189" spans="1:1" x14ac:dyDescent="0.25">
      <c r="A189" s="48">
        <v>10157275</v>
      </c>
    </row>
    <row r="190" spans="1:1" x14ac:dyDescent="0.25">
      <c r="A190" s="52"/>
    </row>
    <row r="191" spans="1:1" x14ac:dyDescent="0.25">
      <c r="A191" s="50" t="s">
        <v>83</v>
      </c>
    </row>
    <row r="192" spans="1:1" x14ac:dyDescent="0.25">
      <c r="A192" s="48">
        <v>5281</v>
      </c>
    </row>
    <row r="193" spans="1:1" x14ac:dyDescent="0.25">
      <c r="A193" s="48">
        <v>200085</v>
      </c>
    </row>
    <row r="194" spans="1:1" x14ac:dyDescent="0.25">
      <c r="A194" s="48">
        <v>500129</v>
      </c>
    </row>
    <row r="195" spans="1:1" x14ac:dyDescent="0.25">
      <c r="A195" s="51">
        <v>1002033</v>
      </c>
    </row>
    <row r="196" spans="1:1" x14ac:dyDescent="0.25">
      <c r="A196" s="48">
        <v>1003457</v>
      </c>
    </row>
    <row r="197" spans="1:1" x14ac:dyDescent="0.25">
      <c r="A197" s="48">
        <v>2005223</v>
      </c>
    </row>
    <row r="198" spans="1:1" x14ac:dyDescent="0.25">
      <c r="A198" s="48">
        <v>2006107</v>
      </c>
    </row>
    <row r="199" spans="1:1" x14ac:dyDescent="0.25">
      <c r="A199" s="48">
        <v>2012014</v>
      </c>
    </row>
    <row r="200" spans="1:1" x14ac:dyDescent="0.25">
      <c r="A200" s="48">
        <v>3000152</v>
      </c>
    </row>
    <row r="201" spans="1:1" x14ac:dyDescent="0.25">
      <c r="A201" s="48">
        <v>3014566</v>
      </c>
    </row>
    <row r="202" spans="1:1" x14ac:dyDescent="0.25">
      <c r="A202" s="48">
        <v>3015058</v>
      </c>
    </row>
    <row r="203" spans="1:1" x14ac:dyDescent="0.25">
      <c r="A203" s="51">
        <v>4000996</v>
      </c>
    </row>
    <row r="204" spans="1:1" x14ac:dyDescent="0.25">
      <c r="A204" s="48">
        <v>4003768</v>
      </c>
    </row>
    <row r="205" spans="1:1" x14ac:dyDescent="0.25">
      <c r="A205" s="48">
        <v>4006540</v>
      </c>
    </row>
    <row r="206" spans="1:1" x14ac:dyDescent="0.25">
      <c r="A206" s="48">
        <v>4007054</v>
      </c>
    </row>
    <row r="207" spans="1:1" x14ac:dyDescent="0.25">
      <c r="A207" s="48">
        <v>4011002</v>
      </c>
    </row>
    <row r="208" spans="1:1" x14ac:dyDescent="0.25">
      <c r="A208" s="48">
        <v>4900268</v>
      </c>
    </row>
    <row r="209" spans="1:9" x14ac:dyDescent="0.25">
      <c r="A209" s="48">
        <v>5001097</v>
      </c>
    </row>
    <row r="210" spans="1:9" x14ac:dyDescent="0.25">
      <c r="A210" s="48">
        <v>5001098</v>
      </c>
    </row>
    <row r="211" spans="1:9" x14ac:dyDescent="0.25">
      <c r="A211" s="48">
        <v>5006152</v>
      </c>
    </row>
    <row r="212" spans="1:9" x14ac:dyDescent="0.25">
      <c r="A212" s="48">
        <v>6012361</v>
      </c>
    </row>
    <row r="213" spans="1:9" x14ac:dyDescent="0.25">
      <c r="A213" s="48">
        <v>6015793</v>
      </c>
    </row>
    <row r="214" spans="1:9" x14ac:dyDescent="0.25">
      <c r="A214" s="48">
        <v>6043619</v>
      </c>
    </row>
    <row r="215" spans="1:9" x14ac:dyDescent="0.25">
      <c r="A215" s="48">
        <v>7001097</v>
      </c>
    </row>
    <row r="216" spans="1:9" x14ac:dyDescent="0.25">
      <c r="A216" s="48">
        <v>7011435</v>
      </c>
    </row>
    <row r="217" spans="1:9" x14ac:dyDescent="0.25">
      <c r="A217" s="48">
        <v>7045811</v>
      </c>
      <c r="I217">
        <v>34.799999999999997</v>
      </c>
    </row>
    <row r="218" spans="1:9" x14ac:dyDescent="0.25">
      <c r="A218" s="48">
        <v>7071198</v>
      </c>
    </row>
    <row r="219" spans="1:9" x14ac:dyDescent="0.25">
      <c r="A219" s="48">
        <v>7101143</v>
      </c>
    </row>
    <row r="220" spans="1:9" x14ac:dyDescent="0.25">
      <c r="A220" s="48">
        <v>8073350</v>
      </c>
    </row>
    <row r="221" spans="1:9" x14ac:dyDescent="0.25">
      <c r="A221" s="48">
        <v>8073645</v>
      </c>
    </row>
    <row r="222" spans="1:9" x14ac:dyDescent="0.25">
      <c r="A222" s="51">
        <v>8089666</v>
      </c>
    </row>
    <row r="223" spans="1:9" x14ac:dyDescent="0.25">
      <c r="A223" s="48">
        <v>8103536</v>
      </c>
    </row>
    <row r="224" spans="1:9" x14ac:dyDescent="0.25">
      <c r="A224" s="48">
        <v>8124816</v>
      </c>
    </row>
    <row r="225" spans="1:1" x14ac:dyDescent="0.25">
      <c r="A225" s="48">
        <v>9003267</v>
      </c>
    </row>
    <row r="226" spans="1:1" x14ac:dyDescent="0.25">
      <c r="A226" s="48">
        <v>9036964</v>
      </c>
    </row>
    <row r="227" spans="1:1" x14ac:dyDescent="0.25">
      <c r="A227" s="48">
        <v>9090287</v>
      </c>
    </row>
    <row r="228" spans="1:1" x14ac:dyDescent="0.25">
      <c r="A228" s="48">
        <v>9095148</v>
      </c>
    </row>
    <row r="229" spans="1:1" x14ac:dyDescent="0.25">
      <c r="A229" s="48">
        <v>9104979</v>
      </c>
    </row>
    <row r="230" spans="1:1" x14ac:dyDescent="0.25">
      <c r="A230" s="48">
        <v>9139514</v>
      </c>
    </row>
    <row r="231" spans="1:1" x14ac:dyDescent="0.25">
      <c r="A231" s="48">
        <v>10020659</v>
      </c>
    </row>
    <row r="232" spans="1:1" x14ac:dyDescent="0.25">
      <c r="A232" s="48">
        <v>10025902</v>
      </c>
    </row>
    <row r="233" spans="1:1" x14ac:dyDescent="0.25">
      <c r="A233" s="48">
        <v>10027654</v>
      </c>
    </row>
    <row r="234" spans="1:1" x14ac:dyDescent="0.25">
      <c r="A234" s="48">
        <v>10084485</v>
      </c>
    </row>
    <row r="235" spans="1:1" x14ac:dyDescent="0.25">
      <c r="A235" s="48">
        <v>10098420</v>
      </c>
    </row>
    <row r="236" spans="1:1" x14ac:dyDescent="0.25">
      <c r="A236" s="48">
        <v>10129565</v>
      </c>
    </row>
    <row r="237" spans="1:1" x14ac:dyDescent="0.25">
      <c r="A237" s="48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1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7A8E-3271-4DBE-A2F6-9B9F7571104D}">
  <dimension ref="A1:D6"/>
  <sheetViews>
    <sheetView workbookViewId="0">
      <selection activeCell="D9" sqref="D9"/>
    </sheetView>
  </sheetViews>
  <sheetFormatPr baseColWidth="10" defaultRowHeight="15" x14ac:dyDescent="0.25"/>
  <cols>
    <col min="1" max="1" width="17.28515625" bestFit="1" customWidth="1"/>
    <col min="2" max="2" width="9.2851562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1913</v>
      </c>
      <c r="C1" s="62" t="s">
        <v>1914</v>
      </c>
      <c r="D1" s="62" t="s">
        <v>1873</v>
      </c>
    </row>
    <row r="2" spans="1:4" x14ac:dyDescent="0.25">
      <c r="A2" s="62">
        <v>4900261</v>
      </c>
      <c r="B2" s="62" t="s">
        <v>1913</v>
      </c>
      <c r="C2" s="62" t="s">
        <v>1915</v>
      </c>
      <c r="D2" s="62">
        <v>6</v>
      </c>
    </row>
    <row r="3" spans="1:4" x14ac:dyDescent="0.25">
      <c r="A3" s="62">
        <v>2000646</v>
      </c>
      <c r="B3" s="62" t="s">
        <v>1913</v>
      </c>
      <c r="C3" s="62" t="s">
        <v>1916</v>
      </c>
      <c r="D3" s="62">
        <v>6</v>
      </c>
    </row>
    <row r="4" spans="1:4" x14ac:dyDescent="0.25">
      <c r="A4" s="62">
        <v>5004654</v>
      </c>
      <c r="B4" s="62" t="s">
        <v>1913</v>
      </c>
      <c r="C4" s="62" t="s">
        <v>1032</v>
      </c>
      <c r="D4" s="62">
        <v>1</v>
      </c>
    </row>
    <row r="5" spans="1:4" x14ac:dyDescent="0.25">
      <c r="A5" s="62">
        <v>4289</v>
      </c>
      <c r="B5" s="62" t="s">
        <v>1913</v>
      </c>
      <c r="C5" s="62" t="s">
        <v>1032</v>
      </c>
      <c r="D5" s="62">
        <v>1</v>
      </c>
    </row>
    <row r="6" spans="1:4" x14ac:dyDescent="0.25">
      <c r="A6" s="62">
        <v>7045811</v>
      </c>
      <c r="B6" s="62" t="s">
        <v>1913</v>
      </c>
      <c r="C6" s="62" t="s">
        <v>1034</v>
      </c>
      <c r="D6" s="62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01AF-16E5-417A-A44C-F1BEDE1CA04A}">
  <dimension ref="A1:AL239"/>
  <sheetViews>
    <sheetView workbookViewId="0">
      <selection activeCell="C10" sqref="C10"/>
    </sheetView>
  </sheetViews>
  <sheetFormatPr baseColWidth="10" defaultRowHeight="15" x14ac:dyDescent="0.25"/>
  <cols>
    <col min="1" max="1" width="17.140625" customWidth="1"/>
    <col min="2" max="3" width="34.7109375" customWidth="1"/>
    <col min="4" max="4" width="38.140625" customWidth="1"/>
    <col min="5" max="8" width="33.7109375" customWidth="1"/>
    <col min="9" max="9" width="32.5703125" customWidth="1"/>
    <col min="10" max="10" width="28.140625" customWidth="1"/>
    <col min="11" max="11" width="26.7109375" customWidth="1"/>
    <col min="15" max="15" width="14.85546875" customWidth="1"/>
    <col min="18" max="19" width="13.5703125" customWidth="1"/>
    <col min="20" max="20" width="17.42578125" customWidth="1"/>
    <col min="21" max="25" width="13.5703125" customWidth="1"/>
    <col min="26" max="26" width="17.42578125" customWidth="1"/>
    <col min="27" max="29" width="13.5703125" customWidth="1"/>
    <col min="30" max="30" width="17.42578125" customWidth="1"/>
    <col min="31" max="38" width="16.28515625" customWidth="1"/>
  </cols>
  <sheetData>
    <row r="1" spans="1:38" ht="60" x14ac:dyDescent="0.25">
      <c r="A1" s="57" t="s">
        <v>43</v>
      </c>
      <c r="B1" s="66" t="s">
        <v>1794</v>
      </c>
      <c r="C1" s="66" t="s">
        <v>1431</v>
      </c>
      <c r="D1" s="66" t="s">
        <v>1050</v>
      </c>
      <c r="E1" s="66" t="s">
        <v>1402</v>
      </c>
      <c r="F1" s="66" t="s">
        <v>1420</v>
      </c>
      <c r="G1" s="66" t="s">
        <v>1763</v>
      </c>
      <c r="H1" s="66" t="s">
        <v>929</v>
      </c>
      <c r="I1" s="66" t="s">
        <v>1705</v>
      </c>
      <c r="J1" s="66" t="s">
        <v>1051</v>
      </c>
      <c r="K1" s="59" t="s">
        <v>995</v>
      </c>
      <c r="L1" s="58" t="s">
        <v>4</v>
      </c>
      <c r="M1" s="58" t="s">
        <v>5</v>
      </c>
      <c r="N1" s="58" t="s">
        <v>782</v>
      </c>
      <c r="O1" s="58" t="s">
        <v>1044</v>
      </c>
      <c r="P1" s="58" t="s">
        <v>6</v>
      </c>
      <c r="Q1" s="58" t="s">
        <v>994</v>
      </c>
      <c r="R1" s="58" t="s">
        <v>973</v>
      </c>
      <c r="S1" s="58" t="s">
        <v>916</v>
      </c>
      <c r="T1" s="58" t="s">
        <v>1045</v>
      </c>
      <c r="U1" s="58" t="s">
        <v>917</v>
      </c>
      <c r="V1" s="58" t="s">
        <v>1339</v>
      </c>
      <c r="W1" s="58" t="s">
        <v>1355</v>
      </c>
      <c r="X1" s="58" t="s">
        <v>1018</v>
      </c>
      <c r="Y1" s="58" t="s">
        <v>893</v>
      </c>
      <c r="Z1" s="58" t="s">
        <v>1046</v>
      </c>
      <c r="AA1" s="58" t="s">
        <v>786</v>
      </c>
      <c r="AB1" s="58" t="s">
        <v>769</v>
      </c>
      <c r="AC1" s="58" t="s">
        <v>777</v>
      </c>
      <c r="AD1" s="58" t="s">
        <v>1047</v>
      </c>
      <c r="AE1" s="58" t="s">
        <v>1356</v>
      </c>
      <c r="AF1" s="58" t="s">
        <v>1535</v>
      </c>
      <c r="AG1" s="58" t="s">
        <v>1536</v>
      </c>
      <c r="AH1" s="58" t="s">
        <v>1715</v>
      </c>
      <c r="AI1" s="58" t="s">
        <v>1730</v>
      </c>
      <c r="AJ1" s="58" t="s">
        <v>1537</v>
      </c>
      <c r="AK1" s="58" t="s">
        <v>934</v>
      </c>
      <c r="AL1" s="58" t="s">
        <v>1538</v>
      </c>
    </row>
    <row r="2" spans="1:38" x14ac:dyDescent="0.25">
      <c r="A2" s="40" t="s">
        <v>512</v>
      </c>
    </row>
    <row r="3" spans="1:38" x14ac:dyDescent="0.25">
      <c r="A3" s="10" t="s">
        <v>1868</v>
      </c>
      <c r="B3" s="7"/>
      <c r="C3" s="7"/>
      <c r="D3" s="7"/>
      <c r="E3" s="7"/>
      <c r="F3" s="7"/>
      <c r="G3" s="7"/>
      <c r="H3" s="7"/>
      <c r="I3" s="7"/>
      <c r="J3" s="7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x14ac:dyDescent="0.25">
      <c r="A4" s="48">
        <v>7072184</v>
      </c>
      <c r="B4" s="7"/>
      <c r="C4" s="7"/>
      <c r="D4" s="7"/>
      <c r="E4" s="7"/>
      <c r="F4" s="7"/>
      <c r="G4" s="7"/>
      <c r="H4" s="7"/>
      <c r="I4" s="7"/>
      <c r="J4" s="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x14ac:dyDescent="0.25">
      <c r="A5" s="48">
        <v>9108231</v>
      </c>
      <c r="B5" s="7"/>
      <c r="C5" s="7"/>
      <c r="D5" s="7"/>
      <c r="E5" s="7"/>
      <c r="F5" s="7"/>
      <c r="G5" s="7"/>
      <c r="H5" s="7"/>
      <c r="I5" s="7"/>
      <c r="J5" s="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 x14ac:dyDescent="0.25">
      <c r="A6" s="48">
        <v>12061933</v>
      </c>
      <c r="B6" s="7"/>
      <c r="C6" s="7"/>
      <c r="D6" s="7"/>
      <c r="E6" s="7"/>
      <c r="F6" s="7"/>
      <c r="G6" s="7"/>
      <c r="H6" s="7"/>
      <c r="I6" s="7"/>
      <c r="J6" s="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spans="1:38" x14ac:dyDescent="0.25">
      <c r="A7" s="48">
        <v>95005911</v>
      </c>
    </row>
    <row r="8" spans="1:38" x14ac:dyDescent="0.25">
      <c r="A8" s="48">
        <v>99001908</v>
      </c>
    </row>
    <row r="9" spans="1:38" x14ac:dyDescent="0.25">
      <c r="A9" s="48">
        <v>99004067</v>
      </c>
    </row>
    <row r="10" spans="1:38" x14ac:dyDescent="0.25">
      <c r="A10" s="48">
        <v>97002136</v>
      </c>
    </row>
    <row r="11" spans="1:38" x14ac:dyDescent="0.25">
      <c r="A11" s="48">
        <v>1502</v>
      </c>
      <c r="B11" s="7"/>
      <c r="C11" s="7"/>
      <c r="D11" s="7"/>
      <c r="E11" s="7"/>
      <c r="F11" s="7"/>
      <c r="G11" s="7"/>
      <c r="H11" s="7"/>
      <c r="I11" s="7"/>
      <c r="J11" s="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 spans="1:38" x14ac:dyDescent="0.25">
      <c r="A12" s="48">
        <v>4003543</v>
      </c>
      <c r="B12" s="7"/>
      <c r="C12" s="7"/>
      <c r="D12" s="7"/>
      <c r="E12" s="7"/>
      <c r="F12" s="7"/>
      <c r="G12" s="7"/>
      <c r="H12" s="7"/>
      <c r="I12" s="7"/>
      <c r="J12" s="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x14ac:dyDescent="0.25">
      <c r="A13" s="48">
        <v>4900261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 x14ac:dyDescent="0.25">
      <c r="A14" s="48"/>
    </row>
    <row r="15" spans="1:38" x14ac:dyDescent="0.25">
      <c r="A15" s="50" t="s">
        <v>1869</v>
      </c>
      <c r="B15" s="7"/>
      <c r="C15" s="7"/>
      <c r="D15" s="7"/>
      <c r="E15" s="7"/>
      <c r="F15" s="7"/>
      <c r="G15" s="7"/>
      <c r="H15" s="7"/>
      <c r="I15" s="7"/>
      <c r="J15" s="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1:38" x14ac:dyDescent="0.25">
      <c r="A16" s="48">
        <v>14242856</v>
      </c>
      <c r="B16" s="7"/>
      <c r="C16" s="7"/>
      <c r="D16" s="7"/>
      <c r="E16" s="7"/>
      <c r="F16" s="7"/>
      <c r="G16" s="7"/>
      <c r="H16" s="7"/>
      <c r="I16" s="7"/>
      <c r="J16" s="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1:38" x14ac:dyDescent="0.25">
      <c r="A17" s="48">
        <v>99001183</v>
      </c>
      <c r="B17" s="7"/>
      <c r="C17" s="7"/>
      <c r="D17" s="7"/>
      <c r="E17" s="7"/>
      <c r="F17" s="7"/>
      <c r="G17" s="7"/>
      <c r="H17" s="7"/>
      <c r="I17" s="7"/>
      <c r="J17" s="7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spans="1:38" x14ac:dyDescent="0.25">
      <c r="A18" s="48">
        <v>3000983</v>
      </c>
      <c r="B18" s="7"/>
      <c r="C18" s="7"/>
      <c r="D18" s="7"/>
      <c r="E18" s="7"/>
      <c r="F18" s="7"/>
      <c r="G18" s="7"/>
      <c r="H18" s="7"/>
      <c r="I18" s="7"/>
      <c r="J18" s="7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spans="1:38" x14ac:dyDescent="0.25">
      <c r="A19" s="48">
        <v>10064335</v>
      </c>
      <c r="B19" s="7"/>
      <c r="C19" s="7"/>
      <c r="D19" s="7"/>
      <c r="E19" s="7"/>
      <c r="F19" s="7"/>
      <c r="G19" s="7"/>
      <c r="H19" s="7"/>
      <c r="I19" s="7"/>
      <c r="J19" s="7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38" x14ac:dyDescent="0.25">
      <c r="A20" s="49"/>
      <c r="B20" s="7"/>
      <c r="C20" s="7"/>
      <c r="D20" s="7"/>
      <c r="E20" s="7"/>
      <c r="F20" s="7"/>
      <c r="G20" s="7"/>
      <c r="H20" s="7"/>
      <c r="I20" s="7"/>
      <c r="J20" s="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38" x14ac:dyDescent="0.25">
      <c r="A21" s="50" t="s">
        <v>1870</v>
      </c>
      <c r="B21" s="7"/>
      <c r="C21" s="7"/>
      <c r="D21" s="7"/>
      <c r="E21" s="7"/>
      <c r="F21" s="7"/>
      <c r="G21" s="7"/>
      <c r="H21" s="7"/>
      <c r="I21" s="7"/>
      <c r="J21" s="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x14ac:dyDescent="0.25">
      <c r="A22" s="48">
        <v>1480</v>
      </c>
    </row>
    <row r="23" spans="1:38" x14ac:dyDescent="0.25">
      <c r="A23" s="48">
        <v>7063959</v>
      </c>
      <c r="B23" s="7"/>
      <c r="C23" s="7"/>
      <c r="D23" s="7"/>
      <c r="E23" s="7"/>
      <c r="F23" s="7"/>
      <c r="G23" s="7"/>
      <c r="H23" s="7"/>
      <c r="I23" s="7"/>
      <c r="J23" s="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 x14ac:dyDescent="0.25">
      <c r="A24" s="48">
        <v>1003215</v>
      </c>
      <c r="B24" s="7"/>
      <c r="C24" s="7"/>
      <c r="D24" s="7"/>
      <c r="E24" s="7"/>
      <c r="F24" s="7"/>
      <c r="G24" s="7"/>
      <c r="H24" s="7"/>
      <c r="I24" s="7"/>
      <c r="J24" s="7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 x14ac:dyDescent="0.25">
      <c r="A25" s="48">
        <v>99000802</v>
      </c>
      <c r="B25" s="7"/>
      <c r="C25" s="7"/>
      <c r="D25" s="7"/>
      <c r="E25" s="7"/>
      <c r="F25" s="7"/>
      <c r="G25" s="7"/>
      <c r="H25" s="7"/>
      <c r="I25" s="7"/>
      <c r="J25" s="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 x14ac:dyDescent="0.25">
      <c r="A26" s="48">
        <v>99000892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 x14ac:dyDescent="0.25">
      <c r="A27" s="48">
        <v>1000192</v>
      </c>
      <c r="B27" s="7"/>
      <c r="C27" s="7"/>
      <c r="D27" s="7"/>
      <c r="E27" s="7"/>
      <c r="F27" s="7"/>
      <c r="G27" s="7"/>
      <c r="H27" s="7"/>
      <c r="I27" s="7"/>
      <c r="J27" s="7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 x14ac:dyDescent="0.25">
      <c r="A28" s="48">
        <v>1506</v>
      </c>
      <c r="B28" s="7"/>
      <c r="C28" s="7"/>
      <c r="D28" s="7"/>
      <c r="E28" s="7"/>
      <c r="F28" s="7"/>
      <c r="G28" s="7"/>
      <c r="H28" s="7"/>
      <c r="I28" s="7"/>
      <c r="J28" s="7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 x14ac:dyDescent="0.25">
      <c r="A29" s="48">
        <v>99000894</v>
      </c>
      <c r="B29" s="7"/>
      <c r="C29" s="7"/>
      <c r="D29" s="7"/>
      <c r="E29" s="7"/>
      <c r="F29" s="7"/>
      <c r="G29" s="7"/>
      <c r="H29" s="7"/>
      <c r="I29" s="7"/>
      <c r="J29" s="7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x14ac:dyDescent="0.25">
      <c r="A30" s="48">
        <v>99000897</v>
      </c>
    </row>
    <row r="31" spans="1:38" x14ac:dyDescent="0.25">
      <c r="A31" s="48">
        <v>99001245</v>
      </c>
    </row>
    <row r="32" spans="1:38" x14ac:dyDescent="0.25">
      <c r="A32" s="48">
        <v>99001902</v>
      </c>
    </row>
    <row r="33" spans="1:38" x14ac:dyDescent="0.25">
      <c r="A33" s="48">
        <v>99001912</v>
      </c>
    </row>
    <row r="34" spans="1:38" x14ac:dyDescent="0.25">
      <c r="A34" s="48">
        <v>99001913</v>
      </c>
    </row>
    <row r="35" spans="1:38" x14ac:dyDescent="0.25">
      <c r="A35" s="48">
        <v>99001937</v>
      </c>
    </row>
    <row r="36" spans="1:38" x14ac:dyDescent="0.25">
      <c r="A36" s="48">
        <v>99001943</v>
      </c>
    </row>
    <row r="37" spans="1:38" x14ac:dyDescent="0.25">
      <c r="A37" s="48">
        <v>99001927</v>
      </c>
    </row>
    <row r="38" spans="1:38" x14ac:dyDescent="0.25">
      <c r="A38" s="48">
        <v>1505</v>
      </c>
      <c r="B38" s="7"/>
      <c r="C38" s="7"/>
      <c r="D38" s="7"/>
      <c r="E38" s="7"/>
      <c r="F38" s="7"/>
      <c r="G38" s="7"/>
      <c r="H38" s="7"/>
      <c r="I38" s="7"/>
      <c r="J38" s="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spans="1:38" x14ac:dyDescent="0.25">
      <c r="A39" s="48">
        <v>1000197</v>
      </c>
      <c r="B39" s="7"/>
      <c r="C39" s="7"/>
      <c r="D39" s="7"/>
      <c r="E39" s="7"/>
      <c r="F39" s="7"/>
      <c r="G39" s="7"/>
      <c r="H39" s="7"/>
      <c r="I39" s="7"/>
      <c r="J39" s="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spans="1:38" x14ac:dyDescent="0.25">
      <c r="A40" s="48">
        <v>96018835</v>
      </c>
      <c r="B40" s="7"/>
      <c r="C40" s="7"/>
      <c r="D40" s="7"/>
      <c r="E40" s="7"/>
      <c r="F40" s="7"/>
      <c r="G40" s="7"/>
      <c r="H40" s="7"/>
      <c r="I40" s="7"/>
      <c r="J40" s="7"/>
      <c r="K40" s="6"/>
      <c r="L40">
        <v>67</v>
      </c>
      <c r="M40">
        <v>82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spans="1:38" x14ac:dyDescent="0.25">
      <c r="A41" s="48">
        <v>98008326</v>
      </c>
      <c r="B41" s="7"/>
      <c r="C41" s="7"/>
      <c r="D41" s="7"/>
      <c r="E41" s="7"/>
      <c r="F41" s="7"/>
      <c r="G41" s="7"/>
      <c r="H41" s="7"/>
      <c r="I41" s="7"/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spans="1:38" x14ac:dyDescent="0.25">
      <c r="A42" s="48">
        <v>99000717</v>
      </c>
      <c r="B42" s="7"/>
      <c r="C42" s="7"/>
      <c r="D42" s="7"/>
      <c r="E42" s="7"/>
      <c r="F42" s="7"/>
      <c r="G42" s="7"/>
      <c r="H42" s="7"/>
      <c r="I42" s="7"/>
      <c r="J42" s="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 x14ac:dyDescent="0.25">
      <c r="A43" s="48"/>
      <c r="B43" s="7"/>
      <c r="C43" s="7"/>
      <c r="D43" s="7"/>
      <c r="E43" s="7"/>
      <c r="F43" s="7"/>
      <c r="G43" s="7"/>
      <c r="H43" s="7"/>
      <c r="I43" s="7"/>
      <c r="J43" s="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spans="1:38" x14ac:dyDescent="0.25">
      <c r="A44" s="25" t="s">
        <v>129</v>
      </c>
    </row>
    <row r="45" spans="1:38" x14ac:dyDescent="0.25">
      <c r="A45" s="50" t="s">
        <v>106</v>
      </c>
    </row>
    <row r="46" spans="1:38" x14ac:dyDescent="0.25">
      <c r="A46" s="48">
        <v>6016435</v>
      </c>
      <c r="L46">
        <v>43</v>
      </c>
    </row>
    <row r="47" spans="1:38" x14ac:dyDescent="0.25">
      <c r="A47" s="48">
        <v>8045149</v>
      </c>
    </row>
    <row r="48" spans="1:38" x14ac:dyDescent="0.25">
      <c r="A48" s="48">
        <v>10023001</v>
      </c>
      <c r="J48">
        <v>24</v>
      </c>
    </row>
    <row r="49" spans="1:18" x14ac:dyDescent="0.25">
      <c r="A49" s="48">
        <v>10027526</v>
      </c>
    </row>
    <row r="50" spans="1:18" x14ac:dyDescent="0.25">
      <c r="A50" s="48">
        <v>14222171</v>
      </c>
    </row>
    <row r="51" spans="1:18" x14ac:dyDescent="0.25">
      <c r="A51" s="48">
        <v>1006143</v>
      </c>
    </row>
    <row r="52" spans="1:18" x14ac:dyDescent="0.25">
      <c r="A52" s="48">
        <v>6006917</v>
      </c>
    </row>
    <row r="53" spans="1:18" x14ac:dyDescent="0.25">
      <c r="A53" s="48"/>
    </row>
    <row r="54" spans="1:18" x14ac:dyDescent="0.25">
      <c r="A54" s="50" t="s">
        <v>109</v>
      </c>
    </row>
    <row r="55" spans="1:18" x14ac:dyDescent="0.25">
      <c r="A55" s="48">
        <v>8057159</v>
      </c>
    </row>
    <row r="56" spans="1:18" x14ac:dyDescent="0.25">
      <c r="A56" s="48">
        <v>9140312</v>
      </c>
    </row>
    <row r="57" spans="1:18" x14ac:dyDescent="0.25">
      <c r="A57" s="48">
        <v>12008230</v>
      </c>
    </row>
    <row r="58" spans="1:18" x14ac:dyDescent="0.25">
      <c r="A58" s="48">
        <v>12088444</v>
      </c>
    </row>
    <row r="59" spans="1:18" x14ac:dyDescent="0.25">
      <c r="A59" s="48">
        <v>13118872</v>
      </c>
    </row>
    <row r="60" spans="1:18" x14ac:dyDescent="0.25">
      <c r="A60" s="48">
        <v>12012030</v>
      </c>
    </row>
    <row r="61" spans="1:18" x14ac:dyDescent="0.25">
      <c r="A61" s="48"/>
    </row>
    <row r="62" spans="1:18" x14ac:dyDescent="0.25">
      <c r="A62" s="50" t="s">
        <v>83</v>
      </c>
    </row>
    <row r="63" spans="1:18" x14ac:dyDescent="0.25">
      <c r="A63" s="48">
        <v>9074418</v>
      </c>
    </row>
    <row r="64" spans="1:18" x14ac:dyDescent="0.25">
      <c r="A64" s="48">
        <v>1263</v>
      </c>
      <c r="K64">
        <v>5</v>
      </c>
      <c r="M64">
        <v>20</v>
      </c>
      <c r="P64">
        <v>75</v>
      </c>
      <c r="R64">
        <v>74</v>
      </c>
    </row>
    <row r="65" spans="1:38" x14ac:dyDescent="0.25">
      <c r="A65" s="48">
        <v>98004910</v>
      </c>
    </row>
    <row r="66" spans="1:38" x14ac:dyDescent="0.25">
      <c r="A66" s="48">
        <v>7103068</v>
      </c>
      <c r="J66">
        <v>29</v>
      </c>
    </row>
    <row r="67" spans="1:38" x14ac:dyDescent="0.25">
      <c r="A67" s="48">
        <v>11240728</v>
      </c>
    </row>
    <row r="68" spans="1:38" x14ac:dyDescent="0.25">
      <c r="B68" s="7"/>
      <c r="C68" s="7"/>
      <c r="D68" s="7"/>
      <c r="E68" s="7"/>
      <c r="F68" s="7"/>
      <c r="G68" s="7"/>
      <c r="H68" s="7"/>
      <c r="I68" s="7"/>
      <c r="J68" s="7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spans="1:38" x14ac:dyDescent="0.25">
      <c r="A69" s="26" t="s">
        <v>130</v>
      </c>
    </row>
    <row r="70" spans="1:38" x14ac:dyDescent="0.25">
      <c r="A70" s="10" t="s">
        <v>106</v>
      </c>
    </row>
    <row r="71" spans="1:38" x14ac:dyDescent="0.25">
      <c r="A71" s="48">
        <v>5015869</v>
      </c>
    </row>
    <row r="72" spans="1:38" x14ac:dyDescent="0.25">
      <c r="A72" s="48">
        <v>5016969</v>
      </c>
      <c r="K72">
        <v>12</v>
      </c>
    </row>
    <row r="73" spans="1:38" x14ac:dyDescent="0.25">
      <c r="A73" s="48">
        <v>6023231</v>
      </c>
    </row>
    <row r="74" spans="1:38" x14ac:dyDescent="0.25">
      <c r="A74" s="48">
        <v>6010712</v>
      </c>
    </row>
    <row r="75" spans="1:38" x14ac:dyDescent="0.25">
      <c r="A75" s="48">
        <v>6011198</v>
      </c>
    </row>
    <row r="76" spans="1:38" x14ac:dyDescent="0.25">
      <c r="A76" s="48">
        <v>6012681</v>
      </c>
    </row>
    <row r="77" spans="1:38" x14ac:dyDescent="0.25">
      <c r="A77" s="48">
        <v>6014511</v>
      </c>
    </row>
    <row r="78" spans="1:38" x14ac:dyDescent="0.25">
      <c r="A78" s="48">
        <v>6045127</v>
      </c>
    </row>
    <row r="79" spans="1:38" x14ac:dyDescent="0.25">
      <c r="A79" s="48">
        <v>7000458</v>
      </c>
    </row>
    <row r="80" spans="1:38" x14ac:dyDescent="0.25">
      <c r="A80" s="48">
        <v>7015502</v>
      </c>
    </row>
    <row r="81" spans="1:1" x14ac:dyDescent="0.25">
      <c r="A81" s="48">
        <v>7025847</v>
      </c>
    </row>
    <row r="82" spans="1:1" x14ac:dyDescent="0.25">
      <c r="A82" s="48">
        <v>7082707</v>
      </c>
    </row>
    <row r="83" spans="1:1" x14ac:dyDescent="0.25">
      <c r="A83" s="48">
        <v>7083159</v>
      </c>
    </row>
    <row r="84" spans="1:1" x14ac:dyDescent="0.25">
      <c r="A84" s="48">
        <v>7084659</v>
      </c>
    </row>
    <row r="85" spans="1:1" x14ac:dyDescent="0.25">
      <c r="A85" s="48">
        <v>7076814</v>
      </c>
    </row>
    <row r="86" spans="1:1" x14ac:dyDescent="0.25">
      <c r="A86" s="48">
        <v>7076815</v>
      </c>
    </row>
    <row r="87" spans="1:1" x14ac:dyDescent="0.25">
      <c r="A87" s="48">
        <v>7089231</v>
      </c>
    </row>
    <row r="88" spans="1:1" x14ac:dyDescent="0.25">
      <c r="A88" s="48">
        <v>7116004</v>
      </c>
    </row>
    <row r="89" spans="1:1" x14ac:dyDescent="0.25">
      <c r="A89" s="48">
        <v>8003819</v>
      </c>
    </row>
    <row r="90" spans="1:1" x14ac:dyDescent="0.25">
      <c r="A90" s="48">
        <v>8091779</v>
      </c>
    </row>
    <row r="91" spans="1:1" x14ac:dyDescent="0.25">
      <c r="A91" s="48">
        <v>8097989</v>
      </c>
    </row>
    <row r="92" spans="1:1" x14ac:dyDescent="0.25">
      <c r="A92" s="48">
        <v>8112522</v>
      </c>
    </row>
    <row r="93" spans="1:1" x14ac:dyDescent="0.25">
      <c r="A93" s="48">
        <v>8127397</v>
      </c>
    </row>
    <row r="94" spans="1:1" x14ac:dyDescent="0.25">
      <c r="A94" s="48">
        <v>8130998</v>
      </c>
    </row>
    <row r="95" spans="1:1" x14ac:dyDescent="0.25">
      <c r="A95" s="48">
        <v>9002836</v>
      </c>
    </row>
    <row r="96" spans="1:1" x14ac:dyDescent="0.25">
      <c r="A96" s="48">
        <v>9003331</v>
      </c>
    </row>
    <row r="97" spans="1:29" x14ac:dyDescent="0.25">
      <c r="A97" s="48">
        <v>9003370</v>
      </c>
      <c r="K97">
        <v>96.7</v>
      </c>
    </row>
    <row r="98" spans="1:29" x14ac:dyDescent="0.25">
      <c r="A98" s="48">
        <v>9016278</v>
      </c>
    </row>
    <row r="99" spans="1:29" x14ac:dyDescent="0.25">
      <c r="A99" s="48">
        <v>9030684</v>
      </c>
      <c r="K99">
        <v>8</v>
      </c>
      <c r="L99">
        <v>80</v>
      </c>
      <c r="M99">
        <v>72</v>
      </c>
    </row>
    <row r="100" spans="1:29" x14ac:dyDescent="0.25">
      <c r="A100" s="48">
        <v>9031387</v>
      </c>
      <c r="AB100">
        <v>32.1</v>
      </c>
      <c r="AC100">
        <v>58.9</v>
      </c>
    </row>
    <row r="101" spans="1:29" x14ac:dyDescent="0.25">
      <c r="A101" s="48">
        <v>9038676</v>
      </c>
      <c r="K101">
        <v>25</v>
      </c>
      <c r="L101">
        <v>48</v>
      </c>
      <c r="M101">
        <v>81</v>
      </c>
    </row>
    <row r="102" spans="1:29" x14ac:dyDescent="0.25">
      <c r="A102" s="48">
        <v>9039416</v>
      </c>
      <c r="N102">
        <v>122</v>
      </c>
    </row>
    <row r="103" spans="1:29" x14ac:dyDescent="0.25">
      <c r="A103" s="48">
        <v>9042861</v>
      </c>
      <c r="N103">
        <v>64</v>
      </c>
      <c r="Z103">
        <v>80</v>
      </c>
      <c r="AA103">
        <v>99</v>
      </c>
    </row>
    <row r="104" spans="1:29" x14ac:dyDescent="0.25">
      <c r="A104" s="48">
        <v>9044899</v>
      </c>
    </row>
    <row r="105" spans="1:29" x14ac:dyDescent="0.25">
      <c r="A105" s="48">
        <v>9052398</v>
      </c>
      <c r="K105">
        <v>65</v>
      </c>
    </row>
    <row r="106" spans="1:29" x14ac:dyDescent="0.25">
      <c r="A106" s="48">
        <v>9085204</v>
      </c>
    </row>
    <row r="107" spans="1:29" x14ac:dyDescent="0.25">
      <c r="A107" s="48">
        <v>9090323</v>
      </c>
    </row>
    <row r="108" spans="1:29" x14ac:dyDescent="0.25">
      <c r="A108" s="48">
        <v>9105492</v>
      </c>
    </row>
    <row r="109" spans="1:29" x14ac:dyDescent="0.25">
      <c r="A109" s="48">
        <v>9138470</v>
      </c>
    </row>
    <row r="110" spans="1:29" x14ac:dyDescent="0.25">
      <c r="A110" s="48">
        <v>9150676</v>
      </c>
    </row>
    <row r="111" spans="1:29" x14ac:dyDescent="0.25">
      <c r="A111" s="48">
        <v>10010926</v>
      </c>
      <c r="K111">
        <v>84</v>
      </c>
      <c r="M111">
        <v>83</v>
      </c>
    </row>
    <row r="112" spans="1:29" x14ac:dyDescent="0.25">
      <c r="A112" s="48">
        <v>10016588</v>
      </c>
    </row>
    <row r="113" spans="1:25" x14ac:dyDescent="0.25">
      <c r="A113" s="48">
        <v>10030897</v>
      </c>
    </row>
    <row r="114" spans="1:25" x14ac:dyDescent="0.25">
      <c r="A114" s="48">
        <v>324</v>
      </c>
    </row>
    <row r="115" spans="1:25" x14ac:dyDescent="0.25">
      <c r="A115" s="48">
        <v>3909</v>
      </c>
      <c r="P115">
        <v>50</v>
      </c>
    </row>
    <row r="116" spans="1:25" x14ac:dyDescent="0.25">
      <c r="A116" s="48">
        <v>4663</v>
      </c>
      <c r="D116">
        <v>103</v>
      </c>
      <c r="Y116">
        <v>28</v>
      </c>
    </row>
    <row r="117" spans="1:25" x14ac:dyDescent="0.25">
      <c r="A117" s="48">
        <v>1005522</v>
      </c>
    </row>
    <row r="118" spans="1:25" x14ac:dyDescent="0.25">
      <c r="A118" s="48">
        <v>1007631</v>
      </c>
      <c r="L118">
        <v>95</v>
      </c>
    </row>
    <row r="119" spans="1:25" x14ac:dyDescent="0.25">
      <c r="A119" s="48">
        <v>1009760</v>
      </c>
    </row>
    <row r="120" spans="1:25" x14ac:dyDescent="0.25">
      <c r="A120" s="48">
        <v>2000646</v>
      </c>
      <c r="K120">
        <v>84</v>
      </c>
      <c r="L120">
        <v>82</v>
      </c>
      <c r="S120">
        <v>91</v>
      </c>
      <c r="T120">
        <v>100</v>
      </c>
      <c r="U120">
        <v>95</v>
      </c>
    </row>
    <row r="121" spans="1:25" x14ac:dyDescent="0.25">
      <c r="A121" s="48">
        <v>2003761</v>
      </c>
      <c r="H121">
        <v>6</v>
      </c>
      <c r="K121">
        <v>6</v>
      </c>
    </row>
    <row r="122" spans="1:25" x14ac:dyDescent="0.25">
      <c r="A122" s="48">
        <v>2004061</v>
      </c>
      <c r="K122" s="14">
        <v>64</v>
      </c>
      <c r="L122">
        <v>82</v>
      </c>
      <c r="M122">
        <v>96</v>
      </c>
      <c r="N122">
        <v>110</v>
      </c>
    </row>
    <row r="123" spans="1:25" x14ac:dyDescent="0.25">
      <c r="A123" s="48">
        <v>2006469</v>
      </c>
    </row>
    <row r="124" spans="1:25" x14ac:dyDescent="0.25">
      <c r="A124" s="48">
        <v>3005132</v>
      </c>
    </row>
    <row r="125" spans="1:25" x14ac:dyDescent="0.25">
      <c r="A125" s="48">
        <v>3009119</v>
      </c>
    </row>
    <row r="126" spans="1:25" x14ac:dyDescent="0.25">
      <c r="A126" s="48">
        <v>3009936</v>
      </c>
    </row>
    <row r="127" spans="1:25" x14ac:dyDescent="0.25">
      <c r="A127" s="48">
        <v>3011094</v>
      </c>
      <c r="K127">
        <v>93</v>
      </c>
      <c r="M127">
        <v>64</v>
      </c>
    </row>
    <row r="128" spans="1:25" x14ac:dyDescent="0.25">
      <c r="A128" s="48">
        <v>3014643</v>
      </c>
    </row>
    <row r="129" spans="1:37" x14ac:dyDescent="0.25">
      <c r="A129" s="48">
        <v>3016056</v>
      </c>
      <c r="AK129">
        <v>100</v>
      </c>
    </row>
    <row r="130" spans="1:37" x14ac:dyDescent="0.25">
      <c r="A130" s="48">
        <v>3900219</v>
      </c>
    </row>
    <row r="131" spans="1:37" x14ac:dyDescent="0.25">
      <c r="A131" s="48">
        <v>4000158</v>
      </c>
      <c r="L131">
        <v>115</v>
      </c>
    </row>
    <row r="132" spans="1:37" x14ac:dyDescent="0.25">
      <c r="A132" s="48">
        <v>4000304</v>
      </c>
      <c r="K132">
        <v>100</v>
      </c>
    </row>
    <row r="133" spans="1:37" x14ac:dyDescent="0.25">
      <c r="A133" s="48">
        <v>4001905</v>
      </c>
    </row>
    <row r="134" spans="1:37" x14ac:dyDescent="0.25">
      <c r="A134" s="48">
        <v>4002206</v>
      </c>
      <c r="K134">
        <v>110</v>
      </c>
    </row>
    <row r="135" spans="1:37" x14ac:dyDescent="0.25">
      <c r="A135" s="48">
        <v>4002715</v>
      </c>
    </row>
    <row r="136" spans="1:37" x14ac:dyDescent="0.25">
      <c r="A136" s="48">
        <v>4003924</v>
      </c>
      <c r="N136">
        <v>71</v>
      </c>
    </row>
    <row r="137" spans="1:37" x14ac:dyDescent="0.25">
      <c r="A137" s="48">
        <v>4006051</v>
      </c>
    </row>
    <row r="138" spans="1:37" x14ac:dyDescent="0.25">
      <c r="A138" s="48">
        <v>4008140</v>
      </c>
    </row>
    <row r="139" spans="1:37" x14ac:dyDescent="0.25">
      <c r="A139" s="48">
        <v>4009906</v>
      </c>
    </row>
    <row r="140" spans="1:37" x14ac:dyDescent="0.25">
      <c r="A140" s="48">
        <v>4011027</v>
      </c>
      <c r="L140">
        <v>28</v>
      </c>
      <c r="M140">
        <v>37</v>
      </c>
      <c r="R140">
        <v>81</v>
      </c>
      <c r="S140">
        <v>82</v>
      </c>
    </row>
    <row r="141" spans="1:37" x14ac:dyDescent="0.25">
      <c r="A141" s="48">
        <v>4011920</v>
      </c>
    </row>
    <row r="142" spans="1:37" x14ac:dyDescent="0.25">
      <c r="A142" s="48">
        <v>4012248</v>
      </c>
    </row>
    <row r="143" spans="1:37" x14ac:dyDescent="0.25">
      <c r="A143" s="48">
        <v>4013603</v>
      </c>
    </row>
    <row r="144" spans="1:37" x14ac:dyDescent="0.25">
      <c r="A144" s="48">
        <v>5004654</v>
      </c>
      <c r="N144">
        <v>81</v>
      </c>
      <c r="O144">
        <v>78</v>
      </c>
      <c r="P144">
        <v>82</v>
      </c>
      <c r="S144">
        <v>91</v>
      </c>
    </row>
    <row r="145" spans="1:30" x14ac:dyDescent="0.25">
      <c r="A145" s="52"/>
    </row>
    <row r="146" spans="1:30" x14ac:dyDescent="0.25">
      <c r="A146" s="50" t="s">
        <v>109</v>
      </c>
    </row>
    <row r="147" spans="1:30" x14ac:dyDescent="0.25">
      <c r="A147" s="48">
        <v>4289</v>
      </c>
      <c r="K147">
        <v>93</v>
      </c>
      <c r="L147">
        <v>20</v>
      </c>
      <c r="M147">
        <v>17</v>
      </c>
    </row>
    <row r="148" spans="1:30" x14ac:dyDescent="0.25">
      <c r="A148" s="48">
        <v>500245</v>
      </c>
      <c r="K148">
        <v>121</v>
      </c>
      <c r="N148">
        <v>99</v>
      </c>
      <c r="T148">
        <v>109</v>
      </c>
    </row>
    <row r="149" spans="1:30" x14ac:dyDescent="0.25">
      <c r="A149" s="48">
        <v>2002573</v>
      </c>
    </row>
    <row r="150" spans="1:30" x14ac:dyDescent="0.25">
      <c r="A150" s="48">
        <v>2003539</v>
      </c>
    </row>
    <row r="151" spans="1:30" x14ac:dyDescent="0.25">
      <c r="A151" s="48">
        <v>2003649</v>
      </c>
      <c r="K151">
        <v>58.1</v>
      </c>
    </row>
    <row r="152" spans="1:30" x14ac:dyDescent="0.25">
      <c r="A152" s="48">
        <v>2005572</v>
      </c>
      <c r="K152">
        <v>90</v>
      </c>
    </row>
    <row r="153" spans="1:30" x14ac:dyDescent="0.25">
      <c r="A153" s="48">
        <v>2013117</v>
      </c>
    </row>
    <row r="154" spans="1:30" x14ac:dyDescent="0.25">
      <c r="A154" s="48">
        <v>3009633</v>
      </c>
      <c r="X154">
        <v>85.8</v>
      </c>
    </row>
    <row r="155" spans="1:30" x14ac:dyDescent="0.25">
      <c r="A155" s="48">
        <v>3010583</v>
      </c>
    </row>
    <row r="156" spans="1:30" x14ac:dyDescent="0.25">
      <c r="A156" s="23">
        <v>3011892</v>
      </c>
      <c r="T156">
        <v>72</v>
      </c>
      <c r="AD156">
        <v>100</v>
      </c>
    </row>
    <row r="157" spans="1:30" x14ac:dyDescent="0.25">
      <c r="A157">
        <v>4001382</v>
      </c>
      <c r="J157">
        <v>46</v>
      </c>
      <c r="K157">
        <v>68</v>
      </c>
    </row>
    <row r="158" spans="1:30" x14ac:dyDescent="0.25">
      <c r="A158" s="48">
        <v>5018675</v>
      </c>
    </row>
    <row r="159" spans="1:30" x14ac:dyDescent="0.25">
      <c r="A159" s="48">
        <v>6050168</v>
      </c>
    </row>
    <row r="160" spans="1:30" x14ac:dyDescent="0.25">
      <c r="A160" s="48">
        <v>5006592</v>
      </c>
    </row>
    <row r="161" spans="1:38" x14ac:dyDescent="0.25">
      <c r="A161" s="48">
        <v>5007274</v>
      </c>
    </row>
    <row r="162" spans="1:38" x14ac:dyDescent="0.25">
      <c r="A162" s="48">
        <v>5015851</v>
      </c>
      <c r="K162" s="14">
        <v>99</v>
      </c>
      <c r="AF162">
        <v>113</v>
      </c>
      <c r="AG162">
        <v>108</v>
      </c>
      <c r="AJ162">
        <v>98</v>
      </c>
      <c r="AL162">
        <v>107</v>
      </c>
    </row>
    <row r="163" spans="1:38" x14ac:dyDescent="0.25">
      <c r="A163" s="48">
        <v>6015647</v>
      </c>
      <c r="K163">
        <v>70</v>
      </c>
    </row>
    <row r="164" spans="1:38" x14ac:dyDescent="0.25">
      <c r="A164" s="48">
        <v>6056633</v>
      </c>
    </row>
    <row r="165" spans="1:38" x14ac:dyDescent="0.25">
      <c r="A165" s="48">
        <v>7086224</v>
      </c>
      <c r="U165">
        <v>83.8</v>
      </c>
    </row>
    <row r="166" spans="1:38" x14ac:dyDescent="0.25">
      <c r="A166" s="48">
        <v>8040959</v>
      </c>
    </row>
    <row r="167" spans="1:38" x14ac:dyDescent="0.25">
      <c r="A167" s="48">
        <v>8107048</v>
      </c>
    </row>
    <row r="168" spans="1:38" x14ac:dyDescent="0.25">
      <c r="A168" s="48">
        <v>8124044</v>
      </c>
    </row>
    <row r="169" spans="1:38" x14ac:dyDescent="0.25">
      <c r="A169" s="48">
        <v>8142949</v>
      </c>
    </row>
    <row r="170" spans="1:38" x14ac:dyDescent="0.25">
      <c r="A170" s="48">
        <v>9023306</v>
      </c>
    </row>
    <row r="171" spans="1:38" x14ac:dyDescent="0.25">
      <c r="A171" s="48">
        <v>9030615</v>
      </c>
      <c r="N171">
        <v>90.8</v>
      </c>
    </row>
    <row r="172" spans="1:38" x14ac:dyDescent="0.25">
      <c r="A172" s="48">
        <v>9034464</v>
      </c>
      <c r="K172">
        <v>47</v>
      </c>
      <c r="L172">
        <v>67</v>
      </c>
    </row>
    <row r="173" spans="1:38" x14ac:dyDescent="0.25">
      <c r="A173" s="48">
        <v>9040167</v>
      </c>
      <c r="H173">
        <v>110</v>
      </c>
    </row>
    <row r="174" spans="1:38" x14ac:dyDescent="0.25">
      <c r="A174" s="48">
        <v>9054567</v>
      </c>
    </row>
    <row r="175" spans="1:38" x14ac:dyDescent="0.25">
      <c r="A175" s="48">
        <v>9083682</v>
      </c>
      <c r="J175">
        <v>90</v>
      </c>
    </row>
    <row r="176" spans="1:38" x14ac:dyDescent="0.25">
      <c r="A176" s="48">
        <v>9102044</v>
      </c>
    </row>
    <row r="177" spans="1:12" x14ac:dyDescent="0.25">
      <c r="A177" s="48">
        <v>9119854</v>
      </c>
    </row>
    <row r="178" spans="1:12" x14ac:dyDescent="0.25">
      <c r="A178" s="48">
        <v>9125126</v>
      </c>
    </row>
    <row r="179" spans="1:12" x14ac:dyDescent="0.25">
      <c r="A179" s="48">
        <v>9174811</v>
      </c>
    </row>
    <row r="180" spans="1:12" x14ac:dyDescent="0.25">
      <c r="A180" s="48">
        <v>10002875</v>
      </c>
    </row>
    <row r="181" spans="1:12" x14ac:dyDescent="0.25">
      <c r="A181" s="48">
        <v>10023080</v>
      </c>
    </row>
    <row r="182" spans="1:12" x14ac:dyDescent="0.25">
      <c r="A182" s="48">
        <v>10025212</v>
      </c>
    </row>
    <row r="183" spans="1:12" x14ac:dyDescent="0.25">
      <c r="A183" s="48">
        <v>10069407</v>
      </c>
    </row>
    <row r="184" spans="1:12" x14ac:dyDescent="0.25">
      <c r="A184" s="48">
        <v>10071135</v>
      </c>
    </row>
    <row r="185" spans="1:12" x14ac:dyDescent="0.25">
      <c r="A185" s="48">
        <v>10083649</v>
      </c>
      <c r="K185">
        <v>60</v>
      </c>
      <c r="L185">
        <v>58</v>
      </c>
    </row>
    <row r="186" spans="1:12" x14ac:dyDescent="0.25">
      <c r="A186" s="48">
        <v>10102021</v>
      </c>
    </row>
    <row r="187" spans="1:12" x14ac:dyDescent="0.25">
      <c r="A187" s="48">
        <v>10123729</v>
      </c>
    </row>
    <row r="188" spans="1:12" x14ac:dyDescent="0.25">
      <c r="A188" s="48">
        <v>10144736</v>
      </c>
    </row>
    <row r="189" spans="1:12" x14ac:dyDescent="0.25">
      <c r="A189" s="48">
        <v>10157275</v>
      </c>
    </row>
    <row r="190" spans="1:12" x14ac:dyDescent="0.25">
      <c r="A190" s="52"/>
    </row>
    <row r="191" spans="1:12" x14ac:dyDescent="0.25">
      <c r="A191" s="50" t="s">
        <v>83</v>
      </c>
    </row>
    <row r="192" spans="1:12" x14ac:dyDescent="0.25">
      <c r="A192" s="48">
        <v>5281</v>
      </c>
      <c r="J192">
        <v>18</v>
      </c>
    </row>
    <row r="193" spans="1:31" x14ac:dyDescent="0.25">
      <c r="A193" s="48">
        <v>200085</v>
      </c>
      <c r="O193">
        <v>100</v>
      </c>
      <c r="Q193">
        <v>100</v>
      </c>
      <c r="T193">
        <v>100</v>
      </c>
      <c r="V193">
        <v>100</v>
      </c>
      <c r="Y193">
        <v>100</v>
      </c>
      <c r="Z193">
        <v>100</v>
      </c>
    </row>
    <row r="194" spans="1:31" x14ac:dyDescent="0.25">
      <c r="A194" s="48">
        <v>500129</v>
      </c>
      <c r="T194">
        <v>39</v>
      </c>
      <c r="W194">
        <v>48</v>
      </c>
      <c r="AE194">
        <v>88</v>
      </c>
    </row>
    <row r="195" spans="1:31" x14ac:dyDescent="0.25">
      <c r="A195" s="51">
        <v>1002033</v>
      </c>
    </row>
    <row r="196" spans="1:31" x14ac:dyDescent="0.25">
      <c r="A196" s="48">
        <v>1003457</v>
      </c>
    </row>
    <row r="197" spans="1:31" x14ac:dyDescent="0.25">
      <c r="A197" s="48">
        <v>2005223</v>
      </c>
    </row>
    <row r="198" spans="1:31" x14ac:dyDescent="0.25">
      <c r="A198" s="48">
        <v>2006107</v>
      </c>
    </row>
    <row r="199" spans="1:31" x14ac:dyDescent="0.25">
      <c r="A199" s="48">
        <v>2012014</v>
      </c>
      <c r="D199">
        <v>114</v>
      </c>
      <c r="N199">
        <v>95</v>
      </c>
    </row>
    <row r="200" spans="1:31" x14ac:dyDescent="0.25">
      <c r="A200" s="48">
        <v>3000152</v>
      </c>
      <c r="J200">
        <v>74</v>
      </c>
    </row>
    <row r="201" spans="1:31" x14ac:dyDescent="0.25">
      <c r="A201" s="48">
        <v>3014566</v>
      </c>
    </row>
    <row r="202" spans="1:31" x14ac:dyDescent="0.25">
      <c r="A202" s="48">
        <v>3015058</v>
      </c>
      <c r="D202">
        <v>105</v>
      </c>
      <c r="E202" s="14">
        <v>77</v>
      </c>
      <c r="K202">
        <v>23</v>
      </c>
      <c r="L202">
        <v>64</v>
      </c>
      <c r="M202">
        <v>91</v>
      </c>
      <c r="S202">
        <v>93</v>
      </c>
    </row>
    <row r="203" spans="1:31" x14ac:dyDescent="0.25">
      <c r="A203" s="51">
        <v>4000996</v>
      </c>
      <c r="L203">
        <v>98</v>
      </c>
      <c r="N203">
        <v>92</v>
      </c>
    </row>
    <row r="204" spans="1:31" x14ac:dyDescent="0.25">
      <c r="A204" s="48">
        <v>4003768</v>
      </c>
    </row>
    <row r="205" spans="1:31" x14ac:dyDescent="0.25">
      <c r="A205" s="48">
        <v>4006540</v>
      </c>
      <c r="U205">
        <v>96</v>
      </c>
    </row>
    <row r="206" spans="1:31" x14ac:dyDescent="0.25">
      <c r="A206" s="48">
        <v>4007054</v>
      </c>
      <c r="O206">
        <v>97</v>
      </c>
    </row>
    <row r="207" spans="1:31" x14ac:dyDescent="0.25">
      <c r="A207" s="48">
        <v>4011002</v>
      </c>
      <c r="L207">
        <v>70</v>
      </c>
      <c r="P207">
        <v>67</v>
      </c>
    </row>
    <row r="208" spans="1:31" x14ac:dyDescent="0.25">
      <c r="A208" s="48">
        <v>4900268</v>
      </c>
      <c r="J208">
        <v>13</v>
      </c>
    </row>
    <row r="209" spans="1:17" x14ac:dyDescent="0.25">
      <c r="A209" s="48">
        <v>5001097</v>
      </c>
      <c r="F209">
        <v>100</v>
      </c>
      <c r="Q209">
        <v>100</v>
      </c>
    </row>
    <row r="210" spans="1:17" x14ac:dyDescent="0.25">
      <c r="A210" s="48">
        <v>5001098</v>
      </c>
      <c r="C210">
        <v>100</v>
      </c>
    </row>
    <row r="211" spans="1:17" x14ac:dyDescent="0.25">
      <c r="A211" s="48">
        <v>5006152</v>
      </c>
      <c r="H211">
        <v>110</v>
      </c>
      <c r="L211">
        <v>33</v>
      </c>
    </row>
    <row r="212" spans="1:17" x14ac:dyDescent="0.25">
      <c r="A212" s="48">
        <v>6012361</v>
      </c>
    </row>
    <row r="213" spans="1:17" x14ac:dyDescent="0.25">
      <c r="A213" s="48">
        <v>6015793</v>
      </c>
      <c r="I213">
        <v>90</v>
      </c>
      <c r="K213">
        <v>54</v>
      </c>
      <c r="L213">
        <v>53</v>
      </c>
      <c r="O213">
        <v>74</v>
      </c>
    </row>
    <row r="214" spans="1:17" x14ac:dyDescent="0.25">
      <c r="A214" s="48">
        <v>6043619</v>
      </c>
    </row>
    <row r="215" spans="1:17" x14ac:dyDescent="0.25">
      <c r="A215" s="48">
        <v>7001097</v>
      </c>
    </row>
    <row r="216" spans="1:17" x14ac:dyDescent="0.25">
      <c r="A216" s="48">
        <v>7011435</v>
      </c>
    </row>
    <row r="217" spans="1:17" x14ac:dyDescent="0.25">
      <c r="A217" s="48">
        <v>7045811</v>
      </c>
    </row>
    <row r="218" spans="1:17" x14ac:dyDescent="0.25">
      <c r="A218" s="48">
        <v>7071198</v>
      </c>
    </row>
    <row r="219" spans="1:17" x14ac:dyDescent="0.25">
      <c r="A219" s="48">
        <v>7101143</v>
      </c>
    </row>
    <row r="220" spans="1:17" x14ac:dyDescent="0.25">
      <c r="A220" s="48">
        <v>8073350</v>
      </c>
    </row>
    <row r="221" spans="1:17" x14ac:dyDescent="0.25">
      <c r="A221" s="48">
        <v>8073645</v>
      </c>
      <c r="L221" s="14">
        <v>32</v>
      </c>
    </row>
    <row r="222" spans="1:17" x14ac:dyDescent="0.25">
      <c r="A222" s="51">
        <v>8089666</v>
      </c>
      <c r="G222">
        <v>100</v>
      </c>
      <c r="H222" s="14">
        <v>83.3333333333333</v>
      </c>
      <c r="I222">
        <v>58</v>
      </c>
      <c r="K222" s="14">
        <v>10.5</v>
      </c>
      <c r="L222">
        <v>12</v>
      </c>
    </row>
    <row r="223" spans="1:17" x14ac:dyDescent="0.25">
      <c r="A223" s="48">
        <v>8103536</v>
      </c>
    </row>
    <row r="224" spans="1:17" x14ac:dyDescent="0.25">
      <c r="A224" s="48">
        <v>8124816</v>
      </c>
    </row>
    <row r="225" spans="1:21" x14ac:dyDescent="0.25">
      <c r="A225" s="48">
        <v>9003267</v>
      </c>
    </row>
    <row r="226" spans="1:21" x14ac:dyDescent="0.25">
      <c r="A226" s="48">
        <v>9036964</v>
      </c>
    </row>
    <row r="227" spans="1:21" x14ac:dyDescent="0.25">
      <c r="A227" s="48">
        <v>9090287</v>
      </c>
      <c r="M227">
        <v>36</v>
      </c>
      <c r="N227">
        <v>42</v>
      </c>
      <c r="O227">
        <v>69</v>
      </c>
      <c r="P227">
        <v>86</v>
      </c>
    </row>
    <row r="228" spans="1:21" x14ac:dyDescent="0.25">
      <c r="A228" s="48">
        <v>9095148</v>
      </c>
      <c r="K228">
        <v>69</v>
      </c>
      <c r="L228">
        <v>85</v>
      </c>
    </row>
    <row r="229" spans="1:21" x14ac:dyDescent="0.25">
      <c r="A229" s="48">
        <v>9104979</v>
      </c>
    </row>
    <row r="230" spans="1:21" x14ac:dyDescent="0.25">
      <c r="A230" s="48">
        <v>9139514</v>
      </c>
    </row>
    <row r="231" spans="1:21" x14ac:dyDescent="0.25">
      <c r="A231" s="48">
        <v>10020659</v>
      </c>
      <c r="B231">
        <v>28</v>
      </c>
      <c r="H231">
        <v>17</v>
      </c>
      <c r="S231">
        <v>99</v>
      </c>
    </row>
    <row r="232" spans="1:21" x14ac:dyDescent="0.25">
      <c r="A232" s="48">
        <v>10025902</v>
      </c>
      <c r="R232">
        <v>65</v>
      </c>
      <c r="U232">
        <v>75</v>
      </c>
    </row>
    <row r="233" spans="1:21" x14ac:dyDescent="0.25">
      <c r="A233" s="48">
        <v>10027654</v>
      </c>
    </row>
    <row r="234" spans="1:21" x14ac:dyDescent="0.25">
      <c r="A234" s="48">
        <v>10084485</v>
      </c>
    </row>
    <row r="235" spans="1:21" x14ac:dyDescent="0.25">
      <c r="A235" s="48">
        <v>10098420</v>
      </c>
      <c r="K235">
        <v>8</v>
      </c>
      <c r="L235">
        <v>15</v>
      </c>
      <c r="N235">
        <v>12</v>
      </c>
    </row>
    <row r="236" spans="1:21" x14ac:dyDescent="0.25">
      <c r="A236" s="48">
        <v>10129565</v>
      </c>
    </row>
    <row r="237" spans="1:21" x14ac:dyDescent="0.25">
      <c r="A237" s="48">
        <v>10146828</v>
      </c>
    </row>
    <row r="238" spans="1:21" x14ac:dyDescent="0.25">
      <c r="A238">
        <v>10163776</v>
      </c>
    </row>
    <row r="239" spans="1:21" x14ac:dyDescent="0.25">
      <c r="A239">
        <v>10173664</v>
      </c>
      <c r="N239">
        <v>77.8</v>
      </c>
    </row>
  </sheetData>
  <conditionalFormatting sqref="A19">
    <cfRule type="duplicateValues" dxfId="1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7068-F8E0-4B2F-8BB1-52F8A43DBBF3}">
  <dimension ref="A1:D67"/>
  <sheetViews>
    <sheetView workbookViewId="0">
      <selection activeCell="E14" sqref="E14"/>
    </sheetView>
  </sheetViews>
  <sheetFormatPr baseColWidth="10" defaultRowHeight="15" x14ac:dyDescent="0.25"/>
  <cols>
    <col min="1" max="1" width="17.28515625" bestFit="1" customWidth="1"/>
    <col min="2" max="2" width="8.28515625" bestFit="1" customWidth="1"/>
    <col min="3" max="3" width="81.140625" bestFit="1" customWidth="1"/>
    <col min="4" max="4" width="30" bestFit="1" customWidth="1"/>
  </cols>
  <sheetData>
    <row r="1" spans="1:4" x14ac:dyDescent="0.25">
      <c r="A1" s="62" t="s">
        <v>43</v>
      </c>
      <c r="B1" s="62" t="s">
        <v>1917</v>
      </c>
      <c r="C1" s="62" t="s">
        <v>1914</v>
      </c>
      <c r="D1" s="62" t="s">
        <v>1918</v>
      </c>
    </row>
    <row r="2" spans="1:4" x14ac:dyDescent="0.25">
      <c r="A2" s="62">
        <v>96018835</v>
      </c>
      <c r="B2" s="62" t="s">
        <v>1917</v>
      </c>
      <c r="C2" s="62" t="s">
        <v>1919</v>
      </c>
      <c r="D2" s="62">
        <v>2</v>
      </c>
    </row>
    <row r="3" spans="1:4" x14ac:dyDescent="0.25">
      <c r="A3" s="62">
        <v>6016435</v>
      </c>
      <c r="B3" s="62" t="s">
        <v>1917</v>
      </c>
      <c r="C3" s="62" t="s">
        <v>4</v>
      </c>
      <c r="D3" s="62">
        <v>1</v>
      </c>
    </row>
    <row r="4" spans="1:4" x14ac:dyDescent="0.25">
      <c r="A4" s="62">
        <v>10023001</v>
      </c>
      <c r="B4" s="62" t="s">
        <v>1917</v>
      </c>
      <c r="C4" s="62" t="s">
        <v>1051</v>
      </c>
      <c r="D4" s="62">
        <v>1</v>
      </c>
    </row>
    <row r="5" spans="1:4" x14ac:dyDescent="0.25">
      <c r="A5" s="62">
        <v>1263</v>
      </c>
      <c r="B5" s="62" t="s">
        <v>1917</v>
      </c>
      <c r="C5" s="62" t="s">
        <v>1920</v>
      </c>
      <c r="D5" s="62">
        <v>4</v>
      </c>
    </row>
    <row r="6" spans="1:4" x14ac:dyDescent="0.25">
      <c r="A6" s="62">
        <v>7103068</v>
      </c>
      <c r="B6" s="62" t="s">
        <v>1917</v>
      </c>
      <c r="C6" s="62" t="s">
        <v>1051</v>
      </c>
      <c r="D6" s="62">
        <v>1</v>
      </c>
    </row>
    <row r="7" spans="1:4" x14ac:dyDescent="0.25">
      <c r="A7" s="62">
        <v>5016969</v>
      </c>
      <c r="B7" s="62" t="s">
        <v>1917</v>
      </c>
      <c r="C7" s="62" t="s">
        <v>995</v>
      </c>
      <c r="D7" s="62">
        <v>1</v>
      </c>
    </row>
    <row r="8" spans="1:4" x14ac:dyDescent="0.25">
      <c r="A8" s="62">
        <v>9003370</v>
      </c>
      <c r="B8" s="62" t="s">
        <v>1917</v>
      </c>
      <c r="C8" s="62" t="s">
        <v>995</v>
      </c>
      <c r="D8" s="62">
        <v>1</v>
      </c>
    </row>
    <row r="9" spans="1:4" x14ac:dyDescent="0.25">
      <c r="A9" s="62">
        <v>9030684</v>
      </c>
      <c r="B9" s="62" t="s">
        <v>1917</v>
      </c>
      <c r="C9" s="62" t="s">
        <v>1921</v>
      </c>
      <c r="D9" s="62">
        <v>3</v>
      </c>
    </row>
    <row r="10" spans="1:4" x14ac:dyDescent="0.25">
      <c r="A10" s="62">
        <v>9031387</v>
      </c>
      <c r="B10" s="62" t="s">
        <v>1917</v>
      </c>
      <c r="C10" s="62" t="s">
        <v>1922</v>
      </c>
      <c r="D10" s="62">
        <v>2</v>
      </c>
    </row>
    <row r="11" spans="1:4" x14ac:dyDescent="0.25">
      <c r="A11" s="62">
        <v>9038676</v>
      </c>
      <c r="B11" s="62" t="s">
        <v>1917</v>
      </c>
      <c r="C11" s="62" t="s">
        <v>1921</v>
      </c>
      <c r="D11" s="62">
        <v>3</v>
      </c>
    </row>
    <row r="12" spans="1:4" x14ac:dyDescent="0.25">
      <c r="A12" s="62">
        <v>9039416</v>
      </c>
      <c r="B12" s="62" t="s">
        <v>1917</v>
      </c>
      <c r="C12" s="62" t="s">
        <v>782</v>
      </c>
      <c r="D12" s="62">
        <v>1</v>
      </c>
    </row>
    <row r="13" spans="1:4" x14ac:dyDescent="0.25">
      <c r="A13" s="62">
        <v>9042861</v>
      </c>
      <c r="B13" s="62" t="s">
        <v>1917</v>
      </c>
      <c r="C13" s="62" t="s">
        <v>1923</v>
      </c>
      <c r="D13" s="62">
        <v>3</v>
      </c>
    </row>
    <row r="14" spans="1:4" x14ac:dyDescent="0.25">
      <c r="A14" s="62">
        <v>9052398</v>
      </c>
      <c r="B14" s="62" t="s">
        <v>1917</v>
      </c>
      <c r="C14" s="62" t="s">
        <v>995</v>
      </c>
      <c r="D14" s="62">
        <v>1</v>
      </c>
    </row>
    <row r="15" spans="1:4" x14ac:dyDescent="0.25">
      <c r="A15" s="62">
        <v>10010926</v>
      </c>
      <c r="B15" s="62" t="s">
        <v>1917</v>
      </c>
      <c r="C15" s="62" t="s">
        <v>1924</v>
      </c>
      <c r="D15" s="62">
        <v>2</v>
      </c>
    </row>
    <row r="16" spans="1:4" x14ac:dyDescent="0.25">
      <c r="A16" s="62">
        <v>3909</v>
      </c>
      <c r="B16" s="62" t="s">
        <v>1917</v>
      </c>
      <c r="C16" s="62" t="s">
        <v>6</v>
      </c>
      <c r="D16" s="62">
        <v>1</v>
      </c>
    </row>
    <row r="17" spans="1:4" x14ac:dyDescent="0.25">
      <c r="A17" s="62">
        <v>4663</v>
      </c>
      <c r="B17" s="62" t="s">
        <v>1917</v>
      </c>
      <c r="C17" s="62" t="s">
        <v>1925</v>
      </c>
      <c r="D17" s="62">
        <v>2</v>
      </c>
    </row>
    <row r="18" spans="1:4" x14ac:dyDescent="0.25">
      <c r="A18" s="62">
        <v>1007631</v>
      </c>
      <c r="B18" s="62" t="s">
        <v>1917</v>
      </c>
      <c r="C18" s="62" t="s">
        <v>4</v>
      </c>
      <c r="D18" s="62">
        <v>1</v>
      </c>
    </row>
    <row r="19" spans="1:4" x14ac:dyDescent="0.25">
      <c r="A19" s="62">
        <v>2000646</v>
      </c>
      <c r="B19" s="62" t="s">
        <v>1917</v>
      </c>
      <c r="C19" s="62" t="s">
        <v>1926</v>
      </c>
      <c r="D19" s="62">
        <v>5</v>
      </c>
    </row>
    <row r="20" spans="1:4" x14ac:dyDescent="0.25">
      <c r="A20" s="62">
        <v>2003761</v>
      </c>
      <c r="B20" s="62" t="s">
        <v>1917</v>
      </c>
      <c r="C20" s="62" t="s">
        <v>1927</v>
      </c>
      <c r="D20" s="62">
        <v>2</v>
      </c>
    </row>
    <row r="21" spans="1:4" x14ac:dyDescent="0.25">
      <c r="A21" s="62">
        <v>2004061</v>
      </c>
      <c r="B21" s="62" t="s">
        <v>1917</v>
      </c>
      <c r="C21" s="62" t="s">
        <v>1928</v>
      </c>
      <c r="D21" s="62">
        <v>4</v>
      </c>
    </row>
    <row r="22" spans="1:4" x14ac:dyDescent="0.25">
      <c r="A22" s="62">
        <v>3011094</v>
      </c>
      <c r="B22" s="62" t="s">
        <v>1917</v>
      </c>
      <c r="C22" s="62" t="s">
        <v>1924</v>
      </c>
      <c r="D22" s="62">
        <v>2</v>
      </c>
    </row>
    <row r="23" spans="1:4" x14ac:dyDescent="0.25">
      <c r="A23" s="62">
        <v>3016056</v>
      </c>
      <c r="B23" s="62" t="s">
        <v>1917</v>
      </c>
      <c r="C23" s="62" t="s">
        <v>934</v>
      </c>
      <c r="D23" s="62">
        <v>1</v>
      </c>
    </row>
    <row r="24" spans="1:4" x14ac:dyDescent="0.25">
      <c r="A24" s="62">
        <v>4000158</v>
      </c>
      <c r="B24" s="62" t="s">
        <v>1917</v>
      </c>
      <c r="C24" s="62" t="s">
        <v>4</v>
      </c>
      <c r="D24" s="62">
        <v>1</v>
      </c>
    </row>
    <row r="25" spans="1:4" x14ac:dyDescent="0.25">
      <c r="A25" s="62">
        <v>4000304</v>
      </c>
      <c r="B25" s="62" t="s">
        <v>1917</v>
      </c>
      <c r="C25" s="62" t="s">
        <v>995</v>
      </c>
      <c r="D25" s="62">
        <v>1</v>
      </c>
    </row>
    <row r="26" spans="1:4" x14ac:dyDescent="0.25">
      <c r="A26" s="62">
        <v>4002206</v>
      </c>
      <c r="B26" s="62" t="s">
        <v>1917</v>
      </c>
      <c r="C26" s="62" t="s">
        <v>995</v>
      </c>
      <c r="D26" s="62">
        <v>1</v>
      </c>
    </row>
    <row r="27" spans="1:4" x14ac:dyDescent="0.25">
      <c r="A27" s="62">
        <v>4003924</v>
      </c>
      <c r="B27" s="62" t="s">
        <v>1917</v>
      </c>
      <c r="C27" s="62" t="s">
        <v>782</v>
      </c>
      <c r="D27" s="62">
        <v>1</v>
      </c>
    </row>
    <row r="28" spans="1:4" x14ac:dyDescent="0.25">
      <c r="A28" s="62">
        <v>4011027</v>
      </c>
      <c r="B28" s="62" t="s">
        <v>1917</v>
      </c>
      <c r="C28" s="62" t="s">
        <v>1929</v>
      </c>
      <c r="D28" s="62">
        <v>4</v>
      </c>
    </row>
    <row r="29" spans="1:4" x14ac:dyDescent="0.25">
      <c r="A29" s="62">
        <v>5004654</v>
      </c>
      <c r="B29" s="62" t="s">
        <v>1917</v>
      </c>
      <c r="C29" s="62" t="s">
        <v>1930</v>
      </c>
      <c r="D29" s="62">
        <v>4</v>
      </c>
    </row>
    <row r="30" spans="1:4" x14ac:dyDescent="0.25">
      <c r="A30" s="62">
        <v>4289</v>
      </c>
      <c r="B30" s="62" t="s">
        <v>1917</v>
      </c>
      <c r="C30" s="62" t="s">
        <v>1921</v>
      </c>
      <c r="D30" s="62">
        <v>3</v>
      </c>
    </row>
    <row r="31" spans="1:4" x14ac:dyDescent="0.25">
      <c r="A31" s="62">
        <v>500245</v>
      </c>
      <c r="B31" s="62" t="s">
        <v>1917</v>
      </c>
      <c r="C31" s="62" t="s">
        <v>1931</v>
      </c>
      <c r="D31" s="62">
        <v>3</v>
      </c>
    </row>
    <row r="32" spans="1:4" x14ac:dyDescent="0.25">
      <c r="A32" s="62">
        <v>2003649</v>
      </c>
      <c r="B32" s="62" t="s">
        <v>1917</v>
      </c>
      <c r="C32" s="62" t="s">
        <v>995</v>
      </c>
      <c r="D32" s="62">
        <v>1</v>
      </c>
    </row>
    <row r="33" spans="1:4" x14ac:dyDescent="0.25">
      <c r="A33" s="62">
        <v>2005572</v>
      </c>
      <c r="B33" s="62" t="s">
        <v>1917</v>
      </c>
      <c r="C33" s="62" t="s">
        <v>995</v>
      </c>
      <c r="D33" s="62">
        <v>1</v>
      </c>
    </row>
    <row r="34" spans="1:4" x14ac:dyDescent="0.25">
      <c r="A34" s="62">
        <v>3009633</v>
      </c>
      <c r="B34" s="62" t="s">
        <v>1917</v>
      </c>
      <c r="C34" s="62" t="s">
        <v>1018</v>
      </c>
      <c r="D34" s="62">
        <v>1</v>
      </c>
    </row>
    <row r="35" spans="1:4" x14ac:dyDescent="0.25">
      <c r="A35" s="62">
        <v>3011892</v>
      </c>
      <c r="B35" s="62" t="s">
        <v>1917</v>
      </c>
      <c r="C35" s="62" t="s">
        <v>1932</v>
      </c>
      <c r="D35" s="62">
        <v>2</v>
      </c>
    </row>
    <row r="36" spans="1:4" x14ac:dyDescent="0.25">
      <c r="A36" s="62">
        <v>4001382</v>
      </c>
      <c r="B36" s="62" t="s">
        <v>1917</v>
      </c>
      <c r="C36" s="62" t="s">
        <v>1933</v>
      </c>
      <c r="D36" s="62">
        <v>2</v>
      </c>
    </row>
    <row r="37" spans="1:4" x14ac:dyDescent="0.25">
      <c r="A37" s="62">
        <v>5015851</v>
      </c>
      <c r="B37" s="62" t="s">
        <v>1917</v>
      </c>
      <c r="C37" s="62" t="s">
        <v>1934</v>
      </c>
      <c r="D37" s="62">
        <v>5</v>
      </c>
    </row>
    <row r="38" spans="1:4" x14ac:dyDescent="0.25">
      <c r="A38" s="62">
        <v>6015647</v>
      </c>
      <c r="B38" s="62" t="s">
        <v>1917</v>
      </c>
      <c r="C38" s="62" t="s">
        <v>995</v>
      </c>
      <c r="D38" s="62">
        <v>1</v>
      </c>
    </row>
    <row r="39" spans="1:4" x14ac:dyDescent="0.25">
      <c r="A39" s="62">
        <v>7086224</v>
      </c>
      <c r="B39" s="62" t="s">
        <v>1917</v>
      </c>
      <c r="C39" s="62" t="s">
        <v>917</v>
      </c>
      <c r="D39" s="62">
        <v>1</v>
      </c>
    </row>
    <row r="40" spans="1:4" x14ac:dyDescent="0.25">
      <c r="A40" s="62">
        <v>9030615</v>
      </c>
      <c r="B40" s="62" t="s">
        <v>1917</v>
      </c>
      <c r="C40" s="62" t="s">
        <v>782</v>
      </c>
      <c r="D40" s="62">
        <v>1</v>
      </c>
    </row>
    <row r="41" spans="1:4" x14ac:dyDescent="0.25">
      <c r="A41" s="62">
        <v>9034464</v>
      </c>
      <c r="B41" s="62" t="s">
        <v>1917</v>
      </c>
      <c r="C41" s="62" t="s">
        <v>1935</v>
      </c>
      <c r="D41" s="62">
        <v>2</v>
      </c>
    </row>
    <row r="42" spans="1:4" x14ac:dyDescent="0.25">
      <c r="A42" s="62">
        <v>9040167</v>
      </c>
      <c r="B42" s="62" t="s">
        <v>1917</v>
      </c>
      <c r="C42" s="62" t="s">
        <v>929</v>
      </c>
      <c r="D42" s="62">
        <v>1</v>
      </c>
    </row>
    <row r="43" spans="1:4" x14ac:dyDescent="0.25">
      <c r="A43" s="62">
        <v>9083682</v>
      </c>
      <c r="B43" s="62" t="s">
        <v>1917</v>
      </c>
      <c r="C43" s="62" t="s">
        <v>1051</v>
      </c>
      <c r="D43" s="62">
        <v>1</v>
      </c>
    </row>
    <row r="44" spans="1:4" x14ac:dyDescent="0.25">
      <c r="A44" s="62">
        <v>10083649</v>
      </c>
      <c r="B44" s="62" t="s">
        <v>1917</v>
      </c>
      <c r="C44" s="62" t="s">
        <v>1935</v>
      </c>
      <c r="D44" s="62">
        <v>2</v>
      </c>
    </row>
    <row r="45" spans="1:4" x14ac:dyDescent="0.25">
      <c r="A45" s="62">
        <v>5281</v>
      </c>
      <c r="B45" s="62" t="s">
        <v>1917</v>
      </c>
      <c r="C45" s="62" t="s">
        <v>1051</v>
      </c>
      <c r="D45" s="62">
        <v>1</v>
      </c>
    </row>
    <row r="46" spans="1:4" x14ac:dyDescent="0.25">
      <c r="A46" s="62">
        <v>200085</v>
      </c>
      <c r="B46" s="62" t="s">
        <v>1917</v>
      </c>
      <c r="C46" s="62" t="s">
        <v>1936</v>
      </c>
      <c r="D46" s="62">
        <v>6</v>
      </c>
    </row>
    <row r="47" spans="1:4" x14ac:dyDescent="0.25">
      <c r="A47" s="62">
        <v>500129</v>
      </c>
      <c r="B47" s="62" t="s">
        <v>1917</v>
      </c>
      <c r="C47" s="62" t="s">
        <v>1937</v>
      </c>
      <c r="D47" s="62">
        <v>3</v>
      </c>
    </row>
    <row r="48" spans="1:4" x14ac:dyDescent="0.25">
      <c r="A48" s="62">
        <v>2012014</v>
      </c>
      <c r="B48" s="62" t="s">
        <v>1917</v>
      </c>
      <c r="C48" s="62" t="s">
        <v>1938</v>
      </c>
      <c r="D48" s="62">
        <v>2</v>
      </c>
    </row>
    <row r="49" spans="1:4" x14ac:dyDescent="0.25">
      <c r="A49" s="62">
        <v>3000152</v>
      </c>
      <c r="B49" s="62" t="s">
        <v>1917</v>
      </c>
      <c r="C49" s="62" t="s">
        <v>1051</v>
      </c>
      <c r="D49" s="62">
        <v>1</v>
      </c>
    </row>
    <row r="50" spans="1:4" x14ac:dyDescent="0.25">
      <c r="A50" s="62">
        <v>3015058</v>
      </c>
      <c r="B50" s="62" t="s">
        <v>1917</v>
      </c>
      <c r="C50" s="62" t="s">
        <v>1939</v>
      </c>
      <c r="D50" s="62">
        <v>6</v>
      </c>
    </row>
    <row r="51" spans="1:4" x14ac:dyDescent="0.25">
      <c r="A51">
        <v>4000996</v>
      </c>
      <c r="B51" s="62" t="s">
        <v>1917</v>
      </c>
      <c r="C51" t="s">
        <v>1940</v>
      </c>
      <c r="D51">
        <v>2</v>
      </c>
    </row>
    <row r="52" spans="1:4" x14ac:dyDescent="0.25">
      <c r="A52">
        <v>4006540</v>
      </c>
      <c r="B52" s="62" t="s">
        <v>1917</v>
      </c>
      <c r="C52" t="s">
        <v>917</v>
      </c>
      <c r="D52">
        <v>1</v>
      </c>
    </row>
    <row r="53" spans="1:4" x14ac:dyDescent="0.25">
      <c r="A53">
        <v>4007054</v>
      </c>
      <c r="B53" s="62" t="s">
        <v>1917</v>
      </c>
      <c r="C53" t="s">
        <v>1044</v>
      </c>
      <c r="D53">
        <v>1</v>
      </c>
    </row>
    <row r="54" spans="1:4" x14ac:dyDescent="0.25">
      <c r="A54">
        <v>4011002</v>
      </c>
      <c r="B54" s="62" t="s">
        <v>1917</v>
      </c>
      <c r="C54" t="s">
        <v>1941</v>
      </c>
      <c r="D54">
        <v>2</v>
      </c>
    </row>
    <row r="55" spans="1:4" x14ac:dyDescent="0.25">
      <c r="A55">
        <v>4900268</v>
      </c>
      <c r="B55" s="62" t="s">
        <v>1917</v>
      </c>
      <c r="C55" t="s">
        <v>1051</v>
      </c>
      <c r="D55">
        <v>1</v>
      </c>
    </row>
    <row r="56" spans="1:4" x14ac:dyDescent="0.25">
      <c r="A56">
        <v>5001097</v>
      </c>
      <c r="B56" s="62" t="s">
        <v>1917</v>
      </c>
      <c r="C56" t="s">
        <v>1942</v>
      </c>
      <c r="D56">
        <v>2</v>
      </c>
    </row>
    <row r="57" spans="1:4" x14ac:dyDescent="0.25">
      <c r="A57">
        <v>5001098</v>
      </c>
      <c r="B57" s="62" t="s">
        <v>1917</v>
      </c>
      <c r="C57" t="s">
        <v>1431</v>
      </c>
      <c r="D57">
        <v>1</v>
      </c>
    </row>
    <row r="58" spans="1:4" x14ac:dyDescent="0.25">
      <c r="A58">
        <v>5006152</v>
      </c>
      <c r="B58" s="62" t="s">
        <v>1917</v>
      </c>
      <c r="C58" t="s">
        <v>1943</v>
      </c>
      <c r="D58">
        <v>2</v>
      </c>
    </row>
    <row r="59" spans="1:4" x14ac:dyDescent="0.25">
      <c r="A59">
        <v>6015793</v>
      </c>
      <c r="B59" s="62" t="s">
        <v>1917</v>
      </c>
      <c r="C59" t="s">
        <v>1944</v>
      </c>
      <c r="D59">
        <v>4</v>
      </c>
    </row>
    <row r="60" spans="1:4" x14ac:dyDescent="0.25">
      <c r="A60">
        <v>8073645</v>
      </c>
      <c r="B60" s="62" t="s">
        <v>1917</v>
      </c>
      <c r="C60" t="s">
        <v>4</v>
      </c>
      <c r="D60">
        <v>1</v>
      </c>
    </row>
    <row r="61" spans="1:4" x14ac:dyDescent="0.25">
      <c r="A61">
        <v>8089666</v>
      </c>
      <c r="B61" s="62" t="s">
        <v>1917</v>
      </c>
      <c r="C61" t="s">
        <v>1945</v>
      </c>
      <c r="D61">
        <v>5</v>
      </c>
    </row>
    <row r="62" spans="1:4" x14ac:dyDescent="0.25">
      <c r="A62">
        <v>9090287</v>
      </c>
      <c r="B62" s="62" t="s">
        <v>1917</v>
      </c>
      <c r="C62" t="s">
        <v>1946</v>
      </c>
      <c r="D62">
        <v>4</v>
      </c>
    </row>
    <row r="63" spans="1:4" x14ac:dyDescent="0.25">
      <c r="A63">
        <v>9095148</v>
      </c>
      <c r="B63" s="62" t="s">
        <v>1917</v>
      </c>
      <c r="C63" t="s">
        <v>1935</v>
      </c>
      <c r="D63">
        <v>2</v>
      </c>
    </row>
    <row r="64" spans="1:4" x14ac:dyDescent="0.25">
      <c r="A64">
        <v>10020659</v>
      </c>
      <c r="B64" s="62" t="s">
        <v>1917</v>
      </c>
      <c r="C64" t="s">
        <v>1947</v>
      </c>
      <c r="D64">
        <v>3</v>
      </c>
    </row>
    <row r="65" spans="1:4" x14ac:dyDescent="0.25">
      <c r="A65">
        <v>10025902</v>
      </c>
      <c r="B65" s="62" t="s">
        <v>1917</v>
      </c>
      <c r="C65" t="s">
        <v>1948</v>
      </c>
      <c r="D65">
        <v>2</v>
      </c>
    </row>
    <row r="66" spans="1:4" x14ac:dyDescent="0.25">
      <c r="A66">
        <v>10098420</v>
      </c>
      <c r="B66" s="62" t="s">
        <v>1917</v>
      </c>
      <c r="C66" t="s">
        <v>1949</v>
      </c>
      <c r="D66">
        <v>3</v>
      </c>
    </row>
    <row r="67" spans="1:4" x14ac:dyDescent="0.25">
      <c r="A67">
        <v>10173664</v>
      </c>
      <c r="B67" s="62" t="s">
        <v>1917</v>
      </c>
      <c r="C67" t="s">
        <v>782</v>
      </c>
      <c r="D67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92C0-2E58-40EF-AD6B-FE934DA46573}">
  <dimension ref="A1:AE239"/>
  <sheetViews>
    <sheetView workbookViewId="0">
      <selection activeCell="F6" sqref="F6"/>
    </sheetView>
  </sheetViews>
  <sheetFormatPr baseColWidth="10" defaultRowHeight="15" x14ac:dyDescent="0.25"/>
  <cols>
    <col min="1" max="1" width="17.140625" customWidth="1"/>
    <col min="2" max="3" width="32.85546875" customWidth="1"/>
    <col min="4" max="7" width="31.85546875" customWidth="1"/>
    <col min="8" max="8" width="30.7109375" customWidth="1"/>
    <col min="9" max="9" width="22.85546875" customWidth="1"/>
    <col min="17" max="24" width="11.7109375" customWidth="1"/>
    <col min="25" max="31" width="14.42578125" customWidth="1"/>
  </cols>
  <sheetData>
    <row r="1" spans="1:31" ht="60" x14ac:dyDescent="0.25">
      <c r="A1" s="57" t="s">
        <v>43</v>
      </c>
      <c r="B1" s="66" t="s">
        <v>1432</v>
      </c>
      <c r="C1" s="66" t="s">
        <v>891</v>
      </c>
      <c r="D1" s="66" t="s">
        <v>1403</v>
      </c>
      <c r="E1" s="66" t="s">
        <v>1421</v>
      </c>
      <c r="F1" s="66" t="s">
        <v>1764</v>
      </c>
      <c r="G1" s="66" t="s">
        <v>1587</v>
      </c>
      <c r="H1" s="66" t="s">
        <v>1765</v>
      </c>
      <c r="I1" s="66" t="s">
        <v>583</v>
      </c>
      <c r="J1" s="65" t="s">
        <v>756</v>
      </c>
      <c r="K1" s="66" t="s">
        <v>767</v>
      </c>
      <c r="L1" s="66" t="s">
        <v>781</v>
      </c>
      <c r="M1" s="66" t="s">
        <v>783</v>
      </c>
      <c r="N1" s="66" t="s">
        <v>768</v>
      </c>
      <c r="O1" s="66" t="s">
        <v>809</v>
      </c>
      <c r="P1" s="66" t="s">
        <v>1422</v>
      </c>
      <c r="Q1" s="66" t="s">
        <v>975</v>
      </c>
      <c r="R1" s="66" t="s">
        <v>918</v>
      </c>
      <c r="S1" s="66" t="s">
        <v>919</v>
      </c>
      <c r="T1" s="66" t="s">
        <v>810</v>
      </c>
      <c r="U1" s="66" t="s">
        <v>1520</v>
      </c>
      <c r="V1" s="66" t="s">
        <v>894</v>
      </c>
      <c r="W1" s="66" t="s">
        <v>727</v>
      </c>
      <c r="X1" s="66" t="s">
        <v>778</v>
      </c>
      <c r="Y1" s="66" t="s">
        <v>1540</v>
      </c>
      <c r="Z1" s="66" t="s">
        <v>1539</v>
      </c>
      <c r="AA1" s="66" t="s">
        <v>1541</v>
      </c>
      <c r="AB1" s="66" t="s">
        <v>1716</v>
      </c>
      <c r="AC1" s="66" t="s">
        <v>1542</v>
      </c>
      <c r="AD1" s="66" t="s">
        <v>935</v>
      </c>
      <c r="AE1" s="66" t="s">
        <v>1543</v>
      </c>
    </row>
    <row r="2" spans="1:31" x14ac:dyDescent="0.25">
      <c r="A2" s="40" t="s">
        <v>512</v>
      </c>
    </row>
    <row r="3" spans="1:31" x14ac:dyDescent="0.25">
      <c r="A3" s="10" t="s">
        <v>1868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25">
      <c r="A4" s="48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x14ac:dyDescent="0.25">
      <c r="A5" s="48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25">
      <c r="A6" s="48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25">
      <c r="A7" s="48">
        <v>95005911</v>
      </c>
    </row>
    <row r="8" spans="1:31" x14ac:dyDescent="0.25">
      <c r="A8" s="48">
        <v>99001908</v>
      </c>
    </row>
    <row r="9" spans="1:31" x14ac:dyDescent="0.25">
      <c r="A9" s="48">
        <v>99004067</v>
      </c>
    </row>
    <row r="10" spans="1:31" x14ac:dyDescent="0.25">
      <c r="A10" s="48">
        <v>97002136</v>
      </c>
    </row>
    <row r="11" spans="1:31" x14ac:dyDescent="0.25">
      <c r="A11" s="48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25">
      <c r="A12" s="48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25">
      <c r="A13" s="48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x14ac:dyDescent="0.25">
      <c r="A14" s="48"/>
    </row>
    <row r="15" spans="1:31" x14ac:dyDescent="0.25">
      <c r="A15" s="50" t="s">
        <v>1869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25">
      <c r="A16" s="48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25">
      <c r="A17" s="48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25">
      <c r="A18" s="4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25">
      <c r="A19" s="48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25">
      <c r="A20" s="49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25">
      <c r="A21" s="50" t="s">
        <v>1870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25">
      <c r="A22" s="48">
        <v>1480</v>
      </c>
    </row>
    <row r="23" spans="1:31" x14ac:dyDescent="0.25">
      <c r="A23" s="48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25">
      <c r="A24" s="48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25">
      <c r="A25" s="48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25">
      <c r="A26" s="48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25">
      <c r="A27" s="48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25">
      <c r="A28" s="4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25">
      <c r="A29" s="48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25">
      <c r="A30" s="48">
        <v>99000897</v>
      </c>
    </row>
    <row r="31" spans="1:31" x14ac:dyDescent="0.25">
      <c r="A31" s="48">
        <v>99001245</v>
      </c>
    </row>
    <row r="32" spans="1:31" x14ac:dyDescent="0.25">
      <c r="A32" s="48">
        <v>99001902</v>
      </c>
    </row>
    <row r="33" spans="1:31" x14ac:dyDescent="0.25">
      <c r="A33" s="48">
        <v>99001912</v>
      </c>
    </row>
    <row r="34" spans="1:31" x14ac:dyDescent="0.25">
      <c r="A34" s="48">
        <v>99001913</v>
      </c>
    </row>
    <row r="35" spans="1:31" x14ac:dyDescent="0.25">
      <c r="A35" s="48">
        <v>99001937</v>
      </c>
    </row>
    <row r="36" spans="1:31" x14ac:dyDescent="0.25">
      <c r="A36" s="48">
        <v>99001943</v>
      </c>
    </row>
    <row r="37" spans="1:31" x14ac:dyDescent="0.25">
      <c r="A37" s="48">
        <v>99001927</v>
      </c>
    </row>
    <row r="38" spans="1:31" x14ac:dyDescent="0.25">
      <c r="A38" s="4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x14ac:dyDescent="0.25">
      <c r="A39" s="48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25">
      <c r="A40" s="48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x14ac:dyDescent="0.25">
      <c r="A41" s="48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25">
      <c r="A42" s="48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25">
      <c r="A43" s="4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25">
      <c r="A44" s="25" t="s">
        <v>129</v>
      </c>
    </row>
    <row r="45" spans="1:31" x14ac:dyDescent="0.25">
      <c r="A45" s="50" t="s">
        <v>106</v>
      </c>
    </row>
    <row r="46" spans="1:31" x14ac:dyDescent="0.25">
      <c r="A46" s="48">
        <v>6016435</v>
      </c>
    </row>
    <row r="47" spans="1:31" x14ac:dyDescent="0.25">
      <c r="A47" s="48">
        <v>8045149</v>
      </c>
    </row>
    <row r="48" spans="1:31" x14ac:dyDescent="0.25">
      <c r="A48" s="48">
        <v>10023001</v>
      </c>
    </row>
    <row r="49" spans="1:1" x14ac:dyDescent="0.25">
      <c r="A49" s="48">
        <v>10027526</v>
      </c>
    </row>
    <row r="50" spans="1:1" x14ac:dyDescent="0.25">
      <c r="A50" s="48">
        <v>14222171</v>
      </c>
    </row>
    <row r="51" spans="1:1" x14ac:dyDescent="0.25">
      <c r="A51" s="48">
        <v>1006143</v>
      </c>
    </row>
    <row r="52" spans="1:1" x14ac:dyDescent="0.25">
      <c r="A52" s="48">
        <v>6006917</v>
      </c>
    </row>
    <row r="53" spans="1:1" x14ac:dyDescent="0.25">
      <c r="A53" s="48"/>
    </row>
    <row r="54" spans="1:1" x14ac:dyDescent="0.25">
      <c r="A54" s="50" t="s">
        <v>109</v>
      </c>
    </row>
    <row r="55" spans="1:1" x14ac:dyDescent="0.25">
      <c r="A55" s="48">
        <v>8057159</v>
      </c>
    </row>
    <row r="56" spans="1:1" x14ac:dyDescent="0.25">
      <c r="A56" s="48">
        <v>9140312</v>
      </c>
    </row>
    <row r="57" spans="1:1" x14ac:dyDescent="0.25">
      <c r="A57" s="48">
        <v>12008230</v>
      </c>
    </row>
    <row r="58" spans="1:1" x14ac:dyDescent="0.25">
      <c r="A58" s="48">
        <v>12088444</v>
      </c>
    </row>
    <row r="59" spans="1:1" x14ac:dyDescent="0.25">
      <c r="A59" s="48">
        <v>13118872</v>
      </c>
    </row>
    <row r="60" spans="1:1" x14ac:dyDescent="0.25">
      <c r="A60" s="48">
        <v>12012030</v>
      </c>
    </row>
    <row r="61" spans="1:1" x14ac:dyDescent="0.25">
      <c r="A61" s="48"/>
    </row>
    <row r="62" spans="1:1" x14ac:dyDescent="0.25">
      <c r="A62" s="50" t="s">
        <v>83</v>
      </c>
    </row>
    <row r="63" spans="1:1" x14ac:dyDescent="0.25">
      <c r="A63" s="48">
        <v>9074418</v>
      </c>
    </row>
    <row r="64" spans="1:1" x14ac:dyDescent="0.25">
      <c r="A64" s="48">
        <v>1263</v>
      </c>
    </row>
    <row r="65" spans="1:31" x14ac:dyDescent="0.25">
      <c r="A65" s="48">
        <v>98004910</v>
      </c>
    </row>
    <row r="66" spans="1:31" x14ac:dyDescent="0.25">
      <c r="A66" s="48">
        <v>7103068</v>
      </c>
      <c r="I66">
        <v>2.0499999999999998</v>
      </c>
    </row>
    <row r="67" spans="1:31" x14ac:dyDescent="0.25">
      <c r="A67" s="48">
        <v>11240728</v>
      </c>
    </row>
    <row r="68" spans="1:31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x14ac:dyDescent="0.25">
      <c r="A69" s="26" t="s">
        <v>130</v>
      </c>
    </row>
    <row r="70" spans="1:31" x14ac:dyDescent="0.25">
      <c r="A70" s="10" t="s">
        <v>106</v>
      </c>
    </row>
    <row r="71" spans="1:31" x14ac:dyDescent="0.25">
      <c r="A71" s="48">
        <v>5015869</v>
      </c>
    </row>
    <row r="72" spans="1:31" x14ac:dyDescent="0.25">
      <c r="A72" s="48">
        <v>5016969</v>
      </c>
    </row>
    <row r="73" spans="1:31" x14ac:dyDescent="0.25">
      <c r="A73" s="48">
        <v>6023231</v>
      </c>
    </row>
    <row r="74" spans="1:31" x14ac:dyDescent="0.25">
      <c r="A74" s="48">
        <v>6010712</v>
      </c>
    </row>
    <row r="75" spans="1:31" x14ac:dyDescent="0.25">
      <c r="A75" s="48">
        <v>6011198</v>
      </c>
    </row>
    <row r="76" spans="1:31" x14ac:dyDescent="0.25">
      <c r="A76" s="48">
        <v>6012681</v>
      </c>
    </row>
    <row r="77" spans="1:31" x14ac:dyDescent="0.25">
      <c r="A77" s="48">
        <v>6014511</v>
      </c>
    </row>
    <row r="78" spans="1:31" x14ac:dyDescent="0.25">
      <c r="A78" s="48">
        <v>6045127</v>
      </c>
    </row>
    <row r="79" spans="1:31" x14ac:dyDescent="0.25">
      <c r="A79" s="48">
        <v>7000458</v>
      </c>
    </row>
    <row r="80" spans="1:31" x14ac:dyDescent="0.25">
      <c r="A80" s="48">
        <v>7015502</v>
      </c>
    </row>
    <row r="81" spans="1:26" x14ac:dyDescent="0.25">
      <c r="A81" s="48">
        <v>7025847</v>
      </c>
    </row>
    <row r="82" spans="1:26" x14ac:dyDescent="0.25">
      <c r="A82" s="48">
        <v>7082707</v>
      </c>
    </row>
    <row r="83" spans="1:26" x14ac:dyDescent="0.25">
      <c r="A83" s="48">
        <v>7083159</v>
      </c>
    </row>
    <row r="84" spans="1:26" x14ac:dyDescent="0.25">
      <c r="A84" s="48">
        <v>7084659</v>
      </c>
    </row>
    <row r="85" spans="1:26" x14ac:dyDescent="0.25">
      <c r="A85" s="48">
        <v>7076814</v>
      </c>
    </row>
    <row r="86" spans="1:26" x14ac:dyDescent="0.25">
      <c r="A86" s="48">
        <v>7076815</v>
      </c>
    </row>
    <row r="87" spans="1:26" x14ac:dyDescent="0.25">
      <c r="A87" s="48">
        <v>7089231</v>
      </c>
    </row>
    <row r="88" spans="1:26" x14ac:dyDescent="0.25">
      <c r="A88" s="48">
        <v>7116004</v>
      </c>
    </row>
    <row r="89" spans="1:26" x14ac:dyDescent="0.25">
      <c r="A89" s="48">
        <v>8003819</v>
      </c>
    </row>
    <row r="90" spans="1:26" x14ac:dyDescent="0.25">
      <c r="A90" s="48">
        <v>8091779</v>
      </c>
    </row>
    <row r="91" spans="1:26" x14ac:dyDescent="0.25">
      <c r="A91" s="48">
        <v>8097989</v>
      </c>
    </row>
    <row r="92" spans="1:26" x14ac:dyDescent="0.25">
      <c r="A92" s="48">
        <v>8112522</v>
      </c>
    </row>
    <row r="93" spans="1:26" x14ac:dyDescent="0.25">
      <c r="A93" s="48">
        <v>8127397</v>
      </c>
    </row>
    <row r="94" spans="1:26" x14ac:dyDescent="0.25">
      <c r="A94" s="48">
        <v>8130998</v>
      </c>
    </row>
    <row r="95" spans="1:26" x14ac:dyDescent="0.25">
      <c r="A95" s="48">
        <v>9002836</v>
      </c>
    </row>
    <row r="96" spans="1:26" x14ac:dyDescent="0.25">
      <c r="A96" s="48">
        <v>9003331</v>
      </c>
      <c r="W96">
        <v>1.23</v>
      </c>
      <c r="Z96">
        <v>0.98</v>
      </c>
    </row>
    <row r="97" spans="1:24" x14ac:dyDescent="0.25">
      <c r="A97" s="48">
        <v>9003370</v>
      </c>
      <c r="J97">
        <v>1</v>
      </c>
    </row>
    <row r="98" spans="1:24" x14ac:dyDescent="0.25">
      <c r="A98" s="48">
        <v>9016278</v>
      </c>
    </row>
    <row r="99" spans="1:24" x14ac:dyDescent="0.25">
      <c r="A99" s="48">
        <v>9030684</v>
      </c>
      <c r="J99">
        <v>5.5</v>
      </c>
      <c r="K99">
        <v>1.1000000000000001</v>
      </c>
      <c r="N99">
        <v>1.2</v>
      </c>
    </row>
    <row r="100" spans="1:24" x14ac:dyDescent="0.25">
      <c r="A100" s="48">
        <v>9031387</v>
      </c>
      <c r="W100">
        <v>2.14</v>
      </c>
      <c r="X100">
        <v>1.29</v>
      </c>
    </row>
    <row r="101" spans="1:24" x14ac:dyDescent="0.25">
      <c r="A101" s="48">
        <v>9038676</v>
      </c>
      <c r="J101">
        <v>2.5</v>
      </c>
      <c r="K101">
        <v>1.6</v>
      </c>
      <c r="L101">
        <v>1.2</v>
      </c>
    </row>
    <row r="102" spans="1:24" x14ac:dyDescent="0.25">
      <c r="A102" s="48">
        <v>9039416</v>
      </c>
      <c r="M102">
        <v>0.9</v>
      </c>
    </row>
    <row r="103" spans="1:24" x14ac:dyDescent="0.25">
      <c r="A103" s="48">
        <v>9042861</v>
      </c>
    </row>
    <row r="104" spans="1:24" x14ac:dyDescent="0.25">
      <c r="A104" s="48">
        <v>9044899</v>
      </c>
    </row>
    <row r="105" spans="1:24" x14ac:dyDescent="0.25">
      <c r="A105" s="48">
        <v>9052398</v>
      </c>
      <c r="J105">
        <v>1.26</v>
      </c>
    </row>
    <row r="106" spans="1:24" x14ac:dyDescent="0.25">
      <c r="A106" s="48">
        <v>9085204</v>
      </c>
    </row>
    <row r="107" spans="1:24" x14ac:dyDescent="0.25">
      <c r="A107" s="48">
        <v>9090323</v>
      </c>
    </row>
    <row r="108" spans="1:24" x14ac:dyDescent="0.25">
      <c r="A108" s="48">
        <v>9105492</v>
      </c>
    </row>
    <row r="109" spans="1:24" x14ac:dyDescent="0.25">
      <c r="A109" s="48">
        <v>9138470</v>
      </c>
    </row>
    <row r="110" spans="1:24" x14ac:dyDescent="0.25">
      <c r="A110" s="48">
        <v>9150676</v>
      </c>
    </row>
    <row r="111" spans="1:24" x14ac:dyDescent="0.25">
      <c r="A111" s="48">
        <v>10010926</v>
      </c>
      <c r="J111">
        <v>1.1000000000000001</v>
      </c>
      <c r="L111">
        <v>1.1100000000000001</v>
      </c>
    </row>
    <row r="112" spans="1:24" x14ac:dyDescent="0.25">
      <c r="A112" s="48">
        <v>10016588</v>
      </c>
    </row>
    <row r="113" spans="1:22" x14ac:dyDescent="0.25">
      <c r="A113" s="48">
        <v>10030897</v>
      </c>
      <c r="L113">
        <v>1.1499999999999999</v>
      </c>
      <c r="O113">
        <v>1.1000000000000001</v>
      </c>
      <c r="T113">
        <v>1.08</v>
      </c>
    </row>
    <row r="114" spans="1:22" x14ac:dyDescent="0.25">
      <c r="A114" s="48">
        <v>324</v>
      </c>
    </row>
    <row r="115" spans="1:22" x14ac:dyDescent="0.25">
      <c r="A115" s="48">
        <v>3909</v>
      </c>
    </row>
    <row r="116" spans="1:22" x14ac:dyDescent="0.25">
      <c r="A116" s="48">
        <v>4663</v>
      </c>
      <c r="C116">
        <v>0.98</v>
      </c>
      <c r="V116">
        <v>2.48</v>
      </c>
    </row>
    <row r="117" spans="1:22" x14ac:dyDescent="0.25">
      <c r="A117" s="48">
        <v>1005522</v>
      </c>
    </row>
    <row r="118" spans="1:22" x14ac:dyDescent="0.25">
      <c r="A118" s="48">
        <v>1007631</v>
      </c>
    </row>
    <row r="119" spans="1:22" x14ac:dyDescent="0.25">
      <c r="A119" s="48">
        <v>1009760</v>
      </c>
    </row>
    <row r="120" spans="1:22" x14ac:dyDescent="0.25">
      <c r="A120" s="48">
        <v>2000646</v>
      </c>
      <c r="J120">
        <v>1.1299999999999999</v>
      </c>
      <c r="K120">
        <v>1.1499999999999999</v>
      </c>
      <c r="R120">
        <v>1.06</v>
      </c>
      <c r="S120">
        <v>0.99</v>
      </c>
      <c r="T120">
        <v>1.04</v>
      </c>
    </row>
    <row r="121" spans="1:22" x14ac:dyDescent="0.25">
      <c r="A121" s="48">
        <v>2003761</v>
      </c>
    </row>
    <row r="122" spans="1:22" x14ac:dyDescent="0.25">
      <c r="A122" s="48">
        <v>2004061</v>
      </c>
    </row>
    <row r="123" spans="1:22" x14ac:dyDescent="0.25">
      <c r="A123" s="48">
        <v>2006469</v>
      </c>
    </row>
    <row r="124" spans="1:22" x14ac:dyDescent="0.25">
      <c r="A124" s="48">
        <v>3005132</v>
      </c>
      <c r="J124">
        <v>1.78</v>
      </c>
    </row>
    <row r="125" spans="1:22" x14ac:dyDescent="0.25">
      <c r="A125" s="48">
        <v>3009119</v>
      </c>
    </row>
    <row r="126" spans="1:22" x14ac:dyDescent="0.25">
      <c r="A126" s="48">
        <v>3009936</v>
      </c>
    </row>
    <row r="127" spans="1:22" x14ac:dyDescent="0.25">
      <c r="A127" s="48">
        <v>3011094</v>
      </c>
    </row>
    <row r="128" spans="1:22" x14ac:dyDescent="0.25">
      <c r="A128" s="48">
        <v>3014643</v>
      </c>
    </row>
    <row r="129" spans="1:30" x14ac:dyDescent="0.25">
      <c r="A129" s="48">
        <v>3016056</v>
      </c>
      <c r="AD129">
        <v>1</v>
      </c>
    </row>
    <row r="130" spans="1:30" x14ac:dyDescent="0.25">
      <c r="A130" s="48">
        <v>3900219</v>
      </c>
    </row>
    <row r="131" spans="1:30" x14ac:dyDescent="0.25">
      <c r="A131" s="48">
        <v>4000158</v>
      </c>
    </row>
    <row r="132" spans="1:30" x14ac:dyDescent="0.25">
      <c r="A132" s="48">
        <v>4000304</v>
      </c>
    </row>
    <row r="133" spans="1:30" x14ac:dyDescent="0.25">
      <c r="A133" s="48">
        <v>4001905</v>
      </c>
    </row>
    <row r="134" spans="1:30" x14ac:dyDescent="0.25">
      <c r="A134" s="48">
        <v>4002206</v>
      </c>
    </row>
    <row r="135" spans="1:30" x14ac:dyDescent="0.25">
      <c r="A135" s="48">
        <v>4002715</v>
      </c>
    </row>
    <row r="136" spans="1:30" x14ac:dyDescent="0.25">
      <c r="A136" s="48">
        <v>4003924</v>
      </c>
    </row>
    <row r="137" spans="1:30" x14ac:dyDescent="0.25">
      <c r="A137" s="48">
        <v>4006051</v>
      </c>
    </row>
    <row r="138" spans="1:30" x14ac:dyDescent="0.25">
      <c r="A138" s="48">
        <v>4008140</v>
      </c>
    </row>
    <row r="139" spans="1:30" x14ac:dyDescent="0.25">
      <c r="A139" s="48">
        <v>4009906</v>
      </c>
    </row>
    <row r="140" spans="1:30" x14ac:dyDescent="0.25">
      <c r="A140" s="48">
        <v>4011027</v>
      </c>
      <c r="K140">
        <v>2.5</v>
      </c>
      <c r="L140">
        <v>2</v>
      </c>
      <c r="Q140">
        <v>1.1000000000000001</v>
      </c>
      <c r="R140">
        <v>1.1000000000000001</v>
      </c>
    </row>
    <row r="141" spans="1:30" x14ac:dyDescent="0.25">
      <c r="A141" s="48">
        <v>4011920</v>
      </c>
    </row>
    <row r="142" spans="1:30" x14ac:dyDescent="0.25">
      <c r="A142" s="48">
        <v>4012248</v>
      </c>
    </row>
    <row r="143" spans="1:30" x14ac:dyDescent="0.25">
      <c r="A143" s="48">
        <v>4013603</v>
      </c>
    </row>
    <row r="144" spans="1:30" x14ac:dyDescent="0.25">
      <c r="A144" s="48">
        <v>5004654</v>
      </c>
      <c r="M144">
        <v>1.1299999999999999</v>
      </c>
      <c r="N144">
        <v>1.1499999999999999</v>
      </c>
      <c r="O144">
        <v>1.1200000000000001</v>
      </c>
      <c r="R144">
        <v>1.05</v>
      </c>
    </row>
    <row r="145" spans="1:13" x14ac:dyDescent="0.25">
      <c r="A145" s="52"/>
    </row>
    <row r="146" spans="1:13" x14ac:dyDescent="0.25">
      <c r="A146" s="50" t="s">
        <v>109</v>
      </c>
    </row>
    <row r="147" spans="1:13" x14ac:dyDescent="0.25">
      <c r="A147" s="48">
        <v>4289</v>
      </c>
      <c r="J147">
        <v>1.02</v>
      </c>
      <c r="K147">
        <v>1.4</v>
      </c>
      <c r="L147">
        <v>2.37</v>
      </c>
      <c r="M147">
        <v>2.72</v>
      </c>
    </row>
    <row r="148" spans="1:13" x14ac:dyDescent="0.25">
      <c r="A148" s="48">
        <v>500245</v>
      </c>
    </row>
    <row r="149" spans="1:13" x14ac:dyDescent="0.25">
      <c r="A149" s="48">
        <v>2002573</v>
      </c>
    </row>
    <row r="150" spans="1:13" x14ac:dyDescent="0.25">
      <c r="A150" s="48">
        <v>2003539</v>
      </c>
    </row>
    <row r="151" spans="1:13" x14ac:dyDescent="0.25">
      <c r="A151" s="48">
        <v>2003649</v>
      </c>
    </row>
    <row r="152" spans="1:13" x14ac:dyDescent="0.25">
      <c r="A152" s="48">
        <v>2005572</v>
      </c>
      <c r="J152">
        <v>1.04</v>
      </c>
    </row>
    <row r="153" spans="1:13" x14ac:dyDescent="0.25">
      <c r="A153" s="48">
        <v>2013117</v>
      </c>
    </row>
    <row r="154" spans="1:13" x14ac:dyDescent="0.25">
      <c r="A154" s="48">
        <v>3009633</v>
      </c>
    </row>
    <row r="155" spans="1:13" x14ac:dyDescent="0.25">
      <c r="A155" s="48">
        <v>3010583</v>
      </c>
    </row>
    <row r="156" spans="1:13" x14ac:dyDescent="0.25">
      <c r="A156" s="23">
        <v>3011892</v>
      </c>
    </row>
    <row r="157" spans="1:13" x14ac:dyDescent="0.25">
      <c r="A157">
        <v>4001382</v>
      </c>
    </row>
    <row r="158" spans="1:13" x14ac:dyDescent="0.25">
      <c r="A158" s="48">
        <v>5018675</v>
      </c>
    </row>
    <row r="159" spans="1:13" x14ac:dyDescent="0.25">
      <c r="A159" s="48">
        <v>6050168</v>
      </c>
    </row>
    <row r="160" spans="1:13" x14ac:dyDescent="0.25">
      <c r="A160" s="48">
        <v>5006592</v>
      </c>
    </row>
    <row r="161" spans="1:31" x14ac:dyDescent="0.25">
      <c r="A161" s="48">
        <v>5007274</v>
      </c>
      <c r="J161">
        <v>2.5</v>
      </c>
      <c r="U161">
        <v>4</v>
      </c>
    </row>
    <row r="162" spans="1:31" x14ac:dyDescent="0.25">
      <c r="A162" s="48">
        <v>5015851</v>
      </c>
      <c r="Y162">
        <v>0.9</v>
      </c>
      <c r="AA162">
        <v>1</v>
      </c>
      <c r="AC162">
        <v>1</v>
      </c>
      <c r="AE162">
        <v>1</v>
      </c>
    </row>
    <row r="163" spans="1:31" x14ac:dyDescent="0.25">
      <c r="A163" s="48">
        <v>6015647</v>
      </c>
      <c r="J163">
        <v>1.21</v>
      </c>
    </row>
    <row r="164" spans="1:31" x14ac:dyDescent="0.25">
      <c r="A164" s="48">
        <v>6056633</v>
      </c>
    </row>
    <row r="165" spans="1:31" x14ac:dyDescent="0.25">
      <c r="A165" s="48">
        <v>7086224</v>
      </c>
      <c r="T165">
        <v>1.19</v>
      </c>
    </row>
    <row r="166" spans="1:31" x14ac:dyDescent="0.25">
      <c r="A166" s="48">
        <v>8040959</v>
      </c>
    </row>
    <row r="167" spans="1:31" x14ac:dyDescent="0.25">
      <c r="A167" s="48">
        <v>8107048</v>
      </c>
      <c r="J167">
        <v>0.92</v>
      </c>
    </row>
    <row r="168" spans="1:31" x14ac:dyDescent="0.25">
      <c r="A168" s="48">
        <v>8124044</v>
      </c>
    </row>
    <row r="169" spans="1:31" x14ac:dyDescent="0.25">
      <c r="A169" s="48">
        <v>8142949</v>
      </c>
    </row>
    <row r="170" spans="1:31" x14ac:dyDescent="0.25">
      <c r="A170" s="48">
        <v>9023306</v>
      </c>
    </row>
    <row r="171" spans="1:31" x14ac:dyDescent="0.25">
      <c r="A171" s="48">
        <v>9030615</v>
      </c>
      <c r="M171">
        <v>1.05</v>
      </c>
    </row>
    <row r="172" spans="1:31" x14ac:dyDescent="0.25">
      <c r="A172" s="48">
        <v>9034464</v>
      </c>
    </row>
    <row r="173" spans="1:31" x14ac:dyDescent="0.25">
      <c r="A173" s="48">
        <v>9040167</v>
      </c>
      <c r="G173">
        <v>0.93</v>
      </c>
    </row>
    <row r="174" spans="1:31" x14ac:dyDescent="0.25">
      <c r="A174" s="48">
        <v>9054567</v>
      </c>
    </row>
    <row r="175" spans="1:31" x14ac:dyDescent="0.25">
      <c r="A175" s="48">
        <v>9083682</v>
      </c>
      <c r="I175">
        <v>1.06</v>
      </c>
    </row>
    <row r="176" spans="1:31" x14ac:dyDescent="0.25">
      <c r="A176" s="48">
        <v>9102044</v>
      </c>
    </row>
    <row r="177" spans="1:1" x14ac:dyDescent="0.25">
      <c r="A177" s="48">
        <v>9119854</v>
      </c>
    </row>
    <row r="178" spans="1:1" x14ac:dyDescent="0.25">
      <c r="A178" s="48">
        <v>9125126</v>
      </c>
    </row>
    <row r="179" spans="1:1" x14ac:dyDescent="0.25">
      <c r="A179" s="48">
        <v>9174811</v>
      </c>
    </row>
    <row r="180" spans="1:1" x14ac:dyDescent="0.25">
      <c r="A180" s="48">
        <v>10002875</v>
      </c>
    </row>
    <row r="181" spans="1:1" x14ac:dyDescent="0.25">
      <c r="A181" s="48">
        <v>10023080</v>
      </c>
    </row>
    <row r="182" spans="1:1" x14ac:dyDescent="0.25">
      <c r="A182" s="48">
        <v>10025212</v>
      </c>
    </row>
    <row r="183" spans="1:1" x14ac:dyDescent="0.25">
      <c r="A183" s="48">
        <v>10069407</v>
      </c>
    </row>
    <row r="184" spans="1:1" x14ac:dyDescent="0.25">
      <c r="A184" s="48">
        <v>10071135</v>
      </c>
    </row>
    <row r="185" spans="1:1" x14ac:dyDescent="0.25">
      <c r="A185" s="48">
        <v>10083649</v>
      </c>
    </row>
    <row r="186" spans="1:1" x14ac:dyDescent="0.25">
      <c r="A186" s="48">
        <v>10102021</v>
      </c>
    </row>
    <row r="187" spans="1:1" x14ac:dyDescent="0.25">
      <c r="A187" s="48">
        <v>10123729</v>
      </c>
    </row>
    <row r="188" spans="1:1" x14ac:dyDescent="0.25">
      <c r="A188" s="48">
        <v>10144736</v>
      </c>
    </row>
    <row r="189" spans="1:1" x14ac:dyDescent="0.25">
      <c r="A189" s="48">
        <v>10157275</v>
      </c>
    </row>
    <row r="190" spans="1:1" x14ac:dyDescent="0.25">
      <c r="A190" s="52"/>
    </row>
    <row r="191" spans="1:1" x14ac:dyDescent="0.25">
      <c r="A191" s="50" t="s">
        <v>83</v>
      </c>
    </row>
    <row r="192" spans="1:1" x14ac:dyDescent="0.25">
      <c r="A192" s="48">
        <v>5281</v>
      </c>
    </row>
    <row r="193" spans="1:20" x14ac:dyDescent="0.25">
      <c r="A193" s="48">
        <v>200085</v>
      </c>
    </row>
    <row r="194" spans="1:20" x14ac:dyDescent="0.25">
      <c r="A194" s="48">
        <v>500129</v>
      </c>
      <c r="O194">
        <v>1.2</v>
      </c>
      <c r="Q194">
        <v>1.73</v>
      </c>
    </row>
    <row r="195" spans="1:20" x14ac:dyDescent="0.25">
      <c r="A195" s="51">
        <v>1002033</v>
      </c>
    </row>
    <row r="196" spans="1:20" x14ac:dyDescent="0.25">
      <c r="A196" s="48">
        <v>1003457</v>
      </c>
    </row>
    <row r="197" spans="1:20" x14ac:dyDescent="0.25">
      <c r="A197" s="48">
        <v>2005223</v>
      </c>
    </row>
    <row r="198" spans="1:20" x14ac:dyDescent="0.25">
      <c r="A198" s="48">
        <v>2006107</v>
      </c>
    </row>
    <row r="199" spans="1:20" x14ac:dyDescent="0.25">
      <c r="A199" s="48">
        <v>2012014</v>
      </c>
    </row>
    <row r="200" spans="1:20" x14ac:dyDescent="0.25">
      <c r="A200" s="48">
        <v>3000152</v>
      </c>
    </row>
    <row r="201" spans="1:20" x14ac:dyDescent="0.25">
      <c r="A201" s="48">
        <v>3014566</v>
      </c>
    </row>
    <row r="202" spans="1:20" x14ac:dyDescent="0.25">
      <c r="A202" s="48">
        <v>3015058</v>
      </c>
      <c r="C202">
        <v>1</v>
      </c>
      <c r="D202" s="14">
        <v>1.1499999999999999</v>
      </c>
      <c r="J202">
        <v>3.4</v>
      </c>
      <c r="K202">
        <v>64</v>
      </c>
      <c r="L202">
        <v>91</v>
      </c>
      <c r="R202">
        <v>1</v>
      </c>
    </row>
    <row r="203" spans="1:20" x14ac:dyDescent="0.25">
      <c r="A203" s="51">
        <v>4000996</v>
      </c>
      <c r="K203">
        <v>1</v>
      </c>
      <c r="M203">
        <v>1.1000000000000001</v>
      </c>
    </row>
    <row r="204" spans="1:20" x14ac:dyDescent="0.25">
      <c r="A204" s="48">
        <v>4003768</v>
      </c>
    </row>
    <row r="205" spans="1:20" x14ac:dyDescent="0.25">
      <c r="A205" s="48">
        <v>4006540</v>
      </c>
      <c r="T205">
        <v>1</v>
      </c>
    </row>
    <row r="206" spans="1:20" x14ac:dyDescent="0.25">
      <c r="A206" s="48">
        <v>4007054</v>
      </c>
      <c r="N206">
        <v>1.1000000000000001</v>
      </c>
    </row>
    <row r="207" spans="1:20" x14ac:dyDescent="0.25">
      <c r="A207" s="48">
        <v>4011002</v>
      </c>
      <c r="K207">
        <v>1.3</v>
      </c>
      <c r="O207">
        <v>1.3</v>
      </c>
    </row>
    <row r="208" spans="1:20" x14ac:dyDescent="0.25">
      <c r="A208" s="48">
        <v>4900268</v>
      </c>
    </row>
    <row r="209" spans="1:16" x14ac:dyDescent="0.25">
      <c r="A209" s="48">
        <v>5001097</v>
      </c>
      <c r="E209">
        <v>0.99</v>
      </c>
      <c r="P209">
        <v>0.9</v>
      </c>
    </row>
    <row r="210" spans="1:16" x14ac:dyDescent="0.25">
      <c r="A210" s="48">
        <v>5001098</v>
      </c>
      <c r="B210">
        <v>0.88</v>
      </c>
    </row>
    <row r="211" spans="1:16" x14ac:dyDescent="0.25">
      <c r="A211" s="48">
        <v>5006152</v>
      </c>
      <c r="K211">
        <v>1.98</v>
      </c>
    </row>
    <row r="212" spans="1:16" x14ac:dyDescent="0.25">
      <c r="A212" s="48">
        <v>6012361</v>
      </c>
    </row>
    <row r="213" spans="1:16" x14ac:dyDescent="0.25">
      <c r="A213" s="48">
        <v>6015793</v>
      </c>
    </row>
    <row r="214" spans="1:16" x14ac:dyDescent="0.25">
      <c r="A214" s="48">
        <v>6043619</v>
      </c>
    </row>
    <row r="215" spans="1:16" x14ac:dyDescent="0.25">
      <c r="A215" s="48">
        <v>7001097</v>
      </c>
    </row>
    <row r="216" spans="1:16" x14ac:dyDescent="0.25">
      <c r="A216" s="48">
        <v>7011435</v>
      </c>
    </row>
    <row r="217" spans="1:16" x14ac:dyDescent="0.25">
      <c r="A217" s="48">
        <v>7045811</v>
      </c>
    </row>
    <row r="218" spans="1:16" x14ac:dyDescent="0.25">
      <c r="A218" s="48">
        <v>7071198</v>
      </c>
    </row>
    <row r="219" spans="1:16" x14ac:dyDescent="0.25">
      <c r="A219" s="48">
        <v>7101143</v>
      </c>
    </row>
    <row r="220" spans="1:16" x14ac:dyDescent="0.25">
      <c r="A220" s="48">
        <v>8073350</v>
      </c>
    </row>
    <row r="221" spans="1:16" x14ac:dyDescent="0.25">
      <c r="A221" s="48">
        <v>8073645</v>
      </c>
    </row>
    <row r="222" spans="1:16" x14ac:dyDescent="0.25">
      <c r="A222" s="51">
        <v>8089666</v>
      </c>
      <c r="F222">
        <v>0.85</v>
      </c>
      <c r="G222" s="14">
        <v>1.2</v>
      </c>
      <c r="H222">
        <v>1.4</v>
      </c>
      <c r="J222" s="14">
        <v>5.88</v>
      </c>
      <c r="K222">
        <v>5.4</v>
      </c>
    </row>
    <row r="223" spans="1:16" x14ac:dyDescent="0.25">
      <c r="A223" s="48">
        <v>8103536</v>
      </c>
      <c r="I223">
        <v>0.98</v>
      </c>
    </row>
    <row r="224" spans="1:16" x14ac:dyDescent="0.25">
      <c r="A224" s="48">
        <v>8124816</v>
      </c>
    </row>
    <row r="225" spans="1:13" x14ac:dyDescent="0.25">
      <c r="A225" s="48">
        <v>9003267</v>
      </c>
    </row>
    <row r="226" spans="1:13" x14ac:dyDescent="0.25">
      <c r="A226" s="48">
        <v>9036964</v>
      </c>
    </row>
    <row r="227" spans="1:13" x14ac:dyDescent="0.25">
      <c r="A227" s="48">
        <v>9090287</v>
      </c>
      <c r="L227">
        <v>2.04</v>
      </c>
      <c r="M227">
        <v>1.69</v>
      </c>
    </row>
    <row r="228" spans="1:13" x14ac:dyDescent="0.25">
      <c r="A228" s="48">
        <v>9095148</v>
      </c>
      <c r="J228">
        <v>1.3</v>
      </c>
      <c r="K228">
        <v>1.1100000000000001</v>
      </c>
    </row>
    <row r="229" spans="1:13" x14ac:dyDescent="0.25">
      <c r="A229" s="48">
        <v>9104979</v>
      </c>
    </row>
    <row r="230" spans="1:13" x14ac:dyDescent="0.25">
      <c r="A230" s="48">
        <v>9139514</v>
      </c>
    </row>
    <row r="231" spans="1:13" x14ac:dyDescent="0.25">
      <c r="A231" s="48">
        <v>10020659</v>
      </c>
      <c r="J231">
        <v>4.2</v>
      </c>
    </row>
    <row r="232" spans="1:13" x14ac:dyDescent="0.25">
      <c r="A232" s="48">
        <v>10025902</v>
      </c>
    </row>
    <row r="233" spans="1:13" x14ac:dyDescent="0.25">
      <c r="A233" s="48">
        <v>10027654</v>
      </c>
    </row>
    <row r="234" spans="1:13" x14ac:dyDescent="0.25">
      <c r="A234" s="48">
        <v>10084485</v>
      </c>
    </row>
    <row r="235" spans="1:13" x14ac:dyDescent="0.25">
      <c r="A235" s="48">
        <v>10098420</v>
      </c>
      <c r="J235">
        <v>6.07</v>
      </c>
      <c r="K235">
        <v>4</v>
      </c>
      <c r="L235">
        <v>4.6399999999999997</v>
      </c>
    </row>
    <row r="236" spans="1:13" x14ac:dyDescent="0.25">
      <c r="A236" s="48">
        <v>10129565</v>
      </c>
    </row>
    <row r="237" spans="1:13" x14ac:dyDescent="0.25">
      <c r="A237" s="48">
        <v>10146828</v>
      </c>
    </row>
    <row r="238" spans="1:13" x14ac:dyDescent="0.25">
      <c r="A238">
        <v>10163776</v>
      </c>
      <c r="J238">
        <v>5.0199999999999996</v>
      </c>
    </row>
    <row r="239" spans="1:13" x14ac:dyDescent="0.25">
      <c r="A239">
        <v>10173664</v>
      </c>
      <c r="M239">
        <v>1.1200000000000001</v>
      </c>
    </row>
  </sheetData>
  <conditionalFormatting sqref="A19">
    <cfRule type="duplicateValues" dxfId="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96DB-C941-40C2-BC22-FAB43D4BA0D0}">
  <dimension ref="A1:D44"/>
  <sheetViews>
    <sheetView workbookViewId="0">
      <selection sqref="A1:D44"/>
    </sheetView>
  </sheetViews>
  <sheetFormatPr baseColWidth="10" defaultRowHeight="15" x14ac:dyDescent="0.25"/>
  <cols>
    <col min="1" max="1" width="17.28515625" bestFit="1" customWidth="1"/>
    <col min="2" max="2" width="6.4257812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1950</v>
      </c>
      <c r="C1" s="62" t="s">
        <v>1914</v>
      </c>
      <c r="D1" s="62" t="s">
        <v>1873</v>
      </c>
    </row>
    <row r="2" spans="1:4" x14ac:dyDescent="0.25">
      <c r="A2" s="62">
        <v>7103068</v>
      </c>
      <c r="B2" s="62" t="s">
        <v>1950</v>
      </c>
      <c r="C2" s="62" t="s">
        <v>583</v>
      </c>
      <c r="D2" s="62">
        <v>1</v>
      </c>
    </row>
    <row r="3" spans="1:4" x14ac:dyDescent="0.25">
      <c r="A3" s="62">
        <v>9003331</v>
      </c>
      <c r="B3" s="62" t="s">
        <v>1950</v>
      </c>
      <c r="C3" s="62" t="s">
        <v>1951</v>
      </c>
      <c r="D3" s="62">
        <v>2</v>
      </c>
    </row>
    <row r="4" spans="1:4" x14ac:dyDescent="0.25">
      <c r="A4" s="62">
        <v>9003370</v>
      </c>
      <c r="B4" s="62" t="s">
        <v>1950</v>
      </c>
      <c r="C4" s="62" t="s">
        <v>756</v>
      </c>
      <c r="D4" s="62">
        <v>1</v>
      </c>
    </row>
    <row r="5" spans="1:4" x14ac:dyDescent="0.25">
      <c r="A5" s="62">
        <v>9030684</v>
      </c>
      <c r="B5" s="62" t="s">
        <v>1950</v>
      </c>
      <c r="C5" s="62" t="s">
        <v>1952</v>
      </c>
      <c r="D5" s="62">
        <v>3</v>
      </c>
    </row>
    <row r="6" spans="1:4" x14ac:dyDescent="0.25">
      <c r="A6" s="62">
        <v>9031387</v>
      </c>
      <c r="B6" s="62" t="s">
        <v>1950</v>
      </c>
      <c r="C6" s="62" t="s">
        <v>1953</v>
      </c>
      <c r="D6" s="62">
        <v>2</v>
      </c>
    </row>
    <row r="7" spans="1:4" x14ac:dyDescent="0.25">
      <c r="A7" s="62">
        <v>9038676</v>
      </c>
      <c r="B7" s="62" t="s">
        <v>1950</v>
      </c>
      <c r="C7" s="62" t="s">
        <v>1954</v>
      </c>
      <c r="D7" s="62">
        <v>3</v>
      </c>
    </row>
    <row r="8" spans="1:4" x14ac:dyDescent="0.25">
      <c r="A8" s="62">
        <v>9039416</v>
      </c>
      <c r="B8" s="62" t="s">
        <v>1950</v>
      </c>
      <c r="C8" s="62" t="s">
        <v>783</v>
      </c>
      <c r="D8" s="62">
        <v>1</v>
      </c>
    </row>
    <row r="9" spans="1:4" x14ac:dyDescent="0.25">
      <c r="A9" s="62">
        <v>9052398</v>
      </c>
      <c r="B9" s="62" t="s">
        <v>1950</v>
      </c>
      <c r="C9" s="62" t="s">
        <v>756</v>
      </c>
      <c r="D9" s="62">
        <v>1</v>
      </c>
    </row>
    <row r="10" spans="1:4" x14ac:dyDescent="0.25">
      <c r="A10" s="62">
        <v>10010926</v>
      </c>
      <c r="B10" s="62" t="s">
        <v>1950</v>
      </c>
      <c r="C10" s="62" t="s">
        <v>1955</v>
      </c>
      <c r="D10" s="62">
        <v>2</v>
      </c>
    </row>
    <row r="11" spans="1:4" x14ac:dyDescent="0.25">
      <c r="A11" s="62">
        <v>10030897</v>
      </c>
      <c r="B11" s="62" t="s">
        <v>1950</v>
      </c>
      <c r="C11" s="62" t="s">
        <v>1956</v>
      </c>
      <c r="D11" s="62">
        <v>3</v>
      </c>
    </row>
    <row r="12" spans="1:4" x14ac:dyDescent="0.25">
      <c r="A12" s="62">
        <v>4663</v>
      </c>
      <c r="B12" s="62" t="s">
        <v>1950</v>
      </c>
      <c r="C12" s="62" t="s">
        <v>1957</v>
      </c>
      <c r="D12" s="62">
        <v>2</v>
      </c>
    </row>
    <row r="13" spans="1:4" x14ac:dyDescent="0.25">
      <c r="A13" s="62">
        <v>2000646</v>
      </c>
      <c r="B13" s="62" t="s">
        <v>1950</v>
      </c>
      <c r="C13" s="62" t="s">
        <v>1958</v>
      </c>
      <c r="D13" s="62">
        <v>5</v>
      </c>
    </row>
    <row r="14" spans="1:4" x14ac:dyDescent="0.25">
      <c r="A14" s="62">
        <v>3005132</v>
      </c>
      <c r="B14" s="62" t="s">
        <v>1950</v>
      </c>
      <c r="C14" s="62" t="s">
        <v>756</v>
      </c>
      <c r="D14" s="62">
        <v>1</v>
      </c>
    </row>
    <row r="15" spans="1:4" x14ac:dyDescent="0.25">
      <c r="A15" s="62">
        <v>3016056</v>
      </c>
      <c r="B15" s="62" t="s">
        <v>1950</v>
      </c>
      <c r="C15" s="62" t="s">
        <v>935</v>
      </c>
      <c r="D15" s="62">
        <v>1</v>
      </c>
    </row>
    <row r="16" spans="1:4" x14ac:dyDescent="0.25">
      <c r="A16" s="62">
        <v>4011027</v>
      </c>
      <c r="B16" s="62" t="s">
        <v>1950</v>
      </c>
      <c r="C16" s="62" t="s">
        <v>1959</v>
      </c>
      <c r="D16" s="62">
        <v>4</v>
      </c>
    </row>
    <row r="17" spans="1:4" x14ac:dyDescent="0.25">
      <c r="A17" s="62">
        <v>5004654</v>
      </c>
      <c r="B17" s="62" t="s">
        <v>1950</v>
      </c>
      <c r="C17" s="62" t="s">
        <v>1960</v>
      </c>
      <c r="D17" s="62">
        <v>4</v>
      </c>
    </row>
    <row r="18" spans="1:4" x14ac:dyDescent="0.25">
      <c r="A18" s="62">
        <v>4289</v>
      </c>
      <c r="B18" s="62" t="s">
        <v>1950</v>
      </c>
      <c r="C18" s="62" t="s">
        <v>1961</v>
      </c>
      <c r="D18" s="62">
        <v>4</v>
      </c>
    </row>
    <row r="19" spans="1:4" x14ac:dyDescent="0.25">
      <c r="A19" s="62">
        <v>2005572</v>
      </c>
      <c r="B19" s="62" t="s">
        <v>1950</v>
      </c>
      <c r="C19" s="62" t="s">
        <v>756</v>
      </c>
      <c r="D19" s="62">
        <v>1</v>
      </c>
    </row>
    <row r="20" spans="1:4" x14ac:dyDescent="0.25">
      <c r="A20" s="62">
        <v>5007274</v>
      </c>
      <c r="B20" s="62" t="s">
        <v>1950</v>
      </c>
      <c r="C20" s="62" t="s">
        <v>1962</v>
      </c>
      <c r="D20" s="62">
        <v>2</v>
      </c>
    </row>
    <row r="21" spans="1:4" x14ac:dyDescent="0.25">
      <c r="A21" s="62">
        <v>5015851</v>
      </c>
      <c r="B21" s="62" t="s">
        <v>1950</v>
      </c>
      <c r="C21" s="62" t="s">
        <v>1963</v>
      </c>
      <c r="D21" s="62">
        <v>4</v>
      </c>
    </row>
    <row r="22" spans="1:4" x14ac:dyDescent="0.25">
      <c r="A22" s="62">
        <v>6015647</v>
      </c>
      <c r="B22" s="62" t="s">
        <v>1950</v>
      </c>
      <c r="C22" s="62" t="s">
        <v>756</v>
      </c>
      <c r="D22" s="62">
        <v>1</v>
      </c>
    </row>
    <row r="23" spans="1:4" x14ac:dyDescent="0.25">
      <c r="A23" s="62">
        <v>7086224</v>
      </c>
      <c r="B23" s="62" t="s">
        <v>1950</v>
      </c>
      <c r="C23" s="62" t="s">
        <v>810</v>
      </c>
      <c r="D23" s="62">
        <v>1</v>
      </c>
    </row>
    <row r="24" spans="1:4" x14ac:dyDescent="0.25">
      <c r="A24" s="62">
        <v>8107048</v>
      </c>
      <c r="B24" s="62" t="s">
        <v>1950</v>
      </c>
      <c r="C24" s="62" t="s">
        <v>756</v>
      </c>
      <c r="D24" s="62">
        <v>1</v>
      </c>
    </row>
    <row r="25" spans="1:4" x14ac:dyDescent="0.25">
      <c r="A25" s="62">
        <v>9030615</v>
      </c>
      <c r="B25" s="62" t="s">
        <v>1950</v>
      </c>
      <c r="C25" s="62" t="s">
        <v>783</v>
      </c>
      <c r="D25" s="62">
        <v>1</v>
      </c>
    </row>
    <row r="26" spans="1:4" x14ac:dyDescent="0.25">
      <c r="A26" s="62">
        <v>9040167</v>
      </c>
      <c r="B26" s="62" t="s">
        <v>1950</v>
      </c>
      <c r="C26" s="62" t="s">
        <v>1587</v>
      </c>
      <c r="D26" s="62">
        <v>1</v>
      </c>
    </row>
    <row r="27" spans="1:4" x14ac:dyDescent="0.25">
      <c r="A27" s="62">
        <v>9083682</v>
      </c>
      <c r="B27" s="62" t="s">
        <v>1950</v>
      </c>
      <c r="C27" s="62" t="s">
        <v>583</v>
      </c>
      <c r="D27" s="62">
        <v>1</v>
      </c>
    </row>
    <row r="28" spans="1:4" x14ac:dyDescent="0.25">
      <c r="A28" s="62">
        <v>500129</v>
      </c>
      <c r="B28" s="62" t="s">
        <v>1950</v>
      </c>
      <c r="C28" s="62" t="s">
        <v>1964</v>
      </c>
      <c r="D28" s="62">
        <v>2</v>
      </c>
    </row>
    <row r="29" spans="1:4" x14ac:dyDescent="0.25">
      <c r="A29" s="62">
        <v>3015058</v>
      </c>
      <c r="B29" s="62" t="s">
        <v>1950</v>
      </c>
      <c r="C29" s="62" t="s">
        <v>1965</v>
      </c>
      <c r="D29" s="62">
        <v>6</v>
      </c>
    </row>
    <row r="30" spans="1:4" x14ac:dyDescent="0.25">
      <c r="A30" s="62">
        <v>4000996</v>
      </c>
      <c r="B30" s="62" t="s">
        <v>1950</v>
      </c>
      <c r="C30" s="62" t="s">
        <v>1966</v>
      </c>
      <c r="D30" s="62">
        <v>2</v>
      </c>
    </row>
    <row r="31" spans="1:4" x14ac:dyDescent="0.25">
      <c r="A31" s="62">
        <v>4006540</v>
      </c>
      <c r="B31" s="62" t="s">
        <v>1950</v>
      </c>
      <c r="C31" s="62" t="s">
        <v>810</v>
      </c>
      <c r="D31" s="62">
        <v>1</v>
      </c>
    </row>
    <row r="32" spans="1:4" x14ac:dyDescent="0.25">
      <c r="A32" s="62">
        <v>4007054</v>
      </c>
      <c r="B32" s="62" t="s">
        <v>1950</v>
      </c>
      <c r="C32" s="62" t="s">
        <v>768</v>
      </c>
      <c r="D32" s="62">
        <v>1</v>
      </c>
    </row>
    <row r="33" spans="1:4" x14ac:dyDescent="0.25">
      <c r="A33" s="62">
        <v>4011002</v>
      </c>
      <c r="B33" s="62" t="s">
        <v>1950</v>
      </c>
      <c r="C33" s="62" t="s">
        <v>1967</v>
      </c>
      <c r="D33" s="62">
        <v>2</v>
      </c>
    </row>
    <row r="34" spans="1:4" x14ac:dyDescent="0.25">
      <c r="A34" s="62">
        <v>5001097</v>
      </c>
      <c r="B34" s="62" t="s">
        <v>1950</v>
      </c>
      <c r="C34" s="62" t="s">
        <v>1968</v>
      </c>
      <c r="D34" s="62">
        <v>2</v>
      </c>
    </row>
    <row r="35" spans="1:4" x14ac:dyDescent="0.25">
      <c r="A35" s="62">
        <v>5001098</v>
      </c>
      <c r="B35" s="62" t="s">
        <v>1950</v>
      </c>
      <c r="C35" s="62" t="s">
        <v>1432</v>
      </c>
      <c r="D35" s="62">
        <v>1</v>
      </c>
    </row>
    <row r="36" spans="1:4" x14ac:dyDescent="0.25">
      <c r="A36" s="62">
        <v>5006152</v>
      </c>
      <c r="B36" s="62" t="s">
        <v>1950</v>
      </c>
      <c r="C36" s="62" t="s">
        <v>767</v>
      </c>
      <c r="D36" s="62">
        <v>1</v>
      </c>
    </row>
    <row r="37" spans="1:4" x14ac:dyDescent="0.25">
      <c r="A37" s="62">
        <v>8089666</v>
      </c>
      <c r="B37" s="62" t="s">
        <v>1950</v>
      </c>
      <c r="C37" s="62" t="s">
        <v>1969</v>
      </c>
      <c r="D37" s="62">
        <v>5</v>
      </c>
    </row>
    <row r="38" spans="1:4" x14ac:dyDescent="0.25">
      <c r="A38" s="62">
        <v>8103536</v>
      </c>
      <c r="B38" s="62" t="s">
        <v>1950</v>
      </c>
      <c r="C38" s="62" t="s">
        <v>583</v>
      </c>
      <c r="D38" s="62">
        <v>1</v>
      </c>
    </row>
    <row r="39" spans="1:4" x14ac:dyDescent="0.25">
      <c r="A39" s="62">
        <v>9090287</v>
      </c>
      <c r="B39" s="62" t="s">
        <v>1950</v>
      </c>
      <c r="C39" s="62" t="s">
        <v>1970</v>
      </c>
      <c r="D39" s="62">
        <v>2</v>
      </c>
    </row>
    <row r="40" spans="1:4" x14ac:dyDescent="0.25">
      <c r="A40" s="62">
        <v>9095148</v>
      </c>
      <c r="B40" s="62" t="s">
        <v>1950</v>
      </c>
      <c r="C40" s="62" t="s">
        <v>1971</v>
      </c>
      <c r="D40" s="62">
        <v>2</v>
      </c>
    </row>
    <row r="41" spans="1:4" x14ac:dyDescent="0.25">
      <c r="A41" s="62">
        <v>10020659</v>
      </c>
      <c r="B41" s="62" t="s">
        <v>1950</v>
      </c>
      <c r="C41" s="62" t="s">
        <v>756</v>
      </c>
      <c r="D41" s="62">
        <v>1</v>
      </c>
    </row>
    <row r="42" spans="1:4" x14ac:dyDescent="0.25">
      <c r="A42" s="62">
        <v>10098420</v>
      </c>
      <c r="B42" s="62" t="s">
        <v>1950</v>
      </c>
      <c r="C42" s="62" t="s">
        <v>1954</v>
      </c>
      <c r="D42" s="62">
        <v>3</v>
      </c>
    </row>
    <row r="43" spans="1:4" x14ac:dyDescent="0.25">
      <c r="A43" s="62">
        <v>10163776</v>
      </c>
      <c r="B43" s="62" t="s">
        <v>1950</v>
      </c>
      <c r="C43" s="62" t="s">
        <v>756</v>
      </c>
      <c r="D43" s="62">
        <v>1</v>
      </c>
    </row>
    <row r="44" spans="1:4" x14ac:dyDescent="0.25">
      <c r="A44" s="62">
        <v>10173664</v>
      </c>
      <c r="B44" s="62" t="s">
        <v>1950</v>
      </c>
      <c r="C44" s="62" t="s">
        <v>783</v>
      </c>
      <c r="D44" s="62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F6B3-46D4-4A22-B076-D4C40FCD3C77}">
  <dimension ref="A1:AH239"/>
  <sheetViews>
    <sheetView workbookViewId="0">
      <selection sqref="A1:AH239"/>
    </sheetView>
  </sheetViews>
  <sheetFormatPr baseColWidth="10" defaultRowHeight="15" x14ac:dyDescent="0.25"/>
  <cols>
    <col min="1" max="1" width="17.140625" customWidth="1"/>
    <col min="2" max="2" width="37.7109375" customWidth="1"/>
    <col min="3" max="4" width="32.85546875" customWidth="1"/>
    <col min="5" max="10" width="31.85546875" customWidth="1"/>
    <col min="11" max="11" width="28.140625" customWidth="1"/>
    <col min="12" max="12" width="14.42578125" customWidth="1"/>
    <col min="15" max="15" width="14.85546875" customWidth="1"/>
    <col min="19" max="19" width="11.7109375" customWidth="1"/>
    <col min="20" max="20" width="17.42578125" customWidth="1"/>
    <col min="21" max="24" width="11.7109375" customWidth="1"/>
    <col min="25" max="25" width="17.42578125" customWidth="1"/>
    <col min="26" max="28" width="11.7109375" customWidth="1"/>
    <col min="29" max="34" width="14.42578125" customWidth="1"/>
  </cols>
  <sheetData>
    <row r="1" spans="1:34" ht="75" x14ac:dyDescent="0.25">
      <c r="A1" s="57" t="s">
        <v>43</v>
      </c>
      <c r="B1" s="58" t="s">
        <v>1052</v>
      </c>
      <c r="C1" s="58" t="s">
        <v>1429</v>
      </c>
      <c r="D1" s="58" t="s">
        <v>892</v>
      </c>
      <c r="E1" s="58" t="s">
        <v>1404</v>
      </c>
      <c r="F1" s="58" t="s">
        <v>1331</v>
      </c>
      <c r="G1" s="58" t="s">
        <v>1330</v>
      </c>
      <c r="H1" s="58" t="s">
        <v>1327</v>
      </c>
      <c r="I1" s="58" t="s">
        <v>1328</v>
      </c>
      <c r="J1" s="58" t="s">
        <v>1447</v>
      </c>
      <c r="K1" s="58" t="s">
        <v>1053</v>
      </c>
      <c r="L1" s="59" t="s">
        <v>65</v>
      </c>
      <c r="M1" s="58" t="s">
        <v>514</v>
      </c>
      <c r="N1" s="58" t="s">
        <v>7</v>
      </c>
      <c r="O1" s="58" t="s">
        <v>1054</v>
      </c>
      <c r="P1" s="58" t="s">
        <v>1329</v>
      </c>
      <c r="Q1" s="58" t="s">
        <v>8</v>
      </c>
      <c r="R1" s="58" t="s">
        <v>761</v>
      </c>
      <c r="S1" s="58" t="s">
        <v>974</v>
      </c>
      <c r="T1" s="58" t="s">
        <v>1055</v>
      </c>
      <c r="U1" s="58" t="s">
        <v>920</v>
      </c>
      <c r="V1" s="58" t="s">
        <v>921</v>
      </c>
      <c r="W1" s="58" t="s">
        <v>1325</v>
      </c>
      <c r="X1" s="58" t="s">
        <v>1019</v>
      </c>
      <c r="Y1" s="58" t="s">
        <v>1056</v>
      </c>
      <c r="Z1" s="58" t="s">
        <v>1326</v>
      </c>
      <c r="AA1" s="58" t="s">
        <v>770</v>
      </c>
      <c r="AB1" s="58" t="s">
        <v>779</v>
      </c>
      <c r="AC1" s="58" t="s">
        <v>1345</v>
      </c>
      <c r="AD1" s="58" t="s">
        <v>1544</v>
      </c>
      <c r="AE1" s="58" t="s">
        <v>1545</v>
      </c>
      <c r="AF1" s="58" t="s">
        <v>1717</v>
      </c>
      <c r="AG1" s="58" t="s">
        <v>1546</v>
      </c>
      <c r="AH1" s="58" t="s">
        <v>1547</v>
      </c>
    </row>
    <row r="2" spans="1:34" x14ac:dyDescent="0.25">
      <c r="A2" s="40" t="s">
        <v>512</v>
      </c>
    </row>
    <row r="3" spans="1:34" x14ac:dyDescent="0.25">
      <c r="A3" s="10" t="s">
        <v>1868</v>
      </c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25">
      <c r="A4" s="48">
        <v>7072184</v>
      </c>
      <c r="K4">
        <v>108.5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25">
      <c r="A5" s="48">
        <v>9108231</v>
      </c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25">
      <c r="A6" s="48">
        <v>12061933</v>
      </c>
      <c r="B6" s="7"/>
      <c r="C6" s="7"/>
      <c r="D6" s="7"/>
      <c r="E6" s="7"/>
      <c r="F6" s="7"/>
      <c r="G6" s="7"/>
      <c r="H6" s="7"/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25">
      <c r="A7" s="48">
        <v>95005911</v>
      </c>
    </row>
    <row r="8" spans="1:34" x14ac:dyDescent="0.25">
      <c r="A8" s="48">
        <v>99001908</v>
      </c>
    </row>
    <row r="9" spans="1:34" x14ac:dyDescent="0.25">
      <c r="A9" s="48">
        <v>99004067</v>
      </c>
    </row>
    <row r="10" spans="1:34" x14ac:dyDescent="0.25">
      <c r="A10" s="48">
        <v>97002136</v>
      </c>
    </row>
    <row r="11" spans="1:34" x14ac:dyDescent="0.25">
      <c r="A11" s="48">
        <v>1502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25">
      <c r="A12" s="48">
        <v>4003543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25">
      <c r="A13" s="48">
        <v>4900261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25">
      <c r="A14" s="48"/>
    </row>
    <row r="15" spans="1:34" x14ac:dyDescent="0.25">
      <c r="A15" s="50" t="s">
        <v>1869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25">
      <c r="A16" s="48">
        <v>14242856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25">
      <c r="A17" s="48">
        <v>99001183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25">
      <c r="A18" s="48">
        <v>3000983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25">
      <c r="A19" s="48">
        <v>10064335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25">
      <c r="A20" s="49"/>
      <c r="B20" s="7"/>
      <c r="C20" s="7"/>
      <c r="D20" s="7"/>
      <c r="E20" s="7"/>
      <c r="F20" s="7"/>
      <c r="G20" s="7"/>
      <c r="H20" s="7"/>
      <c r="I20" s="7"/>
      <c r="J20" s="7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25">
      <c r="A21" s="50" t="s">
        <v>1870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25">
      <c r="A22" s="48">
        <v>1480</v>
      </c>
    </row>
    <row r="23" spans="1:34" x14ac:dyDescent="0.25">
      <c r="A23" s="48">
        <v>7063959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25">
      <c r="A24" s="48">
        <v>1003215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25">
      <c r="A25" s="48">
        <v>99000802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25">
      <c r="A26" s="48">
        <v>99000892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25">
      <c r="A27" s="48">
        <v>1000192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25">
      <c r="A28" s="48">
        <v>1506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25">
      <c r="A29" s="48">
        <v>99000894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25">
      <c r="A30" s="48">
        <v>99000897</v>
      </c>
    </row>
    <row r="31" spans="1:34" x14ac:dyDescent="0.25">
      <c r="A31" s="48">
        <v>99001245</v>
      </c>
    </row>
    <row r="32" spans="1:34" x14ac:dyDescent="0.25">
      <c r="A32" s="48">
        <v>99001902</v>
      </c>
    </row>
    <row r="33" spans="1:34" x14ac:dyDescent="0.25">
      <c r="A33" s="48">
        <v>99001912</v>
      </c>
    </row>
    <row r="34" spans="1:34" x14ac:dyDescent="0.25">
      <c r="A34" s="48">
        <v>99001913</v>
      </c>
    </row>
    <row r="35" spans="1:34" x14ac:dyDescent="0.25">
      <c r="A35" s="48">
        <v>99001937</v>
      </c>
    </row>
    <row r="36" spans="1:34" x14ac:dyDescent="0.25">
      <c r="A36" s="48">
        <v>99001943</v>
      </c>
    </row>
    <row r="37" spans="1:34" x14ac:dyDescent="0.25">
      <c r="A37" s="48">
        <v>99001927</v>
      </c>
    </row>
    <row r="38" spans="1:34" x14ac:dyDescent="0.25">
      <c r="A38" s="48">
        <v>1505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25">
      <c r="A39" s="48">
        <v>1000197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25">
      <c r="A40" s="48">
        <v>96018835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6"/>
      <c r="M40" s="6"/>
      <c r="N40">
        <v>35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25">
      <c r="A41" s="48">
        <v>98008326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25">
      <c r="A42" s="48">
        <v>99000717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25">
      <c r="A43" s="48"/>
      <c r="B43" s="7"/>
      <c r="C43" s="7"/>
      <c r="D43" s="7"/>
      <c r="E43" s="7"/>
      <c r="F43" s="7"/>
      <c r="G43" s="7"/>
      <c r="H43" s="7"/>
      <c r="I43" s="7"/>
      <c r="J43" s="7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25">
      <c r="A44" s="25" t="s">
        <v>129</v>
      </c>
    </row>
    <row r="45" spans="1:34" x14ac:dyDescent="0.25">
      <c r="A45" s="50" t="s">
        <v>106</v>
      </c>
    </row>
    <row r="46" spans="1:34" x14ac:dyDescent="0.25">
      <c r="A46" s="48">
        <v>6016435</v>
      </c>
      <c r="M46">
        <v>52</v>
      </c>
    </row>
    <row r="47" spans="1:34" x14ac:dyDescent="0.25">
      <c r="A47" s="48">
        <v>8045149</v>
      </c>
    </row>
    <row r="48" spans="1:34" x14ac:dyDescent="0.25">
      <c r="A48" s="48">
        <v>10023001</v>
      </c>
    </row>
    <row r="49" spans="1:17" x14ac:dyDescent="0.25">
      <c r="A49" s="48">
        <v>10027526</v>
      </c>
    </row>
    <row r="50" spans="1:17" x14ac:dyDescent="0.25">
      <c r="A50" s="48">
        <v>14222171</v>
      </c>
    </row>
    <row r="51" spans="1:17" x14ac:dyDescent="0.25">
      <c r="A51" s="48">
        <v>1006143</v>
      </c>
    </row>
    <row r="52" spans="1:17" x14ac:dyDescent="0.25">
      <c r="A52" s="48">
        <v>6006917</v>
      </c>
    </row>
    <row r="53" spans="1:17" x14ac:dyDescent="0.25">
      <c r="A53" s="48"/>
    </row>
    <row r="54" spans="1:17" x14ac:dyDescent="0.25">
      <c r="A54" s="50" t="s">
        <v>109</v>
      </c>
    </row>
    <row r="55" spans="1:17" x14ac:dyDescent="0.25">
      <c r="A55" s="48">
        <v>8057159</v>
      </c>
    </row>
    <row r="56" spans="1:17" x14ac:dyDescent="0.25">
      <c r="A56" s="48">
        <v>9140312</v>
      </c>
    </row>
    <row r="57" spans="1:17" x14ac:dyDescent="0.25">
      <c r="A57" s="48">
        <v>12008230</v>
      </c>
    </row>
    <row r="58" spans="1:17" x14ac:dyDescent="0.25">
      <c r="A58" s="48">
        <v>12088444</v>
      </c>
    </row>
    <row r="59" spans="1:17" x14ac:dyDescent="0.25">
      <c r="A59" s="48">
        <v>13118872</v>
      </c>
    </row>
    <row r="60" spans="1:17" x14ac:dyDescent="0.25">
      <c r="A60" s="48">
        <v>12012030</v>
      </c>
    </row>
    <row r="61" spans="1:17" x14ac:dyDescent="0.25">
      <c r="A61" s="48"/>
    </row>
    <row r="62" spans="1:17" x14ac:dyDescent="0.25">
      <c r="A62" s="50" t="s">
        <v>83</v>
      </c>
    </row>
    <row r="63" spans="1:17" x14ac:dyDescent="0.25">
      <c r="A63" s="48">
        <v>9074418</v>
      </c>
    </row>
    <row r="64" spans="1:17" x14ac:dyDescent="0.25">
      <c r="A64" s="48">
        <v>1263</v>
      </c>
      <c r="L64">
        <v>180</v>
      </c>
      <c r="N64">
        <v>61</v>
      </c>
      <c r="Q64">
        <v>33.6</v>
      </c>
    </row>
    <row r="65" spans="1:34" x14ac:dyDescent="0.25">
      <c r="A65" s="48">
        <v>98004910</v>
      </c>
    </row>
    <row r="66" spans="1:34" x14ac:dyDescent="0.25">
      <c r="A66" s="48">
        <v>7103068</v>
      </c>
    </row>
    <row r="67" spans="1:34" x14ac:dyDescent="0.25">
      <c r="A67" s="48">
        <v>11240728</v>
      </c>
    </row>
    <row r="68" spans="1:34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25">
      <c r="A69" s="26" t="s">
        <v>130</v>
      </c>
    </row>
    <row r="70" spans="1:34" x14ac:dyDescent="0.25">
      <c r="A70" s="10" t="s">
        <v>106</v>
      </c>
    </row>
    <row r="71" spans="1:34" x14ac:dyDescent="0.25">
      <c r="A71" s="48">
        <v>5015869</v>
      </c>
    </row>
    <row r="72" spans="1:34" x14ac:dyDescent="0.25">
      <c r="A72" s="48">
        <v>5016969</v>
      </c>
    </row>
    <row r="73" spans="1:34" x14ac:dyDescent="0.25">
      <c r="A73" s="48">
        <v>6023231</v>
      </c>
    </row>
    <row r="74" spans="1:34" x14ac:dyDescent="0.25">
      <c r="A74" s="48">
        <v>6010712</v>
      </c>
    </row>
    <row r="75" spans="1:34" x14ac:dyDescent="0.25">
      <c r="A75" s="48">
        <v>6011198</v>
      </c>
    </row>
    <row r="76" spans="1:34" x14ac:dyDescent="0.25">
      <c r="A76" s="48">
        <v>6012681</v>
      </c>
    </row>
    <row r="77" spans="1:34" x14ac:dyDescent="0.25">
      <c r="A77" s="48">
        <v>6014511</v>
      </c>
    </row>
    <row r="78" spans="1:34" x14ac:dyDescent="0.25">
      <c r="A78" s="48">
        <v>6045127</v>
      </c>
    </row>
    <row r="79" spans="1:34" x14ac:dyDescent="0.25">
      <c r="A79" s="48">
        <v>7000458</v>
      </c>
    </row>
    <row r="80" spans="1:34" x14ac:dyDescent="0.25">
      <c r="A80" s="48">
        <v>7015502</v>
      </c>
    </row>
    <row r="81" spans="1:1" x14ac:dyDescent="0.25">
      <c r="A81" s="48">
        <v>7025847</v>
      </c>
    </row>
    <row r="82" spans="1:1" x14ac:dyDescent="0.25">
      <c r="A82" s="48">
        <v>7082707</v>
      </c>
    </row>
    <row r="83" spans="1:1" x14ac:dyDescent="0.25">
      <c r="A83" s="48">
        <v>7083159</v>
      </c>
    </row>
    <row r="84" spans="1:1" x14ac:dyDescent="0.25">
      <c r="A84" s="48">
        <v>7084659</v>
      </c>
    </row>
    <row r="85" spans="1:1" x14ac:dyDescent="0.25">
      <c r="A85" s="48">
        <v>7076814</v>
      </c>
    </row>
    <row r="86" spans="1:1" x14ac:dyDescent="0.25">
      <c r="A86" s="48">
        <v>7076815</v>
      </c>
    </row>
    <row r="87" spans="1:1" x14ac:dyDescent="0.25">
      <c r="A87" s="48">
        <v>7089231</v>
      </c>
    </row>
    <row r="88" spans="1:1" x14ac:dyDescent="0.25">
      <c r="A88" s="48">
        <v>7116004</v>
      </c>
    </row>
    <row r="89" spans="1:1" x14ac:dyDescent="0.25">
      <c r="A89" s="48">
        <v>8003819</v>
      </c>
    </row>
    <row r="90" spans="1:1" x14ac:dyDescent="0.25">
      <c r="A90" s="48">
        <v>8091779</v>
      </c>
    </row>
    <row r="91" spans="1:1" x14ac:dyDescent="0.25">
      <c r="A91" s="48">
        <v>8097989</v>
      </c>
    </row>
    <row r="92" spans="1:1" x14ac:dyDescent="0.25">
      <c r="A92" s="48">
        <v>8112522</v>
      </c>
    </row>
    <row r="93" spans="1:1" x14ac:dyDescent="0.25">
      <c r="A93" s="48">
        <v>8127397</v>
      </c>
    </row>
    <row r="94" spans="1:1" x14ac:dyDescent="0.25">
      <c r="A94" s="48">
        <v>8130998</v>
      </c>
    </row>
    <row r="95" spans="1:1" x14ac:dyDescent="0.25">
      <c r="A95" s="48">
        <v>9002836</v>
      </c>
    </row>
    <row r="96" spans="1:1" x14ac:dyDescent="0.25">
      <c r="A96" s="48">
        <v>9003331</v>
      </c>
    </row>
    <row r="97" spans="1:28" x14ac:dyDescent="0.25">
      <c r="A97" s="48">
        <v>9003370</v>
      </c>
      <c r="L97">
        <v>26.4</v>
      </c>
    </row>
    <row r="98" spans="1:28" x14ac:dyDescent="0.25">
      <c r="A98" s="48">
        <v>9016278</v>
      </c>
      <c r="R98">
        <v>46</v>
      </c>
    </row>
    <row r="99" spans="1:28" x14ac:dyDescent="0.25">
      <c r="A99" s="48">
        <v>9030684</v>
      </c>
      <c r="L99">
        <v>94</v>
      </c>
      <c r="M99">
        <v>32</v>
      </c>
      <c r="N99">
        <v>29</v>
      </c>
    </row>
    <row r="100" spans="1:28" x14ac:dyDescent="0.25">
      <c r="A100" s="48">
        <v>9031387</v>
      </c>
      <c r="AA100">
        <v>45.2</v>
      </c>
      <c r="AB100">
        <v>37.299999999999997</v>
      </c>
    </row>
    <row r="101" spans="1:28" x14ac:dyDescent="0.25">
      <c r="A101" s="48">
        <v>9038676</v>
      </c>
      <c r="L101">
        <v>37</v>
      </c>
      <c r="M101">
        <v>35</v>
      </c>
      <c r="N101">
        <v>23</v>
      </c>
    </row>
    <row r="102" spans="1:28" x14ac:dyDescent="0.25">
      <c r="A102" s="48">
        <v>9039416</v>
      </c>
      <c r="O102">
        <v>31</v>
      </c>
    </row>
    <row r="103" spans="1:28" x14ac:dyDescent="0.25">
      <c r="A103" s="48">
        <v>9042861</v>
      </c>
    </row>
    <row r="104" spans="1:28" x14ac:dyDescent="0.25">
      <c r="A104" s="48">
        <v>9044899</v>
      </c>
      <c r="B104">
        <v>30</v>
      </c>
    </row>
    <row r="105" spans="1:28" x14ac:dyDescent="0.25">
      <c r="A105" s="48">
        <v>9052398</v>
      </c>
    </row>
    <row r="106" spans="1:28" x14ac:dyDescent="0.25">
      <c r="A106" s="48">
        <v>9085204</v>
      </c>
    </row>
    <row r="107" spans="1:28" x14ac:dyDescent="0.25">
      <c r="A107" s="48">
        <v>9090323</v>
      </c>
    </row>
    <row r="108" spans="1:28" x14ac:dyDescent="0.25">
      <c r="A108" s="48">
        <v>9105492</v>
      </c>
    </row>
    <row r="109" spans="1:28" x14ac:dyDescent="0.25">
      <c r="A109" s="48">
        <v>9138470</v>
      </c>
    </row>
    <row r="110" spans="1:28" x14ac:dyDescent="0.25">
      <c r="A110" s="48">
        <v>9150676</v>
      </c>
    </row>
    <row r="111" spans="1:28" x14ac:dyDescent="0.25">
      <c r="A111" s="48">
        <v>10010926</v>
      </c>
      <c r="L111">
        <v>28.2</v>
      </c>
      <c r="N111">
        <v>27.2</v>
      </c>
    </row>
    <row r="112" spans="1:28" x14ac:dyDescent="0.25">
      <c r="A112" s="48">
        <v>10016588</v>
      </c>
    </row>
    <row r="113" spans="1:25" x14ac:dyDescent="0.25">
      <c r="A113" s="48">
        <v>10030897</v>
      </c>
    </row>
    <row r="114" spans="1:25" x14ac:dyDescent="0.25">
      <c r="A114" s="48">
        <v>324</v>
      </c>
    </row>
    <row r="115" spans="1:25" x14ac:dyDescent="0.25">
      <c r="A115" s="48">
        <v>3909</v>
      </c>
    </row>
    <row r="116" spans="1:25" x14ac:dyDescent="0.25">
      <c r="A116" s="48">
        <v>4663</v>
      </c>
      <c r="D116">
        <v>31</v>
      </c>
      <c r="Y116">
        <v>40</v>
      </c>
    </row>
    <row r="117" spans="1:25" x14ac:dyDescent="0.25">
      <c r="A117" s="48">
        <v>1005522</v>
      </c>
    </row>
    <row r="118" spans="1:25" x14ac:dyDescent="0.25">
      <c r="A118" s="48">
        <v>1007631</v>
      </c>
      <c r="M118">
        <v>34</v>
      </c>
    </row>
    <row r="119" spans="1:25" x14ac:dyDescent="0.25">
      <c r="A119" s="48">
        <v>1009760</v>
      </c>
    </row>
    <row r="120" spans="1:25" x14ac:dyDescent="0.25">
      <c r="A120" s="48">
        <v>2000646</v>
      </c>
      <c r="L120">
        <v>31</v>
      </c>
      <c r="M120">
        <v>33</v>
      </c>
      <c r="T120">
        <v>27</v>
      </c>
      <c r="U120">
        <v>26</v>
      </c>
      <c r="V120">
        <v>24</v>
      </c>
    </row>
    <row r="121" spans="1:25" x14ac:dyDescent="0.25">
      <c r="A121" s="48">
        <v>2003761</v>
      </c>
      <c r="L121">
        <v>124</v>
      </c>
    </row>
    <row r="122" spans="1:25" x14ac:dyDescent="0.25">
      <c r="A122" s="48">
        <v>2004061</v>
      </c>
      <c r="L122" s="14">
        <v>125</v>
      </c>
      <c r="M122">
        <v>29</v>
      </c>
      <c r="N122">
        <v>28</v>
      </c>
      <c r="O122">
        <v>26</v>
      </c>
    </row>
    <row r="123" spans="1:25" x14ac:dyDescent="0.25">
      <c r="A123" s="48">
        <v>2006469</v>
      </c>
    </row>
    <row r="124" spans="1:25" x14ac:dyDescent="0.25">
      <c r="A124" s="48">
        <v>3005132</v>
      </c>
      <c r="L124">
        <v>91</v>
      </c>
    </row>
    <row r="125" spans="1:25" x14ac:dyDescent="0.25">
      <c r="A125" s="48">
        <v>3009119</v>
      </c>
    </row>
    <row r="126" spans="1:25" x14ac:dyDescent="0.25">
      <c r="A126" s="48">
        <v>3009936</v>
      </c>
    </row>
    <row r="127" spans="1:25" x14ac:dyDescent="0.25">
      <c r="A127" s="48">
        <v>3011094</v>
      </c>
    </row>
    <row r="128" spans="1:25" x14ac:dyDescent="0.25">
      <c r="A128" s="48">
        <v>3014643</v>
      </c>
    </row>
    <row r="129" spans="1:20" x14ac:dyDescent="0.25">
      <c r="A129" s="48">
        <v>3016056</v>
      </c>
    </row>
    <row r="130" spans="1:20" x14ac:dyDescent="0.25">
      <c r="A130" s="48">
        <v>3900219</v>
      </c>
    </row>
    <row r="131" spans="1:20" x14ac:dyDescent="0.25">
      <c r="A131" s="48">
        <v>4000158</v>
      </c>
      <c r="M131">
        <v>27.6</v>
      </c>
    </row>
    <row r="132" spans="1:20" x14ac:dyDescent="0.25">
      <c r="A132" s="48">
        <v>4000304</v>
      </c>
    </row>
    <row r="133" spans="1:20" x14ac:dyDescent="0.25">
      <c r="A133" s="48">
        <v>4001905</v>
      </c>
    </row>
    <row r="134" spans="1:20" x14ac:dyDescent="0.25">
      <c r="A134" s="48">
        <v>4002206</v>
      </c>
      <c r="L134">
        <v>26.4</v>
      </c>
    </row>
    <row r="135" spans="1:20" x14ac:dyDescent="0.25">
      <c r="A135" s="48">
        <v>4002715</v>
      </c>
    </row>
    <row r="136" spans="1:20" x14ac:dyDescent="0.25">
      <c r="A136" s="48">
        <v>4003924</v>
      </c>
    </row>
    <row r="137" spans="1:20" x14ac:dyDescent="0.25">
      <c r="A137" s="48">
        <v>4006051</v>
      </c>
    </row>
    <row r="138" spans="1:20" x14ac:dyDescent="0.25">
      <c r="A138" s="48">
        <v>4008140</v>
      </c>
    </row>
    <row r="139" spans="1:20" x14ac:dyDescent="0.25">
      <c r="A139" s="48">
        <v>4009906</v>
      </c>
    </row>
    <row r="140" spans="1:20" x14ac:dyDescent="0.25">
      <c r="A140" s="48">
        <v>4011027</v>
      </c>
      <c r="M140">
        <v>35.6</v>
      </c>
      <c r="N140">
        <v>33.799999999999997</v>
      </c>
      <c r="S140">
        <v>33.5</v>
      </c>
      <c r="T140">
        <v>34.200000000000003</v>
      </c>
    </row>
    <row r="141" spans="1:20" x14ac:dyDescent="0.25">
      <c r="A141" s="48">
        <v>4011920</v>
      </c>
    </row>
    <row r="142" spans="1:20" x14ac:dyDescent="0.25">
      <c r="A142" s="48">
        <v>4012248</v>
      </c>
    </row>
    <row r="143" spans="1:20" x14ac:dyDescent="0.25">
      <c r="A143" s="48">
        <v>4013603</v>
      </c>
    </row>
    <row r="144" spans="1:20" x14ac:dyDescent="0.25">
      <c r="A144" s="48">
        <v>5004654</v>
      </c>
    </row>
    <row r="145" spans="1:24" x14ac:dyDescent="0.25">
      <c r="A145" s="52"/>
    </row>
    <row r="146" spans="1:24" x14ac:dyDescent="0.25">
      <c r="A146" s="50" t="s">
        <v>109</v>
      </c>
    </row>
    <row r="147" spans="1:24" x14ac:dyDescent="0.25">
      <c r="A147" s="48">
        <v>4289</v>
      </c>
    </row>
    <row r="148" spans="1:24" x14ac:dyDescent="0.25">
      <c r="A148" s="48">
        <v>500245</v>
      </c>
      <c r="O148">
        <v>28</v>
      </c>
    </row>
    <row r="149" spans="1:24" x14ac:dyDescent="0.25">
      <c r="A149" s="48">
        <v>2002573</v>
      </c>
    </row>
    <row r="150" spans="1:24" x14ac:dyDescent="0.25">
      <c r="A150" s="48">
        <v>2003539</v>
      </c>
    </row>
    <row r="151" spans="1:24" x14ac:dyDescent="0.25">
      <c r="A151" s="48">
        <v>2003649</v>
      </c>
      <c r="L151">
        <v>33.5</v>
      </c>
    </row>
    <row r="152" spans="1:24" x14ac:dyDescent="0.25">
      <c r="A152" s="48">
        <v>2005572</v>
      </c>
      <c r="L152">
        <v>33.200000000000003</v>
      </c>
    </row>
    <row r="153" spans="1:24" x14ac:dyDescent="0.25">
      <c r="A153" s="48">
        <v>2013117</v>
      </c>
    </row>
    <row r="154" spans="1:24" x14ac:dyDescent="0.25">
      <c r="A154" s="48">
        <v>3009633</v>
      </c>
      <c r="X154">
        <v>29.6</v>
      </c>
    </row>
    <row r="155" spans="1:24" x14ac:dyDescent="0.25">
      <c r="A155" s="48">
        <v>3010583</v>
      </c>
    </row>
    <row r="156" spans="1:24" x14ac:dyDescent="0.25">
      <c r="A156" s="23">
        <v>3011892</v>
      </c>
    </row>
    <row r="157" spans="1:24" x14ac:dyDescent="0.25">
      <c r="A157">
        <v>4001382</v>
      </c>
    </row>
    <row r="158" spans="1:24" x14ac:dyDescent="0.25">
      <c r="A158" s="48">
        <v>5018675</v>
      </c>
    </row>
    <row r="159" spans="1:24" x14ac:dyDescent="0.25">
      <c r="A159" s="48">
        <v>6050168</v>
      </c>
    </row>
    <row r="160" spans="1:24" x14ac:dyDescent="0.25">
      <c r="A160" s="48">
        <v>5006592</v>
      </c>
    </row>
    <row r="161" spans="1:34" x14ac:dyDescent="0.25">
      <c r="A161" s="48">
        <v>5007274</v>
      </c>
    </row>
    <row r="162" spans="1:34" x14ac:dyDescent="0.25">
      <c r="A162" s="48">
        <v>5015851</v>
      </c>
      <c r="L162" s="14">
        <v>30.05</v>
      </c>
      <c r="AD162">
        <v>30</v>
      </c>
      <c r="AE162">
        <v>29</v>
      </c>
      <c r="AG162">
        <v>35</v>
      </c>
      <c r="AH162">
        <v>32</v>
      </c>
    </row>
    <row r="163" spans="1:34" x14ac:dyDescent="0.25">
      <c r="A163" s="48">
        <v>6015647</v>
      </c>
    </row>
    <row r="164" spans="1:34" x14ac:dyDescent="0.25">
      <c r="A164" s="48">
        <v>6056633</v>
      </c>
    </row>
    <row r="165" spans="1:34" x14ac:dyDescent="0.25">
      <c r="A165" s="48">
        <v>7086224</v>
      </c>
      <c r="V165">
        <v>30.1</v>
      </c>
    </row>
    <row r="166" spans="1:34" x14ac:dyDescent="0.25">
      <c r="A166" s="48">
        <v>8040959</v>
      </c>
    </row>
    <row r="167" spans="1:34" x14ac:dyDescent="0.25">
      <c r="A167" s="48">
        <v>8107048</v>
      </c>
    </row>
    <row r="168" spans="1:34" x14ac:dyDescent="0.25">
      <c r="A168" s="48">
        <v>8124044</v>
      </c>
    </row>
    <row r="169" spans="1:34" x14ac:dyDescent="0.25">
      <c r="A169" s="48">
        <v>8142949</v>
      </c>
    </row>
    <row r="170" spans="1:34" x14ac:dyDescent="0.25">
      <c r="A170" s="48">
        <v>9023306</v>
      </c>
    </row>
    <row r="171" spans="1:34" x14ac:dyDescent="0.25">
      <c r="A171" s="48">
        <v>9030615</v>
      </c>
      <c r="O171">
        <v>35.1</v>
      </c>
    </row>
    <row r="172" spans="1:34" x14ac:dyDescent="0.25">
      <c r="A172" s="48">
        <v>9034464</v>
      </c>
      <c r="G172">
        <v>37</v>
      </c>
      <c r="L172">
        <v>49</v>
      </c>
      <c r="M172">
        <v>44</v>
      </c>
    </row>
    <row r="173" spans="1:34" x14ac:dyDescent="0.25">
      <c r="A173" s="48">
        <v>9040167</v>
      </c>
      <c r="J173">
        <v>27.5</v>
      </c>
    </row>
    <row r="174" spans="1:34" x14ac:dyDescent="0.25">
      <c r="A174" s="48">
        <v>9054567</v>
      </c>
    </row>
    <row r="175" spans="1:34" x14ac:dyDescent="0.25">
      <c r="A175" s="48">
        <v>9083682</v>
      </c>
      <c r="K175">
        <v>36.6</v>
      </c>
    </row>
    <row r="176" spans="1:34" x14ac:dyDescent="0.25">
      <c r="A176" s="48">
        <v>9102044</v>
      </c>
    </row>
    <row r="177" spans="1:11" x14ac:dyDescent="0.25">
      <c r="A177" s="48">
        <v>9119854</v>
      </c>
    </row>
    <row r="178" spans="1:11" x14ac:dyDescent="0.25">
      <c r="A178" s="48">
        <v>9125126</v>
      </c>
    </row>
    <row r="179" spans="1:11" x14ac:dyDescent="0.25">
      <c r="A179" s="48">
        <v>9174811</v>
      </c>
    </row>
    <row r="180" spans="1:11" x14ac:dyDescent="0.25">
      <c r="A180" s="48">
        <v>10002875</v>
      </c>
    </row>
    <row r="181" spans="1:11" x14ac:dyDescent="0.25">
      <c r="A181" s="48">
        <v>10023080</v>
      </c>
    </row>
    <row r="182" spans="1:11" x14ac:dyDescent="0.25">
      <c r="A182" s="48">
        <v>10025212</v>
      </c>
    </row>
    <row r="183" spans="1:11" x14ac:dyDescent="0.25">
      <c r="A183" s="48">
        <v>10069407</v>
      </c>
    </row>
    <row r="184" spans="1:11" x14ac:dyDescent="0.25">
      <c r="A184" s="48">
        <v>10071135</v>
      </c>
    </row>
    <row r="185" spans="1:11" x14ac:dyDescent="0.25">
      <c r="A185" s="48">
        <v>10083649</v>
      </c>
    </row>
    <row r="186" spans="1:11" x14ac:dyDescent="0.25">
      <c r="A186" s="48">
        <v>10102021</v>
      </c>
    </row>
    <row r="187" spans="1:11" x14ac:dyDescent="0.25">
      <c r="A187" s="48">
        <v>10123729</v>
      </c>
    </row>
    <row r="188" spans="1:11" x14ac:dyDescent="0.25">
      <c r="A188" s="48">
        <v>10144736</v>
      </c>
    </row>
    <row r="189" spans="1:11" x14ac:dyDescent="0.25">
      <c r="A189" s="48">
        <v>10157275</v>
      </c>
      <c r="K189">
        <v>7</v>
      </c>
    </row>
    <row r="190" spans="1:11" x14ac:dyDescent="0.25">
      <c r="A190" s="52"/>
    </row>
    <row r="191" spans="1:11" x14ac:dyDescent="0.25">
      <c r="A191" s="50" t="s">
        <v>83</v>
      </c>
    </row>
    <row r="192" spans="1:11" x14ac:dyDescent="0.25">
      <c r="A192" s="48">
        <v>5281</v>
      </c>
    </row>
    <row r="193" spans="1:29" x14ac:dyDescent="0.25">
      <c r="A193" s="48">
        <v>200085</v>
      </c>
      <c r="F193">
        <v>43</v>
      </c>
      <c r="G193">
        <v>37</v>
      </c>
      <c r="H193">
        <v>25</v>
      </c>
      <c r="I193">
        <v>26</v>
      </c>
      <c r="P193">
        <v>29</v>
      </c>
      <c r="R193">
        <v>26</v>
      </c>
      <c r="U193">
        <v>23</v>
      </c>
      <c r="W193">
        <v>23</v>
      </c>
      <c r="Y193">
        <v>23</v>
      </c>
      <c r="Z193">
        <v>25</v>
      </c>
    </row>
    <row r="194" spans="1:29" x14ac:dyDescent="0.25">
      <c r="A194" s="48">
        <v>500129</v>
      </c>
      <c r="Q194">
        <v>31</v>
      </c>
      <c r="S194">
        <v>36</v>
      </c>
      <c r="W194">
        <v>30.9</v>
      </c>
      <c r="AC194">
        <v>28</v>
      </c>
    </row>
    <row r="195" spans="1:29" x14ac:dyDescent="0.25">
      <c r="A195" s="51">
        <v>1002033</v>
      </c>
    </row>
    <row r="196" spans="1:29" x14ac:dyDescent="0.25">
      <c r="A196" s="48">
        <v>1003457</v>
      </c>
    </row>
    <row r="197" spans="1:29" x14ac:dyDescent="0.25">
      <c r="A197" s="48">
        <v>2005223</v>
      </c>
    </row>
    <row r="198" spans="1:29" x14ac:dyDescent="0.25">
      <c r="A198" s="48">
        <v>2006107</v>
      </c>
    </row>
    <row r="199" spans="1:29" x14ac:dyDescent="0.25">
      <c r="A199" s="48">
        <v>2012014</v>
      </c>
      <c r="D199">
        <v>31</v>
      </c>
      <c r="O199">
        <v>31</v>
      </c>
    </row>
    <row r="200" spans="1:29" x14ac:dyDescent="0.25">
      <c r="A200" s="48">
        <v>3000152</v>
      </c>
      <c r="K200">
        <v>36.9</v>
      </c>
    </row>
    <row r="201" spans="1:29" x14ac:dyDescent="0.25">
      <c r="A201" s="48">
        <v>3014566</v>
      </c>
    </row>
    <row r="202" spans="1:29" x14ac:dyDescent="0.25">
      <c r="A202" s="48">
        <v>3015058</v>
      </c>
      <c r="D202">
        <v>28</v>
      </c>
      <c r="E202">
        <v>26.5</v>
      </c>
      <c r="L202">
        <v>36</v>
      </c>
      <c r="M202">
        <v>27</v>
      </c>
      <c r="N202">
        <v>24</v>
      </c>
      <c r="T202">
        <v>26</v>
      </c>
    </row>
    <row r="203" spans="1:29" x14ac:dyDescent="0.25">
      <c r="A203" s="51">
        <v>4000996</v>
      </c>
      <c r="M203">
        <v>31.5</v>
      </c>
      <c r="O203">
        <v>32</v>
      </c>
    </row>
    <row r="204" spans="1:29" x14ac:dyDescent="0.25">
      <c r="A204" s="48">
        <v>4003768</v>
      </c>
    </row>
    <row r="205" spans="1:29" x14ac:dyDescent="0.25">
      <c r="A205" s="48">
        <v>4006540</v>
      </c>
      <c r="V205">
        <v>32.799999999999997</v>
      </c>
    </row>
    <row r="206" spans="1:29" x14ac:dyDescent="0.25">
      <c r="A206" s="48">
        <v>4007054</v>
      </c>
    </row>
    <row r="207" spans="1:29" x14ac:dyDescent="0.25">
      <c r="A207" s="48">
        <v>4011002</v>
      </c>
      <c r="M207" t="s">
        <v>1413</v>
      </c>
      <c r="Q207">
        <v>42.3</v>
      </c>
    </row>
    <row r="208" spans="1:29" x14ac:dyDescent="0.25">
      <c r="A208" s="48">
        <v>4900268</v>
      </c>
    </row>
    <row r="209" spans="1:18" x14ac:dyDescent="0.25">
      <c r="A209" s="48">
        <v>5001097</v>
      </c>
      <c r="F209">
        <v>115</v>
      </c>
      <c r="R209">
        <v>21</v>
      </c>
    </row>
    <row r="210" spans="1:18" x14ac:dyDescent="0.25">
      <c r="A210" s="48">
        <v>5001098</v>
      </c>
      <c r="C210">
        <v>22</v>
      </c>
    </row>
    <row r="211" spans="1:18" x14ac:dyDescent="0.25">
      <c r="A211" s="48">
        <v>5006152</v>
      </c>
      <c r="J211">
        <v>25.4</v>
      </c>
      <c r="M211">
        <v>50.7</v>
      </c>
    </row>
    <row r="212" spans="1:18" x14ac:dyDescent="0.25">
      <c r="A212" s="48">
        <v>6012361</v>
      </c>
    </row>
    <row r="213" spans="1:18" x14ac:dyDescent="0.25">
      <c r="A213" s="48">
        <v>6015793</v>
      </c>
    </row>
    <row r="214" spans="1:18" x14ac:dyDescent="0.25">
      <c r="A214" s="48">
        <v>6043619</v>
      </c>
    </row>
    <row r="215" spans="1:18" x14ac:dyDescent="0.25">
      <c r="A215" s="48">
        <v>7001097</v>
      </c>
    </row>
    <row r="216" spans="1:18" x14ac:dyDescent="0.25">
      <c r="A216" s="48">
        <v>7011435</v>
      </c>
    </row>
    <row r="217" spans="1:18" x14ac:dyDescent="0.25">
      <c r="A217" s="48">
        <v>7045811</v>
      </c>
    </row>
    <row r="218" spans="1:18" x14ac:dyDescent="0.25">
      <c r="A218" s="48">
        <v>7071198</v>
      </c>
    </row>
    <row r="219" spans="1:18" x14ac:dyDescent="0.25">
      <c r="A219" s="48">
        <v>7101143</v>
      </c>
    </row>
    <row r="220" spans="1:18" x14ac:dyDescent="0.25">
      <c r="A220" s="48">
        <v>8073350</v>
      </c>
    </row>
    <row r="221" spans="1:18" x14ac:dyDescent="0.25">
      <c r="A221" s="48">
        <v>8073645</v>
      </c>
    </row>
    <row r="222" spans="1:18" x14ac:dyDescent="0.25">
      <c r="A222" s="51">
        <v>8089666</v>
      </c>
    </row>
    <row r="223" spans="1:18" x14ac:dyDescent="0.25">
      <c r="A223" s="48">
        <v>8103536</v>
      </c>
      <c r="K223">
        <v>31.4</v>
      </c>
    </row>
    <row r="224" spans="1:18" x14ac:dyDescent="0.25">
      <c r="A224" s="48">
        <v>8124816</v>
      </c>
    </row>
    <row r="225" spans="1:15" x14ac:dyDescent="0.25">
      <c r="A225" s="48">
        <v>9003267</v>
      </c>
    </row>
    <row r="226" spans="1:15" x14ac:dyDescent="0.25">
      <c r="A226" s="48">
        <v>9036964</v>
      </c>
    </row>
    <row r="227" spans="1:15" x14ac:dyDescent="0.25">
      <c r="A227" s="48">
        <v>9090287</v>
      </c>
      <c r="N227">
        <v>40.200000000000003</v>
      </c>
    </row>
    <row r="228" spans="1:15" x14ac:dyDescent="0.25">
      <c r="A228" s="48">
        <v>9095148</v>
      </c>
      <c r="L228">
        <v>43.3</v>
      </c>
      <c r="M228">
        <v>32.200000000000003</v>
      </c>
    </row>
    <row r="229" spans="1:15" x14ac:dyDescent="0.25">
      <c r="A229" s="48">
        <v>9104979</v>
      </c>
    </row>
    <row r="230" spans="1:15" x14ac:dyDescent="0.25">
      <c r="A230" s="48">
        <v>9139514</v>
      </c>
    </row>
    <row r="231" spans="1:15" x14ac:dyDescent="0.25">
      <c r="A231" s="48">
        <v>10020659</v>
      </c>
    </row>
    <row r="232" spans="1:15" x14ac:dyDescent="0.25">
      <c r="A232" s="48">
        <v>10025902</v>
      </c>
    </row>
    <row r="233" spans="1:15" x14ac:dyDescent="0.25">
      <c r="A233" s="48">
        <v>10027654</v>
      </c>
    </row>
    <row r="234" spans="1:15" x14ac:dyDescent="0.25">
      <c r="A234" s="48">
        <v>10084485</v>
      </c>
    </row>
    <row r="235" spans="1:15" x14ac:dyDescent="0.25">
      <c r="A235" s="48">
        <v>10098420</v>
      </c>
      <c r="L235">
        <v>47</v>
      </c>
      <c r="M235">
        <v>53</v>
      </c>
      <c r="O235">
        <v>57</v>
      </c>
    </row>
    <row r="236" spans="1:15" x14ac:dyDescent="0.25">
      <c r="A236" s="48">
        <v>10129565</v>
      </c>
    </row>
    <row r="237" spans="1:15" x14ac:dyDescent="0.25">
      <c r="A237" s="48">
        <v>10146828</v>
      </c>
    </row>
    <row r="238" spans="1:15" x14ac:dyDescent="0.25">
      <c r="A238">
        <v>10163776</v>
      </c>
    </row>
    <row r="239" spans="1:15" x14ac:dyDescent="0.25">
      <c r="A239">
        <v>10173664</v>
      </c>
      <c r="O239">
        <v>33.4</v>
      </c>
    </row>
  </sheetData>
  <conditionalFormatting sqref="A19">
    <cfRule type="duplicateValues" dxfId="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BEB7-A465-4B86-A0A8-1FFB81C92082}">
  <dimension ref="A1:C49"/>
  <sheetViews>
    <sheetView workbookViewId="0">
      <selection sqref="A1:C49"/>
    </sheetView>
  </sheetViews>
  <sheetFormatPr baseColWidth="10" defaultRowHeight="15" x14ac:dyDescent="0.25"/>
  <cols>
    <col min="1" max="1" width="17.28515625" bestFit="1" customWidth="1"/>
    <col min="2" max="2" width="81.140625" bestFit="1" customWidth="1"/>
    <col min="3" max="3" width="30.28515625" bestFit="1" customWidth="1"/>
  </cols>
  <sheetData>
    <row r="1" spans="1:3" x14ac:dyDescent="0.25">
      <c r="A1" s="62" t="s">
        <v>43</v>
      </c>
      <c r="B1" s="62" t="s">
        <v>1914</v>
      </c>
      <c r="C1" s="62" t="s">
        <v>1873</v>
      </c>
    </row>
    <row r="2" spans="1:3" x14ac:dyDescent="0.25">
      <c r="A2" s="62">
        <v>7072184</v>
      </c>
      <c r="B2" s="62" t="s">
        <v>1053</v>
      </c>
      <c r="C2" s="62">
        <v>1</v>
      </c>
    </row>
    <row r="3" spans="1:3" x14ac:dyDescent="0.25">
      <c r="A3" s="62">
        <v>96018835</v>
      </c>
      <c r="B3" s="62" t="s">
        <v>7</v>
      </c>
      <c r="C3" s="62">
        <v>1</v>
      </c>
    </row>
    <row r="4" spans="1:3" x14ac:dyDescent="0.25">
      <c r="A4" s="62">
        <v>6016435</v>
      </c>
      <c r="B4" s="62" t="s">
        <v>514</v>
      </c>
      <c r="C4" s="62">
        <v>1</v>
      </c>
    </row>
    <row r="5" spans="1:3" x14ac:dyDescent="0.25">
      <c r="A5" s="62">
        <v>1263</v>
      </c>
      <c r="B5" s="62" t="s">
        <v>1972</v>
      </c>
      <c r="C5" s="62">
        <v>3</v>
      </c>
    </row>
    <row r="6" spans="1:3" x14ac:dyDescent="0.25">
      <c r="A6" s="62">
        <v>9003370</v>
      </c>
      <c r="B6" s="62" t="s">
        <v>65</v>
      </c>
      <c r="C6" s="62">
        <v>1</v>
      </c>
    </row>
    <row r="7" spans="1:3" x14ac:dyDescent="0.25">
      <c r="A7" s="62">
        <v>9016278</v>
      </c>
      <c r="B7" s="62" t="s">
        <v>761</v>
      </c>
      <c r="C7" s="62">
        <v>1</v>
      </c>
    </row>
    <row r="8" spans="1:3" x14ac:dyDescent="0.25">
      <c r="A8" s="62">
        <v>9030684</v>
      </c>
      <c r="B8" s="62" t="s">
        <v>1973</v>
      </c>
      <c r="C8" s="62">
        <v>3</v>
      </c>
    </row>
    <row r="9" spans="1:3" x14ac:dyDescent="0.25">
      <c r="A9" s="62">
        <v>9031387</v>
      </c>
      <c r="B9" s="62" t="s">
        <v>1974</v>
      </c>
      <c r="C9" s="62">
        <v>2</v>
      </c>
    </row>
    <row r="10" spans="1:3" x14ac:dyDescent="0.25">
      <c r="A10" s="62">
        <v>9038676</v>
      </c>
      <c r="B10" s="62" t="s">
        <v>1973</v>
      </c>
      <c r="C10" s="62">
        <v>3</v>
      </c>
    </row>
    <row r="11" spans="1:3" x14ac:dyDescent="0.25">
      <c r="A11" s="62">
        <v>9039416</v>
      </c>
      <c r="B11" s="62" t="s">
        <v>1054</v>
      </c>
      <c r="C11" s="62">
        <v>1</v>
      </c>
    </row>
    <row r="12" spans="1:3" x14ac:dyDescent="0.25">
      <c r="A12" s="62">
        <v>9044899</v>
      </c>
      <c r="B12" s="62" t="s">
        <v>1052</v>
      </c>
      <c r="C12" s="62">
        <v>1</v>
      </c>
    </row>
    <row r="13" spans="1:3" x14ac:dyDescent="0.25">
      <c r="A13" s="62">
        <v>10010926</v>
      </c>
      <c r="B13" s="62" t="s">
        <v>1975</v>
      </c>
      <c r="C13" s="62">
        <v>2</v>
      </c>
    </row>
    <row r="14" spans="1:3" x14ac:dyDescent="0.25">
      <c r="A14" s="62">
        <v>4663</v>
      </c>
      <c r="B14" s="62" t="s">
        <v>1976</v>
      </c>
      <c r="C14" s="62">
        <v>2</v>
      </c>
    </row>
    <row r="15" spans="1:3" x14ac:dyDescent="0.25">
      <c r="A15" s="62">
        <v>1007631</v>
      </c>
      <c r="B15" s="62" t="s">
        <v>514</v>
      </c>
      <c r="C15" s="62">
        <v>1</v>
      </c>
    </row>
    <row r="16" spans="1:3" x14ac:dyDescent="0.25">
      <c r="A16" s="62">
        <v>2000646</v>
      </c>
      <c r="B16" s="62" t="s">
        <v>1977</v>
      </c>
      <c r="C16" s="62">
        <v>5</v>
      </c>
    </row>
    <row r="17" spans="1:3" x14ac:dyDescent="0.25">
      <c r="A17" s="62">
        <v>2003761</v>
      </c>
      <c r="B17" s="62" t="s">
        <v>65</v>
      </c>
      <c r="C17" s="62">
        <v>1</v>
      </c>
    </row>
    <row r="18" spans="1:3" x14ac:dyDescent="0.25">
      <c r="A18" s="62">
        <v>2004061</v>
      </c>
      <c r="B18" s="62" t="s">
        <v>1978</v>
      </c>
      <c r="C18" s="62">
        <v>4</v>
      </c>
    </row>
    <row r="19" spans="1:3" x14ac:dyDescent="0.25">
      <c r="A19" s="62">
        <v>3005132</v>
      </c>
      <c r="B19" s="62" t="s">
        <v>65</v>
      </c>
      <c r="C19" s="62">
        <v>1</v>
      </c>
    </row>
    <row r="20" spans="1:3" x14ac:dyDescent="0.25">
      <c r="A20" s="62">
        <v>4000158</v>
      </c>
      <c r="B20" s="62" t="s">
        <v>514</v>
      </c>
      <c r="C20" s="62">
        <v>1</v>
      </c>
    </row>
    <row r="21" spans="1:3" x14ac:dyDescent="0.25">
      <c r="A21" s="62">
        <v>4002206</v>
      </c>
      <c r="B21" s="62" t="s">
        <v>65</v>
      </c>
      <c r="C21" s="62">
        <v>1</v>
      </c>
    </row>
    <row r="22" spans="1:3" x14ac:dyDescent="0.25">
      <c r="A22" s="62">
        <v>4011027</v>
      </c>
      <c r="B22" s="62" t="s">
        <v>1979</v>
      </c>
      <c r="C22" s="62">
        <v>4</v>
      </c>
    </row>
    <row r="23" spans="1:3" x14ac:dyDescent="0.25">
      <c r="A23" s="62">
        <v>500245</v>
      </c>
      <c r="B23" s="62" t="s">
        <v>1054</v>
      </c>
      <c r="C23" s="62">
        <v>1</v>
      </c>
    </row>
    <row r="24" spans="1:3" x14ac:dyDescent="0.25">
      <c r="A24" s="62">
        <v>2003649</v>
      </c>
      <c r="B24" s="62" t="s">
        <v>65</v>
      </c>
      <c r="C24" s="62">
        <v>1</v>
      </c>
    </row>
    <row r="25" spans="1:3" x14ac:dyDescent="0.25">
      <c r="A25" s="62">
        <v>2005572</v>
      </c>
      <c r="B25" s="62" t="s">
        <v>65</v>
      </c>
      <c r="C25" s="62">
        <v>1</v>
      </c>
    </row>
    <row r="26" spans="1:3" x14ac:dyDescent="0.25">
      <c r="A26" s="62">
        <v>3009633</v>
      </c>
      <c r="B26" s="62" t="s">
        <v>1019</v>
      </c>
      <c r="C26" s="62">
        <v>1</v>
      </c>
    </row>
    <row r="27" spans="1:3" x14ac:dyDescent="0.25">
      <c r="A27" s="62">
        <v>5015851</v>
      </c>
      <c r="B27" s="62" t="s">
        <v>1980</v>
      </c>
      <c r="C27" s="62">
        <v>5</v>
      </c>
    </row>
    <row r="28" spans="1:3" x14ac:dyDescent="0.25">
      <c r="A28" s="62">
        <v>7086224</v>
      </c>
      <c r="B28" s="62" t="s">
        <v>921</v>
      </c>
      <c r="C28" s="62">
        <v>1</v>
      </c>
    </row>
    <row r="29" spans="1:3" x14ac:dyDescent="0.25">
      <c r="A29" s="62">
        <v>9030615</v>
      </c>
      <c r="B29" s="62" t="s">
        <v>1054</v>
      </c>
      <c r="C29" s="62">
        <v>1</v>
      </c>
    </row>
    <row r="30" spans="1:3" x14ac:dyDescent="0.25">
      <c r="A30" s="62">
        <v>9034464</v>
      </c>
      <c r="B30" s="62" t="s">
        <v>1981</v>
      </c>
      <c r="C30" s="62">
        <v>3</v>
      </c>
    </row>
    <row r="31" spans="1:3" x14ac:dyDescent="0.25">
      <c r="A31" s="62">
        <v>9040167</v>
      </c>
      <c r="B31" s="62" t="s">
        <v>1447</v>
      </c>
      <c r="C31" s="62">
        <v>1</v>
      </c>
    </row>
    <row r="32" spans="1:3" x14ac:dyDescent="0.25">
      <c r="A32" s="62">
        <v>9083682</v>
      </c>
      <c r="B32" s="62" t="s">
        <v>1053</v>
      </c>
      <c r="C32" s="62">
        <v>1</v>
      </c>
    </row>
    <row r="33" spans="1:3" x14ac:dyDescent="0.25">
      <c r="A33" s="62">
        <v>10157275</v>
      </c>
      <c r="B33" s="62" t="s">
        <v>1053</v>
      </c>
      <c r="C33" s="62">
        <v>1</v>
      </c>
    </row>
    <row r="34" spans="1:3" x14ac:dyDescent="0.25">
      <c r="A34" s="62">
        <v>200085</v>
      </c>
      <c r="B34" s="62" t="s">
        <v>1982</v>
      </c>
      <c r="C34" s="62">
        <v>10</v>
      </c>
    </row>
    <row r="35" spans="1:3" x14ac:dyDescent="0.25">
      <c r="A35" s="62">
        <v>500129</v>
      </c>
      <c r="B35" s="62" t="s">
        <v>1983</v>
      </c>
      <c r="C35" s="62">
        <v>4</v>
      </c>
    </row>
    <row r="36" spans="1:3" x14ac:dyDescent="0.25">
      <c r="A36" s="62">
        <v>2012014</v>
      </c>
      <c r="B36" s="62" t="s">
        <v>1984</v>
      </c>
      <c r="C36" s="62">
        <v>2</v>
      </c>
    </row>
    <row r="37" spans="1:3" x14ac:dyDescent="0.25">
      <c r="A37" s="62">
        <v>3000152</v>
      </c>
      <c r="B37" s="62" t="s">
        <v>1053</v>
      </c>
      <c r="C37" s="62">
        <v>1</v>
      </c>
    </row>
    <row r="38" spans="1:3" x14ac:dyDescent="0.25">
      <c r="A38" s="62">
        <v>3015058</v>
      </c>
      <c r="B38" s="62" t="s">
        <v>1985</v>
      </c>
      <c r="C38" s="62">
        <v>6</v>
      </c>
    </row>
    <row r="39" spans="1:3" x14ac:dyDescent="0.25">
      <c r="A39" s="62">
        <v>4000996</v>
      </c>
      <c r="B39" s="62" t="s">
        <v>1986</v>
      </c>
      <c r="C39" s="62">
        <v>2</v>
      </c>
    </row>
    <row r="40" spans="1:3" x14ac:dyDescent="0.25">
      <c r="A40" s="62">
        <v>4006540</v>
      </c>
      <c r="B40" s="62" t="s">
        <v>921</v>
      </c>
      <c r="C40" s="62">
        <v>1</v>
      </c>
    </row>
    <row r="41" spans="1:3" x14ac:dyDescent="0.25">
      <c r="A41" s="62">
        <v>4011002</v>
      </c>
      <c r="B41" s="62" t="s">
        <v>1987</v>
      </c>
      <c r="C41" s="62">
        <v>2</v>
      </c>
    </row>
    <row r="42" spans="1:3" x14ac:dyDescent="0.25">
      <c r="A42" s="62">
        <v>5001097</v>
      </c>
      <c r="B42" s="62" t="s">
        <v>1988</v>
      </c>
      <c r="C42" s="62">
        <v>2</v>
      </c>
    </row>
    <row r="43" spans="1:3" x14ac:dyDescent="0.25">
      <c r="A43" s="62">
        <v>5001098</v>
      </c>
      <c r="B43" s="62" t="s">
        <v>1429</v>
      </c>
      <c r="C43" s="62">
        <v>1</v>
      </c>
    </row>
    <row r="44" spans="1:3" x14ac:dyDescent="0.25">
      <c r="A44" s="62">
        <v>5006152</v>
      </c>
      <c r="B44" s="62" t="s">
        <v>1989</v>
      </c>
      <c r="C44" s="62">
        <v>2</v>
      </c>
    </row>
    <row r="45" spans="1:3" x14ac:dyDescent="0.25">
      <c r="A45" s="62">
        <v>8103536</v>
      </c>
      <c r="B45" s="62" t="s">
        <v>1053</v>
      </c>
      <c r="C45" s="62">
        <v>1</v>
      </c>
    </row>
    <row r="46" spans="1:3" x14ac:dyDescent="0.25">
      <c r="A46" s="62">
        <v>9090287</v>
      </c>
      <c r="B46" s="62" t="s">
        <v>7</v>
      </c>
      <c r="C46" s="62">
        <v>1</v>
      </c>
    </row>
    <row r="47" spans="1:3" x14ac:dyDescent="0.25">
      <c r="A47" s="62">
        <v>9095148</v>
      </c>
      <c r="B47" s="62" t="s">
        <v>1990</v>
      </c>
      <c r="C47" s="62">
        <v>2</v>
      </c>
    </row>
    <row r="48" spans="1:3" x14ac:dyDescent="0.25">
      <c r="A48" s="62">
        <v>10098420</v>
      </c>
      <c r="B48" s="62" t="s">
        <v>1991</v>
      </c>
      <c r="C48" s="62">
        <v>3</v>
      </c>
    </row>
    <row r="49" spans="1:3" x14ac:dyDescent="0.25">
      <c r="A49" s="62">
        <v>10173664</v>
      </c>
      <c r="B49" s="62" t="s">
        <v>1054</v>
      </c>
      <c r="C49" s="62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4C03-C45F-4089-9557-8361F6F74627}">
  <dimension ref="A1:AV239"/>
  <sheetViews>
    <sheetView workbookViewId="0">
      <selection activeCell="C27" sqref="C27"/>
    </sheetView>
  </sheetViews>
  <sheetFormatPr baseColWidth="10" defaultRowHeight="15" x14ac:dyDescent="0.25"/>
  <cols>
    <col min="1" max="1" width="17.140625" customWidth="1"/>
    <col min="2" max="2" width="39.5703125" customWidth="1"/>
    <col min="3" max="4" width="39.85546875" customWidth="1"/>
    <col min="5" max="5" width="48.28515625" customWidth="1"/>
    <col min="6" max="9" width="39.85546875" customWidth="1"/>
    <col min="10" max="10" width="47.28515625" customWidth="1"/>
    <col min="11" max="14" width="38.85546875" customWidth="1"/>
    <col min="15" max="15" width="47.28515625" customWidth="1"/>
    <col min="16" max="17" width="38.85546875" customWidth="1"/>
    <col min="18" max="18" width="37.7109375" customWidth="1"/>
    <col min="19" max="19" width="38.28515625" customWidth="1"/>
    <col min="20" max="20" width="30.7109375" customWidth="1"/>
    <col min="21" max="21" width="16.140625" customWidth="1"/>
    <col min="22" max="22" width="25" customWidth="1"/>
    <col min="23" max="25" width="16.140625" customWidth="1"/>
    <col min="26" max="26" width="25" customWidth="1"/>
    <col min="27" max="30" width="18.7109375" customWidth="1"/>
    <col min="31" max="31" width="27.5703125" customWidth="1"/>
    <col min="32" max="32" width="18.7109375" customWidth="1"/>
    <col min="33" max="33" width="16.5703125" customWidth="1"/>
    <col min="34" max="35" width="18.7109375" customWidth="1"/>
    <col min="36" max="36" width="27.5703125" customWidth="1"/>
    <col min="37" max="41" width="18.7109375" customWidth="1"/>
    <col min="42" max="42" width="27.5703125" customWidth="1"/>
    <col min="43" max="43" width="30.28515625" customWidth="1"/>
    <col min="44" max="48" width="21.42578125" customWidth="1"/>
  </cols>
  <sheetData>
    <row r="1" spans="1:48" ht="75" x14ac:dyDescent="0.25">
      <c r="A1" s="57" t="s">
        <v>43</v>
      </c>
      <c r="B1" s="58" t="s">
        <v>1736</v>
      </c>
      <c r="C1" s="58" t="s">
        <v>1783</v>
      </c>
      <c r="D1" s="58" t="s">
        <v>272</v>
      </c>
      <c r="E1" s="58" t="s">
        <v>1059</v>
      </c>
      <c r="F1" s="58" t="s">
        <v>1784</v>
      </c>
      <c r="G1" s="58" t="s">
        <v>896</v>
      </c>
      <c r="H1" s="58" t="s">
        <v>74</v>
      </c>
      <c r="I1" s="58" t="s">
        <v>1367</v>
      </c>
      <c r="J1" s="58" t="s">
        <v>1058</v>
      </c>
      <c r="K1" s="58" t="s">
        <v>788</v>
      </c>
      <c r="L1" s="58" t="s">
        <v>765</v>
      </c>
      <c r="M1" s="58" t="s">
        <v>1586</v>
      </c>
      <c r="N1" s="58" t="s">
        <v>1405</v>
      </c>
      <c r="O1" s="58" t="s">
        <v>1057</v>
      </c>
      <c r="P1" s="58" t="s">
        <v>1759</v>
      </c>
      <c r="Q1" s="58" t="s">
        <v>766</v>
      </c>
      <c r="R1" s="58" t="s">
        <v>789</v>
      </c>
      <c r="S1" s="58" t="s">
        <v>1060</v>
      </c>
      <c r="T1" s="59" t="s">
        <v>982</v>
      </c>
      <c r="U1" s="58" t="s">
        <v>9</v>
      </c>
      <c r="V1" s="58" t="s">
        <v>1061</v>
      </c>
      <c r="W1" s="58" t="s">
        <v>10</v>
      </c>
      <c r="X1" s="58" t="s">
        <v>11</v>
      </c>
      <c r="Y1" s="58" t="s">
        <v>12</v>
      </c>
      <c r="Z1" s="58" t="s">
        <v>1062</v>
      </c>
      <c r="AA1" s="58" t="s">
        <v>81</v>
      </c>
      <c r="AB1" s="58" t="s">
        <v>60</v>
      </c>
      <c r="AC1" s="58" t="s">
        <v>55</v>
      </c>
      <c r="AD1" s="58" t="s">
        <v>82</v>
      </c>
      <c r="AE1" s="58" t="s">
        <v>1063</v>
      </c>
      <c r="AF1" s="58" t="s">
        <v>77</v>
      </c>
      <c r="AG1" s="58" t="s">
        <v>61</v>
      </c>
      <c r="AH1" s="58" t="s">
        <v>578</v>
      </c>
      <c r="AI1" s="58" t="s">
        <v>908</v>
      </c>
      <c r="AJ1" s="58" t="s">
        <v>1064</v>
      </c>
      <c r="AK1" s="58" t="s">
        <v>13</v>
      </c>
      <c r="AL1" s="58" t="s">
        <v>80</v>
      </c>
      <c r="AM1" s="58" t="s">
        <v>579</v>
      </c>
      <c r="AN1" s="58" t="s">
        <v>1021</v>
      </c>
      <c r="AO1" s="58" t="s">
        <v>1558</v>
      </c>
      <c r="AP1" s="58" t="s">
        <v>1065</v>
      </c>
      <c r="AQ1" s="58" t="s">
        <v>1066</v>
      </c>
      <c r="AR1" s="58" t="s">
        <v>1026</v>
      </c>
      <c r="AS1" s="58" t="s">
        <v>1721</v>
      </c>
      <c r="AT1" s="58" t="s">
        <v>967</v>
      </c>
      <c r="AU1" s="58" t="s">
        <v>1098</v>
      </c>
      <c r="AV1" s="58" t="s">
        <v>1099</v>
      </c>
    </row>
    <row r="2" spans="1:48" x14ac:dyDescent="0.25">
      <c r="A2" s="40" t="s">
        <v>512</v>
      </c>
    </row>
    <row r="3" spans="1:48" x14ac:dyDescent="0.25">
      <c r="A3" s="10" t="s">
        <v>1868</v>
      </c>
      <c r="B3" s="7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48">
        <v>7072184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>
        <v>39600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48">
        <v>9108231</v>
      </c>
      <c r="B5" s="7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>
        <v>13120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48">
        <v>12061933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48">
        <v>95005911</v>
      </c>
    </row>
    <row r="8" spans="1:48" x14ac:dyDescent="0.25">
      <c r="A8" s="48">
        <v>99001908</v>
      </c>
    </row>
    <row r="9" spans="1:48" x14ac:dyDescent="0.25">
      <c r="A9" s="48">
        <v>99004067</v>
      </c>
      <c r="D9" s="39"/>
      <c r="E9" s="39"/>
      <c r="F9" s="39"/>
      <c r="G9" s="39"/>
      <c r="S9" s="39"/>
    </row>
    <row r="10" spans="1:48" x14ac:dyDescent="0.25">
      <c r="A10" s="48">
        <v>97002136</v>
      </c>
    </row>
    <row r="11" spans="1:48" x14ac:dyDescent="0.25">
      <c r="A11" s="48">
        <v>1502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6"/>
      <c r="U11" s="6"/>
      <c r="V11">
        <v>8700</v>
      </c>
      <c r="W11" s="6"/>
      <c r="X11">
        <v>7700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48">
        <v>4003543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6"/>
      <c r="U12" s="6"/>
      <c r="W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48">
        <v>4900261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6"/>
      <c r="U13" s="6"/>
      <c r="W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48"/>
    </row>
    <row r="15" spans="1:48" x14ac:dyDescent="0.25">
      <c r="A15" s="50" t="s">
        <v>1869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48">
        <v>14242856</v>
      </c>
      <c r="B16" s="7"/>
      <c r="C16" s="7"/>
      <c r="D16" s="6"/>
      <c r="E16" s="6"/>
      <c r="F16" s="6"/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6">
        <v>6770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48">
        <v>99001183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6"/>
      <c r="U17" s="6"/>
      <c r="V17" s="6"/>
      <c r="W17" s="6"/>
      <c r="X17" s="6"/>
      <c r="Y17" s="6"/>
      <c r="Z17" s="6"/>
      <c r="AA17" s="6">
        <v>116000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48">
        <v>3000983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6"/>
      <c r="U18" s="6"/>
      <c r="V18" s="6"/>
      <c r="W18" s="6"/>
      <c r="X18" s="6">
        <v>7900</v>
      </c>
      <c r="Y18">
        <v>10000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>
        <v>8000</v>
      </c>
    </row>
    <row r="19" spans="1:48" x14ac:dyDescent="0.25">
      <c r="A19" s="48">
        <v>10064335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4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50" t="s">
        <v>1870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48">
        <v>1480</v>
      </c>
      <c r="Y22">
        <v>11920</v>
      </c>
    </row>
    <row r="23" spans="1:48" x14ac:dyDescent="0.25">
      <c r="A23" s="48">
        <v>7063959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48">
        <v>1003215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>
        <v>8000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48">
        <v>99000802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6"/>
      <c r="U25" s="14">
        <v>7500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48">
        <v>99000892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48">
        <v>1000192</v>
      </c>
      <c r="B27" s="7"/>
      <c r="C27" s="7"/>
      <c r="D27" s="8">
        <v>75000</v>
      </c>
      <c r="E27" s="8"/>
      <c r="F27" s="8"/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6"/>
      <c r="U27" s="6"/>
      <c r="V27" s="6"/>
      <c r="W27">
        <v>4000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48">
        <v>1506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6"/>
      <c r="U28" s="6"/>
      <c r="V28">
        <v>11460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48">
        <v>99000894</v>
      </c>
      <c r="B29" s="7"/>
      <c r="C29" s="7"/>
      <c r="D29" s="7"/>
      <c r="E29" s="7"/>
      <c r="F29" s="7"/>
      <c r="G29" s="7"/>
      <c r="S29" s="7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>
        <v>14100</v>
      </c>
      <c r="AQ29" s="6"/>
      <c r="AR29" s="6"/>
      <c r="AS29" s="6"/>
      <c r="AT29" s="6"/>
      <c r="AU29" s="6"/>
      <c r="AV29" s="6"/>
    </row>
    <row r="30" spans="1:48" x14ac:dyDescent="0.25">
      <c r="A30" s="48">
        <v>99000897</v>
      </c>
      <c r="AJ30" s="3">
        <v>14800</v>
      </c>
    </row>
    <row r="31" spans="1:48" x14ac:dyDescent="0.25">
      <c r="A31" s="48">
        <v>99001245</v>
      </c>
    </row>
    <row r="32" spans="1:48" x14ac:dyDescent="0.25">
      <c r="A32" s="48">
        <v>99001902</v>
      </c>
      <c r="V32">
        <v>16500</v>
      </c>
    </row>
    <row r="33" spans="1:48" x14ac:dyDescent="0.25">
      <c r="A33" s="48">
        <v>99001912</v>
      </c>
      <c r="V33">
        <v>10900</v>
      </c>
    </row>
    <row r="34" spans="1:48" x14ac:dyDescent="0.25">
      <c r="A34" s="48">
        <v>99001913</v>
      </c>
    </row>
    <row r="35" spans="1:48" x14ac:dyDescent="0.25">
      <c r="A35" s="48">
        <v>99001937</v>
      </c>
    </row>
    <row r="36" spans="1:48" x14ac:dyDescent="0.25">
      <c r="A36" s="48">
        <v>99001943</v>
      </c>
      <c r="O36">
        <v>12700</v>
      </c>
      <c r="V36">
        <v>12700</v>
      </c>
    </row>
    <row r="37" spans="1:48" x14ac:dyDescent="0.25">
      <c r="A37" s="48">
        <v>99001927</v>
      </c>
      <c r="S37">
        <v>10100</v>
      </c>
    </row>
    <row r="38" spans="1:48" x14ac:dyDescent="0.25">
      <c r="A38" s="48">
        <v>1505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6"/>
      <c r="U38" s="6"/>
      <c r="V38" s="6"/>
      <c r="W38" s="6"/>
      <c r="X38" s="6"/>
      <c r="Y38">
        <v>12000</v>
      </c>
      <c r="Z38" s="6"/>
      <c r="AA38" s="6"/>
      <c r="AB38" s="6"/>
      <c r="AD38">
        <v>20000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48">
        <v>1000197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6"/>
      <c r="U39" s="6"/>
      <c r="W39" s="6"/>
      <c r="X39" s="6"/>
      <c r="Y39">
        <v>8900</v>
      </c>
      <c r="Z39">
        <v>10600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Q39" s="6"/>
      <c r="AR39" s="6"/>
      <c r="AS39" s="6"/>
      <c r="AT39" s="6"/>
      <c r="AU39" s="6"/>
      <c r="AV39" s="6"/>
    </row>
    <row r="40" spans="1:48" x14ac:dyDescent="0.25">
      <c r="A40" s="48">
        <v>96018835</v>
      </c>
      <c r="B40" s="7"/>
      <c r="C40" s="7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>
        <v>2000</v>
      </c>
      <c r="U40">
        <v>2900</v>
      </c>
      <c r="V40">
        <v>3800</v>
      </c>
      <c r="W40">
        <v>2100</v>
      </c>
      <c r="X40" s="6"/>
      <c r="Y40">
        <v>3000</v>
      </c>
      <c r="AA40" s="6"/>
      <c r="AB40">
        <v>6500</v>
      </c>
      <c r="AC40" s="6"/>
      <c r="AD40" s="6"/>
      <c r="AE40">
        <v>7900</v>
      </c>
      <c r="AG40">
        <v>10100</v>
      </c>
      <c r="AJ40">
        <v>7500</v>
      </c>
      <c r="AK40" s="6"/>
      <c r="AQ40" s="6"/>
      <c r="AR40" s="6"/>
      <c r="AS40" s="6"/>
      <c r="AT40" s="6"/>
      <c r="AU40" s="6"/>
      <c r="AV40" s="6"/>
    </row>
    <row r="41" spans="1:48" x14ac:dyDescent="0.25">
      <c r="A41" s="48">
        <v>98008326</v>
      </c>
      <c r="B41" s="7"/>
      <c r="C41" s="7"/>
      <c r="D41" s="7"/>
      <c r="E41" s="7"/>
      <c r="F41" s="7"/>
      <c r="G41" s="7"/>
      <c r="H41">
        <v>6000</v>
      </c>
      <c r="S41" s="7"/>
      <c r="T41">
        <v>11400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48">
        <v>99000717</v>
      </c>
      <c r="B42" s="7"/>
      <c r="C42" s="7"/>
      <c r="D42" s="7"/>
      <c r="E42" s="7"/>
      <c r="F42" s="7"/>
      <c r="G42" s="7"/>
      <c r="S42" s="7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>
        <v>7700</v>
      </c>
      <c r="AG42" s="6"/>
      <c r="AH42" s="6"/>
      <c r="AI42" s="6"/>
      <c r="AJ42" s="6"/>
      <c r="AK42">
        <v>4300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48"/>
      <c r="B43" s="7"/>
      <c r="C43" s="7"/>
      <c r="D43" s="7"/>
      <c r="E43" s="7"/>
      <c r="F43" s="7"/>
      <c r="G43" s="7"/>
      <c r="S43" s="7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25" t="s">
        <v>129</v>
      </c>
    </row>
    <row r="45" spans="1:48" x14ac:dyDescent="0.25">
      <c r="A45" s="50" t="s">
        <v>106</v>
      </c>
    </row>
    <row r="46" spans="1:48" x14ac:dyDescent="0.25">
      <c r="A46" s="48">
        <v>6016435</v>
      </c>
      <c r="U46">
        <v>12800</v>
      </c>
    </row>
    <row r="47" spans="1:48" x14ac:dyDescent="0.25">
      <c r="A47" s="48">
        <v>8045149</v>
      </c>
      <c r="S47">
        <v>30000</v>
      </c>
    </row>
    <row r="48" spans="1:48" x14ac:dyDescent="0.25">
      <c r="A48" s="48">
        <v>10023001</v>
      </c>
      <c r="S48">
        <v>8000</v>
      </c>
    </row>
    <row r="49" spans="1:48" x14ac:dyDescent="0.25">
      <c r="A49" s="48">
        <v>10027526</v>
      </c>
      <c r="T49">
        <v>15320</v>
      </c>
    </row>
    <row r="50" spans="1:48" x14ac:dyDescent="0.25">
      <c r="A50" s="48">
        <v>14222171</v>
      </c>
    </row>
    <row r="51" spans="1:48" x14ac:dyDescent="0.25">
      <c r="A51" s="48">
        <v>1006143</v>
      </c>
      <c r="S51">
        <v>4500</v>
      </c>
    </row>
    <row r="52" spans="1:48" x14ac:dyDescent="0.25">
      <c r="A52" s="48">
        <v>6006917</v>
      </c>
      <c r="S52">
        <v>12200</v>
      </c>
    </row>
    <row r="53" spans="1:48" x14ac:dyDescent="0.25">
      <c r="A53" s="48"/>
    </row>
    <row r="54" spans="1:48" x14ac:dyDescent="0.25">
      <c r="A54" s="50" t="s">
        <v>109</v>
      </c>
    </row>
    <row r="55" spans="1:48" x14ac:dyDescent="0.25">
      <c r="A55" s="48">
        <v>8057159</v>
      </c>
      <c r="Z55">
        <v>10520</v>
      </c>
      <c r="AB55">
        <v>8470</v>
      </c>
      <c r="AD55">
        <v>6550</v>
      </c>
    </row>
    <row r="56" spans="1:48" x14ac:dyDescent="0.25">
      <c r="A56" s="48">
        <v>9140312</v>
      </c>
      <c r="V56">
        <v>13220</v>
      </c>
    </row>
    <row r="57" spans="1:48" x14ac:dyDescent="0.25">
      <c r="A57" s="48">
        <v>12008230</v>
      </c>
    </row>
    <row r="58" spans="1:48" x14ac:dyDescent="0.25">
      <c r="A58" s="48">
        <v>12088444</v>
      </c>
      <c r="W58">
        <v>2330</v>
      </c>
      <c r="AC58">
        <v>8430</v>
      </c>
      <c r="AU58">
        <v>3950</v>
      </c>
      <c r="AV58">
        <v>4840</v>
      </c>
    </row>
    <row r="59" spans="1:48" x14ac:dyDescent="0.25">
      <c r="A59" s="48">
        <v>13118872</v>
      </c>
      <c r="X59">
        <v>10500</v>
      </c>
    </row>
    <row r="60" spans="1:48" x14ac:dyDescent="0.25">
      <c r="A60" s="48">
        <v>12012030</v>
      </c>
    </row>
    <row r="61" spans="1:48" x14ac:dyDescent="0.25">
      <c r="A61" s="48"/>
    </row>
    <row r="62" spans="1:48" x14ac:dyDescent="0.25">
      <c r="A62" s="50" t="s">
        <v>83</v>
      </c>
      <c r="X62" t="s">
        <v>540</v>
      </c>
    </row>
    <row r="63" spans="1:48" x14ac:dyDescent="0.25">
      <c r="A63" s="48">
        <v>9074418</v>
      </c>
      <c r="V63">
        <v>25000</v>
      </c>
    </row>
    <row r="64" spans="1:48" x14ac:dyDescent="0.25">
      <c r="A64" s="48">
        <v>1263</v>
      </c>
    </row>
    <row r="65" spans="1:48" x14ac:dyDescent="0.25">
      <c r="A65" s="48">
        <v>98004910</v>
      </c>
    </row>
    <row r="66" spans="1:48" x14ac:dyDescent="0.25">
      <c r="A66" s="48">
        <v>7103068</v>
      </c>
      <c r="S66">
        <v>23600</v>
      </c>
      <c r="AG66">
        <v>7700</v>
      </c>
      <c r="AM66">
        <v>4300</v>
      </c>
    </row>
    <row r="67" spans="1:48" x14ac:dyDescent="0.25">
      <c r="A67" s="48">
        <v>11240728</v>
      </c>
    </row>
    <row r="68" spans="1:48" x14ac:dyDescent="0.25">
      <c r="B68" s="7"/>
      <c r="C68" s="7"/>
      <c r="D68" s="7"/>
      <c r="E68" s="7"/>
      <c r="F68" s="7"/>
      <c r="G68" s="7"/>
      <c r="S68" s="7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26" t="s">
        <v>130</v>
      </c>
    </row>
    <row r="70" spans="1:48" x14ac:dyDescent="0.25">
      <c r="A70" s="10" t="s">
        <v>106</v>
      </c>
    </row>
    <row r="71" spans="1:48" x14ac:dyDescent="0.25">
      <c r="A71" s="48">
        <v>5015869</v>
      </c>
      <c r="W71">
        <v>2700</v>
      </c>
    </row>
    <row r="72" spans="1:48" x14ac:dyDescent="0.25">
      <c r="A72" s="48">
        <v>5016969</v>
      </c>
    </row>
    <row r="73" spans="1:48" x14ac:dyDescent="0.25">
      <c r="A73" s="48">
        <v>6023231</v>
      </c>
      <c r="S73">
        <v>1200</v>
      </c>
    </row>
    <row r="74" spans="1:48" x14ac:dyDescent="0.25">
      <c r="A74" s="48">
        <v>6010712</v>
      </c>
    </row>
    <row r="75" spans="1:48" x14ac:dyDescent="0.25">
      <c r="A75" s="48">
        <v>6011198</v>
      </c>
      <c r="S75">
        <v>12200</v>
      </c>
    </row>
    <row r="76" spans="1:48" x14ac:dyDescent="0.25">
      <c r="A76" s="48">
        <v>6012681</v>
      </c>
      <c r="U76">
        <v>9500</v>
      </c>
    </row>
    <row r="77" spans="1:48" x14ac:dyDescent="0.25">
      <c r="A77" s="48">
        <v>6014511</v>
      </c>
      <c r="W77">
        <v>1200</v>
      </c>
    </row>
    <row r="78" spans="1:48" x14ac:dyDescent="0.25">
      <c r="A78" s="48">
        <v>6045127</v>
      </c>
    </row>
    <row r="79" spans="1:48" x14ac:dyDescent="0.25">
      <c r="A79" s="48">
        <v>7000458</v>
      </c>
    </row>
    <row r="80" spans="1:48" x14ac:dyDescent="0.25">
      <c r="A80" s="48">
        <v>7015502</v>
      </c>
    </row>
    <row r="81" spans="1:21" x14ac:dyDescent="0.25">
      <c r="A81" s="48">
        <v>7025847</v>
      </c>
    </row>
    <row r="82" spans="1:21" x14ac:dyDescent="0.25">
      <c r="A82" s="48">
        <v>7082707</v>
      </c>
    </row>
    <row r="83" spans="1:21" x14ac:dyDescent="0.25">
      <c r="A83" s="48">
        <v>7083159</v>
      </c>
    </row>
    <row r="84" spans="1:21" x14ac:dyDescent="0.25">
      <c r="A84" s="48">
        <v>7084659</v>
      </c>
    </row>
    <row r="85" spans="1:21" x14ac:dyDescent="0.25">
      <c r="A85" s="48">
        <v>7076814</v>
      </c>
      <c r="U85">
        <v>6600</v>
      </c>
    </row>
    <row r="86" spans="1:21" x14ac:dyDescent="0.25">
      <c r="A86" s="48">
        <v>7076815</v>
      </c>
      <c r="T86">
        <v>14000</v>
      </c>
    </row>
    <row r="87" spans="1:21" x14ac:dyDescent="0.25">
      <c r="A87" s="48">
        <v>7089231</v>
      </c>
      <c r="S87">
        <v>3340</v>
      </c>
    </row>
    <row r="88" spans="1:21" x14ac:dyDescent="0.25">
      <c r="A88" s="48">
        <v>7116004</v>
      </c>
    </row>
    <row r="89" spans="1:21" x14ac:dyDescent="0.25">
      <c r="A89" s="48">
        <v>8003819</v>
      </c>
    </row>
    <row r="90" spans="1:21" x14ac:dyDescent="0.25">
      <c r="A90" s="48">
        <v>8091779</v>
      </c>
    </row>
    <row r="91" spans="1:21" x14ac:dyDescent="0.25">
      <c r="A91" s="48">
        <v>8097989</v>
      </c>
    </row>
    <row r="92" spans="1:21" x14ac:dyDescent="0.25">
      <c r="A92" s="48">
        <v>8112522</v>
      </c>
    </row>
    <row r="93" spans="1:21" x14ac:dyDescent="0.25">
      <c r="A93" s="48">
        <v>8127397</v>
      </c>
    </row>
    <row r="94" spans="1:21" x14ac:dyDescent="0.25">
      <c r="A94" s="48">
        <v>8130998</v>
      </c>
    </row>
    <row r="95" spans="1:21" x14ac:dyDescent="0.25">
      <c r="A95" s="48">
        <v>9002836</v>
      </c>
    </row>
    <row r="96" spans="1:21" x14ac:dyDescent="0.25">
      <c r="A96" s="48">
        <v>9003331</v>
      </c>
    </row>
    <row r="97" spans="1:42" x14ac:dyDescent="0.25">
      <c r="A97" s="48">
        <v>9003370</v>
      </c>
      <c r="T97">
        <v>13300</v>
      </c>
    </row>
    <row r="98" spans="1:42" x14ac:dyDescent="0.25">
      <c r="A98" s="48">
        <v>9016278</v>
      </c>
      <c r="L98">
        <v>15100</v>
      </c>
      <c r="Q98">
        <v>12900</v>
      </c>
    </row>
    <row r="99" spans="1:42" x14ac:dyDescent="0.25">
      <c r="A99" s="48">
        <v>9030684</v>
      </c>
    </row>
    <row r="100" spans="1:42" x14ac:dyDescent="0.25">
      <c r="A100" s="48">
        <v>9031387</v>
      </c>
    </row>
    <row r="101" spans="1:42" x14ac:dyDescent="0.25">
      <c r="A101" s="48">
        <v>9038676</v>
      </c>
    </row>
    <row r="102" spans="1:42" x14ac:dyDescent="0.25">
      <c r="A102" s="48">
        <v>9039416</v>
      </c>
      <c r="W102">
        <v>3300</v>
      </c>
      <c r="X102">
        <v>3000</v>
      </c>
      <c r="AE102">
        <v>4300</v>
      </c>
      <c r="AP102">
        <v>9090</v>
      </c>
    </row>
    <row r="103" spans="1:42" x14ac:dyDescent="0.25">
      <c r="A103" s="48">
        <v>9042861</v>
      </c>
    </row>
    <row r="104" spans="1:42" x14ac:dyDescent="0.25">
      <c r="A104" s="48">
        <v>9044899</v>
      </c>
      <c r="K104">
        <v>9400</v>
      </c>
      <c r="R104">
        <v>7100</v>
      </c>
      <c r="T104">
        <v>8400</v>
      </c>
      <c r="V104">
        <v>8000</v>
      </c>
      <c r="AB104">
        <v>8200</v>
      </c>
    </row>
    <row r="105" spans="1:42" x14ac:dyDescent="0.25">
      <c r="A105" s="48">
        <v>9052398</v>
      </c>
      <c r="T105">
        <v>9100</v>
      </c>
    </row>
    <row r="106" spans="1:42" x14ac:dyDescent="0.25">
      <c r="A106" s="48">
        <v>9085204</v>
      </c>
    </row>
    <row r="107" spans="1:42" x14ac:dyDescent="0.25">
      <c r="A107" s="48">
        <v>9090323</v>
      </c>
    </row>
    <row r="108" spans="1:42" x14ac:dyDescent="0.25">
      <c r="A108" s="48">
        <v>9105492</v>
      </c>
    </row>
    <row r="109" spans="1:42" x14ac:dyDescent="0.25">
      <c r="A109" s="48">
        <v>9138470</v>
      </c>
    </row>
    <row r="110" spans="1:42" x14ac:dyDescent="0.25">
      <c r="A110" s="48">
        <v>9150676</v>
      </c>
    </row>
    <row r="111" spans="1:42" x14ac:dyDescent="0.25">
      <c r="A111" s="48">
        <v>10010926</v>
      </c>
      <c r="T111">
        <v>6880</v>
      </c>
      <c r="V111">
        <v>6410</v>
      </c>
      <c r="AF111">
        <v>5480</v>
      </c>
    </row>
    <row r="112" spans="1:42" x14ac:dyDescent="0.25">
      <c r="A112" s="48">
        <v>10016588</v>
      </c>
    </row>
    <row r="113" spans="1:35" x14ac:dyDescent="0.25">
      <c r="A113" s="48">
        <v>10030897</v>
      </c>
    </row>
    <row r="114" spans="1:35" x14ac:dyDescent="0.25">
      <c r="A114" s="48">
        <v>324</v>
      </c>
      <c r="T114">
        <v>4200</v>
      </c>
    </row>
    <row r="115" spans="1:35" x14ac:dyDescent="0.25">
      <c r="A115" s="48">
        <v>3909</v>
      </c>
      <c r="X115">
        <v>12000</v>
      </c>
    </row>
    <row r="116" spans="1:35" x14ac:dyDescent="0.25">
      <c r="A116" s="48">
        <v>4663</v>
      </c>
    </row>
    <row r="117" spans="1:35" x14ac:dyDescent="0.25">
      <c r="A117" s="48">
        <v>1005522</v>
      </c>
      <c r="E117">
        <v>7700</v>
      </c>
      <c r="G117">
        <v>8000</v>
      </c>
      <c r="T117">
        <v>5600</v>
      </c>
      <c r="AB117">
        <v>5200</v>
      </c>
      <c r="AH117">
        <v>7100</v>
      </c>
    </row>
    <row r="118" spans="1:35" x14ac:dyDescent="0.25">
      <c r="A118" s="48">
        <v>1007631</v>
      </c>
      <c r="U118">
        <v>8000</v>
      </c>
    </row>
    <row r="119" spans="1:35" x14ac:dyDescent="0.25">
      <c r="A119" s="48">
        <v>1009760</v>
      </c>
      <c r="W119">
        <v>6270</v>
      </c>
      <c r="AC119">
        <v>8180</v>
      </c>
      <c r="AE119">
        <v>19000</v>
      </c>
      <c r="AI119">
        <v>6270</v>
      </c>
    </row>
    <row r="120" spans="1:35" x14ac:dyDescent="0.25">
      <c r="A120" s="48">
        <v>2000646</v>
      </c>
      <c r="T120">
        <v>16000</v>
      </c>
      <c r="U120">
        <v>13000</v>
      </c>
      <c r="AB120">
        <v>8200</v>
      </c>
      <c r="AC120">
        <v>6700</v>
      </c>
      <c r="AD120">
        <v>6200</v>
      </c>
    </row>
    <row r="121" spans="1:35" x14ac:dyDescent="0.25">
      <c r="A121" s="48">
        <v>2003761</v>
      </c>
    </row>
    <row r="122" spans="1:35" x14ac:dyDescent="0.25">
      <c r="A122" s="48">
        <v>2004061</v>
      </c>
      <c r="T122" s="14">
        <v>20000</v>
      </c>
      <c r="U122">
        <v>12700</v>
      </c>
      <c r="V122">
        <v>10900</v>
      </c>
      <c r="W122">
        <v>8400</v>
      </c>
    </row>
    <row r="123" spans="1:35" x14ac:dyDescent="0.25">
      <c r="A123" s="48">
        <v>2006469</v>
      </c>
    </row>
    <row r="124" spans="1:35" x14ac:dyDescent="0.25">
      <c r="A124" s="48">
        <v>3005132</v>
      </c>
      <c r="T124" s="48"/>
    </row>
    <row r="125" spans="1:35" x14ac:dyDescent="0.25">
      <c r="A125" s="48">
        <v>3009119</v>
      </c>
    </row>
    <row r="126" spans="1:35" x14ac:dyDescent="0.25">
      <c r="A126" s="48">
        <v>3009936</v>
      </c>
    </row>
    <row r="127" spans="1:35" x14ac:dyDescent="0.25">
      <c r="A127" s="48">
        <v>3011094</v>
      </c>
      <c r="T127">
        <v>13600</v>
      </c>
      <c r="V127">
        <v>12000</v>
      </c>
    </row>
    <row r="128" spans="1:35" x14ac:dyDescent="0.25">
      <c r="A128" s="48">
        <v>3014643</v>
      </c>
    </row>
    <row r="129" spans="1:46" x14ac:dyDescent="0.25">
      <c r="A129" s="48">
        <v>3016056</v>
      </c>
      <c r="T129">
        <v>6000</v>
      </c>
    </row>
    <row r="130" spans="1:46" x14ac:dyDescent="0.25">
      <c r="A130" s="48">
        <v>3900219</v>
      </c>
      <c r="J130">
        <v>11300</v>
      </c>
    </row>
    <row r="131" spans="1:46" x14ac:dyDescent="0.25">
      <c r="A131" s="48">
        <v>4000158</v>
      </c>
    </row>
    <row r="132" spans="1:46" x14ac:dyDescent="0.25">
      <c r="A132" s="48">
        <v>4000304</v>
      </c>
      <c r="T132">
        <v>11900</v>
      </c>
    </row>
    <row r="133" spans="1:46" x14ac:dyDescent="0.25">
      <c r="A133" s="48">
        <v>4001905</v>
      </c>
    </row>
    <row r="134" spans="1:46" x14ac:dyDescent="0.25">
      <c r="A134" s="48">
        <v>4002206</v>
      </c>
      <c r="T134">
        <v>7200</v>
      </c>
      <c r="AA134">
        <v>6700</v>
      </c>
    </row>
    <row r="135" spans="1:46" x14ac:dyDescent="0.25">
      <c r="A135" s="48">
        <v>4002715</v>
      </c>
    </row>
    <row r="136" spans="1:46" x14ac:dyDescent="0.25">
      <c r="A136" s="48">
        <v>4003924</v>
      </c>
      <c r="T136">
        <v>3200</v>
      </c>
    </row>
    <row r="137" spans="1:46" x14ac:dyDescent="0.25">
      <c r="A137" s="48">
        <v>4006051</v>
      </c>
    </row>
    <row r="138" spans="1:46" x14ac:dyDescent="0.25">
      <c r="A138" s="48">
        <v>4008140</v>
      </c>
      <c r="S138">
        <v>5900</v>
      </c>
    </row>
    <row r="139" spans="1:46" x14ac:dyDescent="0.25">
      <c r="A139" s="48">
        <v>4009906</v>
      </c>
      <c r="U139">
        <v>6300</v>
      </c>
      <c r="AQ139">
        <v>7100</v>
      </c>
      <c r="AT139">
        <v>5300</v>
      </c>
    </row>
    <row r="140" spans="1:46" x14ac:dyDescent="0.25">
      <c r="A140" s="48">
        <v>4011027</v>
      </c>
      <c r="U140">
        <v>8900</v>
      </c>
    </row>
    <row r="141" spans="1:46" x14ac:dyDescent="0.25">
      <c r="A141" s="48">
        <v>4011920</v>
      </c>
    </row>
    <row r="142" spans="1:46" x14ac:dyDescent="0.25">
      <c r="A142" s="48">
        <v>4012248</v>
      </c>
    </row>
    <row r="143" spans="1:46" x14ac:dyDescent="0.25">
      <c r="A143" s="48">
        <v>4013603</v>
      </c>
    </row>
    <row r="144" spans="1:46" x14ac:dyDescent="0.25">
      <c r="A144" s="48">
        <v>5004654</v>
      </c>
      <c r="U144">
        <v>2420</v>
      </c>
      <c r="W144">
        <v>2310</v>
      </c>
      <c r="X144">
        <v>3110</v>
      </c>
      <c r="Y144">
        <v>3780</v>
      </c>
      <c r="Z144">
        <v>4290</v>
      </c>
      <c r="AB144">
        <v>5040</v>
      </c>
      <c r="AD144">
        <v>4070</v>
      </c>
      <c r="AH144">
        <v>4030</v>
      </c>
    </row>
    <row r="145" spans="1:44" x14ac:dyDescent="0.25">
      <c r="A145" s="52"/>
    </row>
    <row r="146" spans="1:44" x14ac:dyDescent="0.25">
      <c r="A146" s="50" t="s">
        <v>109</v>
      </c>
    </row>
    <row r="147" spans="1:44" x14ac:dyDescent="0.25">
      <c r="A147" s="48">
        <v>4289</v>
      </c>
      <c r="T147">
        <v>27500</v>
      </c>
      <c r="U147" s="14">
        <v>15000</v>
      </c>
      <c r="V147">
        <v>23800</v>
      </c>
    </row>
    <row r="148" spans="1:44" x14ac:dyDescent="0.25">
      <c r="A148" s="48">
        <v>500245</v>
      </c>
      <c r="T148">
        <v>13300</v>
      </c>
      <c r="U148">
        <v>359000</v>
      </c>
      <c r="W148">
        <v>10600</v>
      </c>
      <c r="AC148">
        <v>8660</v>
      </c>
    </row>
    <row r="149" spans="1:44" x14ac:dyDescent="0.25">
      <c r="A149" s="48">
        <v>2002573</v>
      </c>
      <c r="AA149">
        <v>8090</v>
      </c>
    </row>
    <row r="150" spans="1:44" x14ac:dyDescent="0.25">
      <c r="A150" s="48">
        <v>2003539</v>
      </c>
      <c r="X150">
        <v>15000</v>
      </c>
      <c r="AA150">
        <v>15700</v>
      </c>
    </row>
    <row r="151" spans="1:44" x14ac:dyDescent="0.25">
      <c r="A151" s="48">
        <v>2003649</v>
      </c>
    </row>
    <row r="152" spans="1:44" x14ac:dyDescent="0.25">
      <c r="A152" s="48">
        <v>2005572</v>
      </c>
      <c r="T152">
        <v>13000</v>
      </c>
      <c r="V152">
        <v>6840</v>
      </c>
      <c r="Y152">
        <v>6650</v>
      </c>
    </row>
    <row r="153" spans="1:44" x14ac:dyDescent="0.25">
      <c r="A153" s="48">
        <v>2013117</v>
      </c>
    </row>
    <row r="154" spans="1:44" x14ac:dyDescent="0.25">
      <c r="A154" s="48">
        <v>3009633</v>
      </c>
      <c r="AH154">
        <v>3300</v>
      </c>
      <c r="AL154">
        <v>3700</v>
      </c>
      <c r="AN154">
        <v>4200</v>
      </c>
    </row>
    <row r="155" spans="1:44" x14ac:dyDescent="0.25">
      <c r="A155" s="48">
        <v>3010583</v>
      </c>
      <c r="AR155">
        <v>5900</v>
      </c>
    </row>
    <row r="156" spans="1:44" x14ac:dyDescent="0.25">
      <c r="A156" s="23">
        <v>3011892</v>
      </c>
      <c r="AC156">
        <v>7700</v>
      </c>
    </row>
    <row r="157" spans="1:44" x14ac:dyDescent="0.25">
      <c r="A157">
        <v>4001382</v>
      </c>
    </row>
    <row r="158" spans="1:44" x14ac:dyDescent="0.25">
      <c r="A158" s="48">
        <v>5018675</v>
      </c>
      <c r="Z158">
        <v>10700</v>
      </c>
    </row>
    <row r="159" spans="1:44" x14ac:dyDescent="0.25">
      <c r="A159" s="48">
        <v>6050168</v>
      </c>
    </row>
    <row r="160" spans="1:44" x14ac:dyDescent="0.25">
      <c r="A160" s="48">
        <v>5006592</v>
      </c>
    </row>
    <row r="161" spans="1:41" x14ac:dyDescent="0.25">
      <c r="A161" s="48">
        <v>5007274</v>
      </c>
    </row>
    <row r="162" spans="1:41" x14ac:dyDescent="0.25">
      <c r="A162" s="48">
        <v>5015851</v>
      </c>
    </row>
    <row r="163" spans="1:41" x14ac:dyDescent="0.25">
      <c r="A163" s="48">
        <v>6015647</v>
      </c>
      <c r="T163">
        <v>8010</v>
      </c>
      <c r="U163">
        <v>8020</v>
      </c>
      <c r="W163">
        <v>7630</v>
      </c>
      <c r="Z163">
        <v>11410</v>
      </c>
      <c r="AC163">
        <v>10520</v>
      </c>
      <c r="AH163">
        <v>7250</v>
      </c>
      <c r="AO163">
        <v>9310</v>
      </c>
    </row>
    <row r="164" spans="1:41" x14ac:dyDescent="0.25">
      <c r="A164" s="48">
        <v>6056633</v>
      </c>
      <c r="S164">
        <v>11500</v>
      </c>
    </row>
    <row r="165" spans="1:41" x14ac:dyDescent="0.25">
      <c r="A165" s="48">
        <v>7086224</v>
      </c>
      <c r="AD165">
        <v>7300</v>
      </c>
    </row>
    <row r="166" spans="1:41" x14ac:dyDescent="0.25">
      <c r="A166" s="48">
        <v>8040959</v>
      </c>
    </row>
    <row r="167" spans="1:41" x14ac:dyDescent="0.25">
      <c r="A167" s="48">
        <v>8107048</v>
      </c>
    </row>
    <row r="168" spans="1:41" x14ac:dyDescent="0.25">
      <c r="A168" s="48">
        <v>8124044</v>
      </c>
    </row>
    <row r="169" spans="1:41" x14ac:dyDescent="0.25">
      <c r="A169" s="48">
        <v>8142949</v>
      </c>
    </row>
    <row r="170" spans="1:41" x14ac:dyDescent="0.25">
      <c r="A170" s="48">
        <v>9023306</v>
      </c>
    </row>
    <row r="171" spans="1:41" x14ac:dyDescent="0.25">
      <c r="A171" s="48">
        <v>9030615</v>
      </c>
      <c r="W171">
        <v>5800</v>
      </c>
      <c r="AJ171">
        <v>5200</v>
      </c>
    </row>
    <row r="172" spans="1:41" x14ac:dyDescent="0.25">
      <c r="A172" s="48">
        <v>9034464</v>
      </c>
      <c r="M172" s="14">
        <v>10590</v>
      </c>
    </row>
    <row r="173" spans="1:41" x14ac:dyDescent="0.25">
      <c r="A173" s="48">
        <v>9040167</v>
      </c>
      <c r="Q173">
        <v>7780</v>
      </c>
    </row>
    <row r="174" spans="1:41" x14ac:dyDescent="0.25">
      <c r="A174" s="48">
        <v>9054567</v>
      </c>
    </row>
    <row r="175" spans="1:41" x14ac:dyDescent="0.25">
      <c r="A175" s="48">
        <v>9083682</v>
      </c>
      <c r="S175">
        <v>4900</v>
      </c>
    </row>
    <row r="176" spans="1:41" x14ac:dyDescent="0.25">
      <c r="A176" s="48">
        <v>9102044</v>
      </c>
    </row>
    <row r="177" spans="1:32" x14ac:dyDescent="0.25">
      <c r="A177" s="48">
        <v>9119854</v>
      </c>
    </row>
    <row r="178" spans="1:32" x14ac:dyDescent="0.25">
      <c r="A178" s="48">
        <v>9125126</v>
      </c>
    </row>
    <row r="179" spans="1:32" x14ac:dyDescent="0.25">
      <c r="A179" s="48">
        <v>9174811</v>
      </c>
    </row>
    <row r="180" spans="1:32" x14ac:dyDescent="0.25">
      <c r="A180" s="48">
        <v>10002875</v>
      </c>
    </row>
    <row r="181" spans="1:32" x14ac:dyDescent="0.25">
      <c r="A181" s="48">
        <v>10023080</v>
      </c>
    </row>
    <row r="182" spans="1:32" x14ac:dyDescent="0.25">
      <c r="A182" s="48">
        <v>10025212</v>
      </c>
    </row>
    <row r="183" spans="1:32" x14ac:dyDescent="0.25">
      <c r="A183" s="48">
        <v>10069407</v>
      </c>
    </row>
    <row r="184" spans="1:32" x14ac:dyDescent="0.25">
      <c r="A184" s="48">
        <v>10071135</v>
      </c>
      <c r="AF184">
        <v>6200</v>
      </c>
    </row>
    <row r="185" spans="1:32" x14ac:dyDescent="0.25">
      <c r="A185" s="48">
        <v>10083649</v>
      </c>
    </row>
    <row r="186" spans="1:32" x14ac:dyDescent="0.25">
      <c r="A186" s="48">
        <v>10102021</v>
      </c>
    </row>
    <row r="187" spans="1:32" x14ac:dyDescent="0.25">
      <c r="A187" s="48">
        <v>10123729</v>
      </c>
    </row>
    <row r="188" spans="1:32" x14ac:dyDescent="0.25">
      <c r="A188" s="48">
        <v>10144736</v>
      </c>
    </row>
    <row r="189" spans="1:32" x14ac:dyDescent="0.25">
      <c r="A189" s="48">
        <v>10157275</v>
      </c>
    </row>
    <row r="190" spans="1:32" x14ac:dyDescent="0.25">
      <c r="A190" s="52"/>
    </row>
    <row r="191" spans="1:32" x14ac:dyDescent="0.25">
      <c r="A191" s="50" t="s">
        <v>83</v>
      </c>
    </row>
    <row r="192" spans="1:32" x14ac:dyDescent="0.25">
      <c r="A192" s="48">
        <v>5281</v>
      </c>
    </row>
    <row r="193" spans="1:31" x14ac:dyDescent="0.25">
      <c r="A193" s="48">
        <v>200085</v>
      </c>
    </row>
    <row r="194" spans="1:31" x14ac:dyDescent="0.25">
      <c r="A194" s="48">
        <v>500129</v>
      </c>
    </row>
    <row r="195" spans="1:31" x14ac:dyDescent="0.25">
      <c r="A195" s="51">
        <v>1002033</v>
      </c>
    </row>
    <row r="196" spans="1:31" x14ac:dyDescent="0.25">
      <c r="A196" s="48">
        <v>1003457</v>
      </c>
    </row>
    <row r="197" spans="1:31" x14ac:dyDescent="0.25">
      <c r="A197" s="48">
        <v>2005223</v>
      </c>
      <c r="T197">
        <v>12700</v>
      </c>
    </row>
    <row r="198" spans="1:31" x14ac:dyDescent="0.25">
      <c r="A198" s="48">
        <v>2006107</v>
      </c>
    </row>
    <row r="199" spans="1:31" x14ac:dyDescent="0.25">
      <c r="A199" s="48">
        <v>2012014</v>
      </c>
      <c r="I199">
        <v>8800</v>
      </c>
      <c r="V199">
        <v>62400</v>
      </c>
      <c r="W199">
        <v>40500</v>
      </c>
    </row>
    <row r="200" spans="1:31" x14ac:dyDescent="0.25">
      <c r="A200" s="48">
        <v>3000152</v>
      </c>
    </row>
    <row r="201" spans="1:31" x14ac:dyDescent="0.25">
      <c r="A201" s="48">
        <v>3014566</v>
      </c>
    </row>
    <row r="202" spans="1:31" x14ac:dyDescent="0.25">
      <c r="A202" s="48">
        <v>3015058</v>
      </c>
      <c r="I202">
        <v>7100</v>
      </c>
      <c r="K202" s="14">
        <v>13300</v>
      </c>
      <c r="L202">
        <v>11300</v>
      </c>
      <c r="N202">
        <v>10200</v>
      </c>
      <c r="U202">
        <v>11500</v>
      </c>
      <c r="V202">
        <v>13300</v>
      </c>
      <c r="Z202">
        <v>8200</v>
      </c>
      <c r="AB202">
        <v>11000</v>
      </c>
    </row>
    <row r="203" spans="1:31" x14ac:dyDescent="0.25">
      <c r="A203" s="51">
        <v>4000996</v>
      </c>
      <c r="U203">
        <v>3500</v>
      </c>
      <c r="V203">
        <v>3500</v>
      </c>
      <c r="AD203">
        <v>5100</v>
      </c>
    </row>
    <row r="204" spans="1:31" x14ac:dyDescent="0.25">
      <c r="A204" s="48">
        <v>4003768</v>
      </c>
    </row>
    <row r="205" spans="1:31" x14ac:dyDescent="0.25">
      <c r="A205" s="48">
        <v>4006540</v>
      </c>
      <c r="AD205">
        <v>9400</v>
      </c>
      <c r="AE205">
        <v>10000</v>
      </c>
    </row>
    <row r="206" spans="1:31" x14ac:dyDescent="0.25">
      <c r="A206" s="48">
        <v>4007054</v>
      </c>
      <c r="X206">
        <v>8300</v>
      </c>
    </row>
    <row r="207" spans="1:31" x14ac:dyDescent="0.25">
      <c r="A207" s="48">
        <v>4011002</v>
      </c>
      <c r="T207">
        <v>4200</v>
      </c>
      <c r="U207">
        <v>4000</v>
      </c>
      <c r="Y207">
        <v>3800</v>
      </c>
      <c r="AB207">
        <v>4100</v>
      </c>
    </row>
    <row r="208" spans="1:31" x14ac:dyDescent="0.25">
      <c r="A208" s="48">
        <v>4900268</v>
      </c>
      <c r="V208">
        <v>4612</v>
      </c>
    </row>
    <row r="209" spans="1:28" x14ac:dyDescent="0.25">
      <c r="A209" s="48">
        <v>5001097</v>
      </c>
      <c r="L209">
        <v>12600</v>
      </c>
      <c r="N209">
        <v>11500</v>
      </c>
      <c r="T209">
        <v>12400</v>
      </c>
      <c r="AB209">
        <v>12600</v>
      </c>
    </row>
    <row r="210" spans="1:28" x14ac:dyDescent="0.25">
      <c r="A210" s="48">
        <v>5001098</v>
      </c>
      <c r="H210">
        <v>18400</v>
      </c>
      <c r="K210">
        <v>13600</v>
      </c>
      <c r="L210">
        <v>15900</v>
      </c>
    </row>
    <row r="211" spans="1:28" x14ac:dyDescent="0.25">
      <c r="A211" s="48">
        <v>5006152</v>
      </c>
      <c r="Q211">
        <v>16950</v>
      </c>
      <c r="U211">
        <v>16450</v>
      </c>
    </row>
    <row r="212" spans="1:28" x14ac:dyDescent="0.25">
      <c r="A212" s="48">
        <v>6012361</v>
      </c>
      <c r="S212">
        <v>28000</v>
      </c>
    </row>
    <row r="213" spans="1:28" x14ac:dyDescent="0.25">
      <c r="A213" s="48">
        <v>6015793</v>
      </c>
      <c r="R213">
        <v>8000</v>
      </c>
      <c r="T213">
        <v>7200</v>
      </c>
      <c r="U213">
        <v>6500</v>
      </c>
      <c r="V213">
        <v>3610</v>
      </c>
      <c r="W213">
        <v>3550</v>
      </c>
      <c r="X213">
        <v>6400</v>
      </c>
    </row>
    <row r="214" spans="1:28" x14ac:dyDescent="0.25">
      <c r="A214" s="48">
        <v>6043619</v>
      </c>
    </row>
    <row r="215" spans="1:28" x14ac:dyDescent="0.25">
      <c r="A215" s="48">
        <v>7001097</v>
      </c>
    </row>
    <row r="216" spans="1:28" x14ac:dyDescent="0.25">
      <c r="A216" s="48">
        <v>7011435</v>
      </c>
      <c r="T216">
        <v>3880</v>
      </c>
      <c r="V216">
        <v>4350</v>
      </c>
      <c r="Z216">
        <v>5910</v>
      </c>
    </row>
    <row r="217" spans="1:28" x14ac:dyDescent="0.25">
      <c r="A217" s="48">
        <v>7045811</v>
      </c>
    </row>
    <row r="218" spans="1:28" x14ac:dyDescent="0.25">
      <c r="A218" s="48">
        <v>7071198</v>
      </c>
      <c r="B218">
        <v>6800</v>
      </c>
      <c r="X218">
        <v>8000</v>
      </c>
    </row>
    <row r="219" spans="1:28" x14ac:dyDescent="0.25">
      <c r="A219" s="48">
        <v>7101143</v>
      </c>
    </row>
    <row r="220" spans="1:28" x14ac:dyDescent="0.25">
      <c r="A220" s="48">
        <v>8073350</v>
      </c>
    </row>
    <row r="221" spans="1:28" x14ac:dyDescent="0.25">
      <c r="A221" s="48">
        <v>8073645</v>
      </c>
      <c r="T221" s="48"/>
    </row>
    <row r="222" spans="1:28" x14ac:dyDescent="0.25">
      <c r="A222" s="51">
        <v>8089666</v>
      </c>
      <c r="P222">
        <v>7330</v>
      </c>
      <c r="Q222" s="14">
        <v>6700</v>
      </c>
      <c r="R222">
        <v>12100</v>
      </c>
      <c r="T222" s="14">
        <v>167500</v>
      </c>
      <c r="U222">
        <v>22500</v>
      </c>
    </row>
    <row r="223" spans="1:28" x14ac:dyDescent="0.25">
      <c r="A223" s="48">
        <v>8103536</v>
      </c>
      <c r="S223">
        <v>5300</v>
      </c>
      <c r="T223" s="48"/>
    </row>
    <row r="224" spans="1:28" x14ac:dyDescent="0.25">
      <c r="A224" s="48">
        <v>8124816</v>
      </c>
    </row>
    <row r="225" spans="1:31" x14ac:dyDescent="0.25">
      <c r="A225" s="48">
        <v>9003267</v>
      </c>
      <c r="U225">
        <v>6500</v>
      </c>
      <c r="Y225">
        <v>13100</v>
      </c>
      <c r="AA225">
        <v>16000</v>
      </c>
      <c r="AC225">
        <v>15700</v>
      </c>
      <c r="AE225">
        <v>11800</v>
      </c>
    </row>
    <row r="226" spans="1:31" x14ac:dyDescent="0.25">
      <c r="A226" s="48">
        <v>9036964</v>
      </c>
    </row>
    <row r="227" spans="1:31" x14ac:dyDescent="0.25">
      <c r="A227" s="48">
        <v>9090287</v>
      </c>
      <c r="V227">
        <v>7090</v>
      </c>
    </row>
    <row r="228" spans="1:31" x14ac:dyDescent="0.25">
      <c r="A228" s="48">
        <v>9095148</v>
      </c>
      <c r="C228">
        <v>26600</v>
      </c>
      <c r="F228">
        <v>14100</v>
      </c>
      <c r="J228">
        <v>2490</v>
      </c>
      <c r="U228">
        <v>3610</v>
      </c>
      <c r="V228">
        <v>3160</v>
      </c>
      <c r="W228">
        <v>3550</v>
      </c>
      <c r="X228">
        <v>7330</v>
      </c>
    </row>
    <row r="229" spans="1:31" x14ac:dyDescent="0.25">
      <c r="A229" s="48">
        <v>9104979</v>
      </c>
    </row>
    <row r="230" spans="1:31" x14ac:dyDescent="0.25">
      <c r="A230" s="48">
        <v>9139514</v>
      </c>
    </row>
    <row r="231" spans="1:31" x14ac:dyDescent="0.25">
      <c r="A231" s="48">
        <v>10020659</v>
      </c>
      <c r="T231">
        <v>3800</v>
      </c>
    </row>
    <row r="232" spans="1:31" x14ac:dyDescent="0.25">
      <c r="A232" s="48">
        <v>10025902</v>
      </c>
      <c r="T232">
        <v>11700</v>
      </c>
    </row>
    <row r="233" spans="1:31" x14ac:dyDescent="0.25">
      <c r="A233" s="48">
        <v>10027654</v>
      </c>
    </row>
    <row r="234" spans="1:31" x14ac:dyDescent="0.25">
      <c r="A234" s="48">
        <v>10084485</v>
      </c>
    </row>
    <row r="235" spans="1:31" x14ac:dyDescent="0.25">
      <c r="A235" s="48">
        <v>10098420</v>
      </c>
    </row>
    <row r="236" spans="1:31" x14ac:dyDescent="0.25">
      <c r="A236" s="48">
        <v>10129565</v>
      </c>
    </row>
    <row r="237" spans="1:31" x14ac:dyDescent="0.25">
      <c r="A237" s="48">
        <v>10146828</v>
      </c>
    </row>
    <row r="238" spans="1:31" x14ac:dyDescent="0.25">
      <c r="A238">
        <v>10163776</v>
      </c>
    </row>
    <row r="239" spans="1:31" x14ac:dyDescent="0.25">
      <c r="A239">
        <v>10173664</v>
      </c>
      <c r="W239">
        <v>6490</v>
      </c>
      <c r="AD239">
        <v>6000</v>
      </c>
    </row>
  </sheetData>
  <conditionalFormatting sqref="A19">
    <cfRule type="duplicateValues" dxfId="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4F5D-36BD-4183-814A-4756B40D689D}">
  <dimension ref="A1:D106"/>
  <sheetViews>
    <sheetView workbookViewId="0">
      <selection sqref="A1:D106"/>
    </sheetView>
  </sheetViews>
  <sheetFormatPr baseColWidth="10" defaultRowHeight="15" x14ac:dyDescent="0.25"/>
  <cols>
    <col min="1" max="1" width="17.28515625" bestFit="1" customWidth="1"/>
    <col min="2" max="2" width="13.4257812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1992</v>
      </c>
      <c r="C1" s="62" t="s">
        <v>1914</v>
      </c>
      <c r="D1" s="62" t="s">
        <v>1873</v>
      </c>
    </row>
    <row r="2" spans="1:4" x14ac:dyDescent="0.25">
      <c r="A2" s="62">
        <v>7072184</v>
      </c>
      <c r="B2" s="62" t="s">
        <v>1992</v>
      </c>
      <c r="C2" s="62" t="s">
        <v>1060</v>
      </c>
      <c r="D2" s="62">
        <v>1</v>
      </c>
    </row>
    <row r="3" spans="1:4" x14ac:dyDescent="0.25">
      <c r="A3" s="62">
        <v>9108231</v>
      </c>
      <c r="B3" s="62" t="s">
        <v>1992</v>
      </c>
      <c r="C3" s="62" t="s">
        <v>1060</v>
      </c>
      <c r="D3" s="62">
        <v>1</v>
      </c>
    </row>
    <row r="4" spans="1:4" x14ac:dyDescent="0.25">
      <c r="A4" s="62">
        <v>1502</v>
      </c>
      <c r="B4" s="62" t="s">
        <v>1992</v>
      </c>
      <c r="C4" s="62" t="s">
        <v>1993</v>
      </c>
      <c r="D4" s="62">
        <v>2</v>
      </c>
    </row>
    <row r="5" spans="1:4" x14ac:dyDescent="0.25">
      <c r="A5" s="62">
        <v>14242856</v>
      </c>
      <c r="B5" s="62" t="s">
        <v>1992</v>
      </c>
      <c r="C5" s="62" t="s">
        <v>1060</v>
      </c>
      <c r="D5" s="62">
        <v>1</v>
      </c>
    </row>
    <row r="6" spans="1:4" x14ac:dyDescent="0.25">
      <c r="A6" s="62">
        <v>99001183</v>
      </c>
      <c r="B6" s="62" t="s">
        <v>1992</v>
      </c>
      <c r="C6" s="62" t="s">
        <v>81</v>
      </c>
      <c r="D6" s="62">
        <v>1</v>
      </c>
    </row>
    <row r="7" spans="1:4" x14ac:dyDescent="0.25">
      <c r="A7" s="62">
        <v>3000983</v>
      </c>
      <c r="B7" s="62" t="s">
        <v>1992</v>
      </c>
      <c r="C7" s="62" t="s">
        <v>1994</v>
      </c>
      <c r="D7" s="62">
        <v>3</v>
      </c>
    </row>
    <row r="8" spans="1:4" x14ac:dyDescent="0.25">
      <c r="A8" s="62">
        <v>1480</v>
      </c>
      <c r="B8" s="62" t="s">
        <v>1992</v>
      </c>
      <c r="C8" s="62" t="s">
        <v>12</v>
      </c>
      <c r="D8" s="62">
        <v>1</v>
      </c>
    </row>
    <row r="9" spans="1:4" x14ac:dyDescent="0.25">
      <c r="A9" s="62">
        <v>1003215</v>
      </c>
      <c r="B9" s="62" t="s">
        <v>1992</v>
      </c>
      <c r="C9" s="62" t="s">
        <v>1060</v>
      </c>
      <c r="D9" s="62">
        <v>1</v>
      </c>
    </row>
    <row r="10" spans="1:4" x14ac:dyDescent="0.25">
      <c r="A10" s="62">
        <v>99000802</v>
      </c>
      <c r="B10" s="62" t="s">
        <v>1992</v>
      </c>
      <c r="C10" s="62" t="s">
        <v>9</v>
      </c>
      <c r="D10" s="62">
        <v>1</v>
      </c>
    </row>
    <row r="11" spans="1:4" x14ac:dyDescent="0.25">
      <c r="A11" s="62">
        <v>1000192</v>
      </c>
      <c r="B11" s="62" t="s">
        <v>1992</v>
      </c>
      <c r="C11" s="62" t="s">
        <v>1995</v>
      </c>
      <c r="D11" s="62">
        <v>2</v>
      </c>
    </row>
    <row r="12" spans="1:4" x14ac:dyDescent="0.25">
      <c r="A12" s="62">
        <v>1506</v>
      </c>
      <c r="B12" s="62" t="s">
        <v>1992</v>
      </c>
      <c r="C12" s="62" t="s">
        <v>1061</v>
      </c>
      <c r="D12" s="62">
        <v>1</v>
      </c>
    </row>
    <row r="13" spans="1:4" x14ac:dyDescent="0.25">
      <c r="A13" s="62">
        <v>99000894</v>
      </c>
      <c r="B13" s="62" t="s">
        <v>1992</v>
      </c>
      <c r="C13" s="62" t="s">
        <v>80</v>
      </c>
      <c r="D13" s="62">
        <v>1</v>
      </c>
    </row>
    <row r="14" spans="1:4" x14ac:dyDescent="0.25">
      <c r="A14" s="62">
        <v>99000897</v>
      </c>
      <c r="B14" s="62" t="s">
        <v>1992</v>
      </c>
      <c r="C14" s="62" t="s">
        <v>1064</v>
      </c>
      <c r="D14" s="62">
        <v>1</v>
      </c>
    </row>
    <row r="15" spans="1:4" x14ac:dyDescent="0.25">
      <c r="A15" s="62">
        <v>99001902</v>
      </c>
      <c r="B15" s="62" t="s">
        <v>1992</v>
      </c>
      <c r="C15" s="62" t="s">
        <v>1061</v>
      </c>
      <c r="D15" s="62">
        <v>1</v>
      </c>
    </row>
    <row r="16" spans="1:4" x14ac:dyDescent="0.25">
      <c r="A16" s="62">
        <v>99001912</v>
      </c>
      <c r="B16" s="62" t="s">
        <v>1992</v>
      </c>
      <c r="C16" s="62" t="s">
        <v>1061</v>
      </c>
      <c r="D16" s="62">
        <v>1</v>
      </c>
    </row>
    <row r="17" spans="1:4" x14ac:dyDescent="0.25">
      <c r="A17" s="62">
        <v>99001943</v>
      </c>
      <c r="B17" s="62" t="s">
        <v>1992</v>
      </c>
      <c r="C17" s="62" t="s">
        <v>1996</v>
      </c>
      <c r="D17" s="62">
        <v>2</v>
      </c>
    </row>
    <row r="18" spans="1:4" x14ac:dyDescent="0.25">
      <c r="A18" s="62">
        <v>99001927</v>
      </c>
      <c r="B18" s="62" t="s">
        <v>1992</v>
      </c>
      <c r="C18" s="62" t="s">
        <v>1060</v>
      </c>
      <c r="D18" s="62">
        <v>1</v>
      </c>
    </row>
    <row r="19" spans="1:4" x14ac:dyDescent="0.25">
      <c r="A19" s="62">
        <v>1505</v>
      </c>
      <c r="B19" s="62" t="s">
        <v>1992</v>
      </c>
      <c r="C19" s="62" t="s">
        <v>1997</v>
      </c>
      <c r="D19" s="62">
        <v>2</v>
      </c>
    </row>
    <row r="20" spans="1:4" x14ac:dyDescent="0.25">
      <c r="A20" s="62">
        <v>1000197</v>
      </c>
      <c r="B20" s="62" t="s">
        <v>1992</v>
      </c>
      <c r="C20" s="62" t="s">
        <v>1998</v>
      </c>
      <c r="D20" s="62">
        <v>2</v>
      </c>
    </row>
    <row r="21" spans="1:4" x14ac:dyDescent="0.25">
      <c r="A21" s="62">
        <v>96018835</v>
      </c>
      <c r="B21" s="62" t="s">
        <v>1992</v>
      </c>
      <c r="C21" s="62" t="s">
        <v>1999</v>
      </c>
      <c r="D21" s="62">
        <v>9</v>
      </c>
    </row>
    <row r="22" spans="1:4" x14ac:dyDescent="0.25">
      <c r="A22" s="62">
        <v>98008326</v>
      </c>
      <c r="B22" s="62" t="s">
        <v>1992</v>
      </c>
      <c r="C22" s="62" t="s">
        <v>2000</v>
      </c>
      <c r="D22" s="62">
        <v>2</v>
      </c>
    </row>
    <row r="23" spans="1:4" x14ac:dyDescent="0.25">
      <c r="A23" s="62">
        <v>99000717</v>
      </c>
      <c r="B23" s="62" t="s">
        <v>1992</v>
      </c>
      <c r="C23" s="62" t="s">
        <v>2001</v>
      </c>
      <c r="D23" s="62">
        <v>2</v>
      </c>
    </row>
    <row r="24" spans="1:4" x14ac:dyDescent="0.25">
      <c r="A24" s="62">
        <v>6016435</v>
      </c>
      <c r="B24" s="62" t="s">
        <v>1992</v>
      </c>
      <c r="C24" s="62" t="s">
        <v>9</v>
      </c>
      <c r="D24" s="62">
        <v>1</v>
      </c>
    </row>
    <row r="25" spans="1:4" x14ac:dyDescent="0.25">
      <c r="A25" s="62">
        <v>8045149</v>
      </c>
      <c r="B25" s="62" t="s">
        <v>1992</v>
      </c>
      <c r="C25" s="62" t="s">
        <v>1060</v>
      </c>
      <c r="D25" s="62">
        <v>1</v>
      </c>
    </row>
    <row r="26" spans="1:4" x14ac:dyDescent="0.25">
      <c r="A26" s="62">
        <v>10023001</v>
      </c>
      <c r="B26" s="62" t="s">
        <v>1992</v>
      </c>
      <c r="C26" s="62" t="s">
        <v>1060</v>
      </c>
      <c r="D26" s="62">
        <v>1</v>
      </c>
    </row>
    <row r="27" spans="1:4" x14ac:dyDescent="0.25">
      <c r="A27" s="62">
        <v>10027526</v>
      </c>
      <c r="B27" s="62" t="s">
        <v>1992</v>
      </c>
      <c r="C27" s="62" t="s">
        <v>982</v>
      </c>
      <c r="D27" s="62">
        <v>1</v>
      </c>
    </row>
    <row r="28" spans="1:4" x14ac:dyDescent="0.25">
      <c r="A28" s="62">
        <v>1006143</v>
      </c>
      <c r="B28" s="62" t="s">
        <v>1992</v>
      </c>
      <c r="C28" s="62" t="s">
        <v>1060</v>
      </c>
      <c r="D28" s="62">
        <v>1</v>
      </c>
    </row>
    <row r="29" spans="1:4" x14ac:dyDescent="0.25">
      <c r="A29" s="62">
        <v>6006917</v>
      </c>
      <c r="B29" s="62" t="s">
        <v>1992</v>
      </c>
      <c r="C29" s="62" t="s">
        <v>1060</v>
      </c>
      <c r="D29" s="62">
        <v>1</v>
      </c>
    </row>
    <row r="30" spans="1:4" x14ac:dyDescent="0.25">
      <c r="A30" s="62">
        <v>8057159</v>
      </c>
      <c r="B30" s="62" t="s">
        <v>1992</v>
      </c>
      <c r="C30" s="62" t="s">
        <v>2002</v>
      </c>
      <c r="D30" s="62">
        <v>3</v>
      </c>
    </row>
    <row r="31" spans="1:4" x14ac:dyDescent="0.25">
      <c r="A31" s="62">
        <v>9140312</v>
      </c>
      <c r="B31" s="62" t="s">
        <v>1992</v>
      </c>
      <c r="C31" s="62" t="s">
        <v>1061</v>
      </c>
      <c r="D31" s="62">
        <v>1</v>
      </c>
    </row>
    <row r="32" spans="1:4" x14ac:dyDescent="0.25">
      <c r="A32" s="62">
        <v>12088444</v>
      </c>
      <c r="B32" s="62" t="s">
        <v>1992</v>
      </c>
      <c r="C32" s="62" t="s">
        <v>2003</v>
      </c>
      <c r="D32" s="62">
        <v>4</v>
      </c>
    </row>
    <row r="33" spans="1:4" x14ac:dyDescent="0.25">
      <c r="A33" s="62">
        <v>13118872</v>
      </c>
      <c r="B33" s="62" t="s">
        <v>1992</v>
      </c>
      <c r="C33" s="62" t="s">
        <v>11</v>
      </c>
      <c r="D33" s="62">
        <v>1</v>
      </c>
    </row>
    <row r="34" spans="1:4" x14ac:dyDescent="0.25">
      <c r="A34" s="62">
        <v>9074418</v>
      </c>
      <c r="B34" s="62" t="s">
        <v>1992</v>
      </c>
      <c r="C34" s="62" t="s">
        <v>1061</v>
      </c>
      <c r="D34" s="62">
        <v>1</v>
      </c>
    </row>
    <row r="35" spans="1:4" x14ac:dyDescent="0.25">
      <c r="A35" s="62">
        <v>7103068</v>
      </c>
      <c r="B35" s="62" t="s">
        <v>1992</v>
      </c>
      <c r="C35" s="62" t="s">
        <v>2004</v>
      </c>
      <c r="D35" s="62">
        <v>3</v>
      </c>
    </row>
    <row r="36" spans="1:4" x14ac:dyDescent="0.25">
      <c r="A36" s="62">
        <v>5015869</v>
      </c>
      <c r="B36" s="62" t="s">
        <v>1992</v>
      </c>
      <c r="C36" s="62" t="s">
        <v>10</v>
      </c>
      <c r="D36" s="62">
        <v>1</v>
      </c>
    </row>
    <row r="37" spans="1:4" x14ac:dyDescent="0.25">
      <c r="A37" s="62">
        <v>6023231</v>
      </c>
      <c r="B37" s="62" t="s">
        <v>1992</v>
      </c>
      <c r="C37" s="62" t="s">
        <v>1060</v>
      </c>
      <c r="D37" s="62">
        <v>1</v>
      </c>
    </row>
    <row r="38" spans="1:4" x14ac:dyDescent="0.25">
      <c r="A38" s="62">
        <v>6011198</v>
      </c>
      <c r="B38" s="62" t="s">
        <v>1992</v>
      </c>
      <c r="C38" s="62" t="s">
        <v>1060</v>
      </c>
      <c r="D38" s="62">
        <v>1</v>
      </c>
    </row>
    <row r="39" spans="1:4" x14ac:dyDescent="0.25">
      <c r="A39" s="62">
        <v>6012681</v>
      </c>
      <c r="B39" s="62" t="s">
        <v>1992</v>
      </c>
      <c r="C39" s="62" t="s">
        <v>9</v>
      </c>
      <c r="D39" s="62">
        <v>1</v>
      </c>
    </row>
    <row r="40" spans="1:4" x14ac:dyDescent="0.25">
      <c r="A40" s="62">
        <v>6014511</v>
      </c>
      <c r="B40" s="62" t="s">
        <v>1992</v>
      </c>
      <c r="C40" s="62" t="s">
        <v>10</v>
      </c>
      <c r="D40" s="62">
        <v>1</v>
      </c>
    </row>
    <row r="41" spans="1:4" x14ac:dyDescent="0.25">
      <c r="A41" s="62">
        <v>7076814</v>
      </c>
      <c r="B41" s="62" t="s">
        <v>1992</v>
      </c>
      <c r="C41" s="62" t="s">
        <v>9</v>
      </c>
      <c r="D41" s="62">
        <v>1</v>
      </c>
    </row>
    <row r="42" spans="1:4" x14ac:dyDescent="0.25">
      <c r="A42" s="62">
        <v>7076815</v>
      </c>
      <c r="B42" s="62" t="s">
        <v>1992</v>
      </c>
      <c r="C42" s="62" t="s">
        <v>982</v>
      </c>
      <c r="D42" s="62">
        <v>1</v>
      </c>
    </row>
    <row r="43" spans="1:4" x14ac:dyDescent="0.25">
      <c r="A43" s="62">
        <v>7089231</v>
      </c>
      <c r="B43" s="62" t="s">
        <v>1992</v>
      </c>
      <c r="C43" s="62" t="s">
        <v>1060</v>
      </c>
      <c r="D43" s="62">
        <v>1</v>
      </c>
    </row>
    <row r="44" spans="1:4" x14ac:dyDescent="0.25">
      <c r="A44" s="62">
        <v>9003370</v>
      </c>
      <c r="B44" s="62" t="s">
        <v>1992</v>
      </c>
      <c r="C44" s="62" t="s">
        <v>982</v>
      </c>
      <c r="D44" s="62">
        <v>1</v>
      </c>
    </row>
    <row r="45" spans="1:4" x14ac:dyDescent="0.25">
      <c r="A45" s="62">
        <v>9016278</v>
      </c>
      <c r="B45" s="62" t="s">
        <v>1992</v>
      </c>
      <c r="C45" s="62" t="s">
        <v>2005</v>
      </c>
      <c r="D45" s="62">
        <v>2</v>
      </c>
    </row>
    <row r="46" spans="1:4" x14ac:dyDescent="0.25">
      <c r="A46" s="62">
        <v>9039416</v>
      </c>
      <c r="B46" s="62" t="s">
        <v>1992</v>
      </c>
      <c r="C46" s="62" t="s">
        <v>2006</v>
      </c>
      <c r="D46" s="62">
        <v>4</v>
      </c>
    </row>
    <row r="47" spans="1:4" x14ac:dyDescent="0.25">
      <c r="A47" s="62">
        <v>9044899</v>
      </c>
      <c r="B47" s="62" t="s">
        <v>1992</v>
      </c>
      <c r="C47" s="62" t="s">
        <v>2007</v>
      </c>
      <c r="D47" s="62">
        <v>5</v>
      </c>
    </row>
    <row r="48" spans="1:4" x14ac:dyDescent="0.25">
      <c r="A48" s="62">
        <v>9052398</v>
      </c>
      <c r="B48" s="62" t="s">
        <v>1992</v>
      </c>
      <c r="C48" s="62" t="s">
        <v>982</v>
      </c>
      <c r="D48" s="62">
        <v>1</v>
      </c>
    </row>
    <row r="49" spans="1:4" x14ac:dyDescent="0.25">
      <c r="A49" s="62">
        <v>10010926</v>
      </c>
      <c r="B49" s="62" t="s">
        <v>1992</v>
      </c>
      <c r="C49" s="62" t="s">
        <v>2008</v>
      </c>
      <c r="D49" s="62">
        <v>3</v>
      </c>
    </row>
    <row r="50" spans="1:4" x14ac:dyDescent="0.25">
      <c r="A50" s="62">
        <v>324</v>
      </c>
      <c r="B50" s="62" t="s">
        <v>1992</v>
      </c>
      <c r="C50" s="62" t="s">
        <v>982</v>
      </c>
      <c r="D50" s="62">
        <v>1</v>
      </c>
    </row>
    <row r="51" spans="1:4" x14ac:dyDescent="0.25">
      <c r="A51">
        <v>3909</v>
      </c>
      <c r="B51" s="62" t="s">
        <v>1992</v>
      </c>
      <c r="C51" t="s">
        <v>11</v>
      </c>
      <c r="D51">
        <v>1</v>
      </c>
    </row>
    <row r="52" spans="1:4" x14ac:dyDescent="0.25">
      <c r="A52">
        <v>1005522</v>
      </c>
      <c r="B52" s="62" t="s">
        <v>1992</v>
      </c>
      <c r="C52" t="s">
        <v>2009</v>
      </c>
      <c r="D52">
        <v>5</v>
      </c>
    </row>
    <row r="53" spans="1:4" x14ac:dyDescent="0.25">
      <c r="A53">
        <v>1007631</v>
      </c>
      <c r="B53" s="62" t="s">
        <v>1992</v>
      </c>
      <c r="C53" t="s">
        <v>9</v>
      </c>
      <c r="D53">
        <v>1</v>
      </c>
    </row>
    <row r="54" spans="1:4" x14ac:dyDescent="0.25">
      <c r="A54">
        <v>1009760</v>
      </c>
      <c r="B54" s="62" t="s">
        <v>1992</v>
      </c>
      <c r="C54" t="s">
        <v>2010</v>
      </c>
      <c r="D54">
        <v>4</v>
      </c>
    </row>
    <row r="55" spans="1:4" x14ac:dyDescent="0.25">
      <c r="A55">
        <v>2000646</v>
      </c>
      <c r="B55" s="62" t="s">
        <v>1992</v>
      </c>
      <c r="C55" t="s">
        <v>2011</v>
      </c>
      <c r="D55">
        <v>5</v>
      </c>
    </row>
    <row r="56" spans="1:4" x14ac:dyDescent="0.25">
      <c r="A56">
        <v>2004061</v>
      </c>
      <c r="B56" s="62" t="s">
        <v>1992</v>
      </c>
      <c r="C56" t="s">
        <v>2012</v>
      </c>
      <c r="D56">
        <v>4</v>
      </c>
    </row>
    <row r="57" spans="1:4" x14ac:dyDescent="0.25">
      <c r="A57">
        <v>3011094</v>
      </c>
      <c r="B57" s="62" t="s">
        <v>1992</v>
      </c>
      <c r="C57" t="s">
        <v>2013</v>
      </c>
      <c r="D57">
        <v>2</v>
      </c>
    </row>
    <row r="58" spans="1:4" x14ac:dyDescent="0.25">
      <c r="A58">
        <v>3016056</v>
      </c>
      <c r="B58" s="62" t="s">
        <v>1992</v>
      </c>
      <c r="C58" t="s">
        <v>982</v>
      </c>
      <c r="D58">
        <v>1</v>
      </c>
    </row>
    <row r="59" spans="1:4" x14ac:dyDescent="0.25">
      <c r="A59">
        <v>3900219</v>
      </c>
      <c r="B59" s="62" t="s">
        <v>1992</v>
      </c>
      <c r="C59" t="s">
        <v>1058</v>
      </c>
      <c r="D59">
        <v>1</v>
      </c>
    </row>
    <row r="60" spans="1:4" x14ac:dyDescent="0.25">
      <c r="A60">
        <v>4000304</v>
      </c>
      <c r="B60" s="62" t="s">
        <v>1992</v>
      </c>
      <c r="C60" t="s">
        <v>982</v>
      </c>
      <c r="D60">
        <v>1</v>
      </c>
    </row>
    <row r="61" spans="1:4" x14ac:dyDescent="0.25">
      <c r="A61">
        <v>4002206</v>
      </c>
      <c r="B61" s="62" t="s">
        <v>1992</v>
      </c>
      <c r="C61" t="s">
        <v>2014</v>
      </c>
      <c r="D61">
        <v>2</v>
      </c>
    </row>
    <row r="62" spans="1:4" x14ac:dyDescent="0.25">
      <c r="A62">
        <v>4003924</v>
      </c>
      <c r="B62" s="62" t="s">
        <v>1992</v>
      </c>
      <c r="C62" t="s">
        <v>982</v>
      </c>
      <c r="D62">
        <v>1</v>
      </c>
    </row>
    <row r="63" spans="1:4" x14ac:dyDescent="0.25">
      <c r="A63">
        <v>4008140</v>
      </c>
      <c r="B63" s="62" t="s">
        <v>1992</v>
      </c>
      <c r="C63" t="s">
        <v>1060</v>
      </c>
      <c r="D63">
        <v>1</v>
      </c>
    </row>
    <row r="64" spans="1:4" x14ac:dyDescent="0.25">
      <c r="A64">
        <v>4009906</v>
      </c>
      <c r="B64" s="62" t="s">
        <v>1992</v>
      </c>
      <c r="C64" t="s">
        <v>2015</v>
      </c>
      <c r="D64">
        <v>3</v>
      </c>
    </row>
    <row r="65" spans="1:4" x14ac:dyDescent="0.25">
      <c r="A65">
        <v>4011027</v>
      </c>
      <c r="B65" s="62" t="s">
        <v>1992</v>
      </c>
      <c r="C65" t="s">
        <v>9</v>
      </c>
      <c r="D65">
        <v>1</v>
      </c>
    </row>
    <row r="66" spans="1:4" x14ac:dyDescent="0.25">
      <c r="A66">
        <v>5004654</v>
      </c>
      <c r="B66" s="62" t="s">
        <v>1992</v>
      </c>
      <c r="C66" t="s">
        <v>2016</v>
      </c>
      <c r="D66">
        <v>8</v>
      </c>
    </row>
    <row r="67" spans="1:4" x14ac:dyDescent="0.25">
      <c r="A67">
        <v>4289</v>
      </c>
      <c r="B67" s="62" t="s">
        <v>1992</v>
      </c>
      <c r="C67" t="s">
        <v>2017</v>
      </c>
      <c r="D67">
        <v>3</v>
      </c>
    </row>
    <row r="68" spans="1:4" x14ac:dyDescent="0.25">
      <c r="A68">
        <v>500245</v>
      </c>
      <c r="B68" s="62" t="s">
        <v>1992</v>
      </c>
      <c r="C68" t="s">
        <v>2018</v>
      </c>
      <c r="D68">
        <v>4</v>
      </c>
    </row>
    <row r="69" spans="1:4" x14ac:dyDescent="0.25">
      <c r="A69">
        <v>2002573</v>
      </c>
      <c r="B69" s="62" t="s">
        <v>1992</v>
      </c>
      <c r="C69" t="s">
        <v>81</v>
      </c>
      <c r="D69">
        <v>1</v>
      </c>
    </row>
    <row r="70" spans="1:4" x14ac:dyDescent="0.25">
      <c r="A70">
        <v>2003539</v>
      </c>
      <c r="B70" s="62" t="s">
        <v>1992</v>
      </c>
      <c r="C70" t="s">
        <v>2019</v>
      </c>
      <c r="D70">
        <v>2</v>
      </c>
    </row>
    <row r="71" spans="1:4" x14ac:dyDescent="0.25">
      <c r="A71">
        <v>2005572</v>
      </c>
      <c r="B71" s="62" t="s">
        <v>1992</v>
      </c>
      <c r="C71" t="s">
        <v>2020</v>
      </c>
      <c r="D71">
        <v>3</v>
      </c>
    </row>
    <row r="72" spans="1:4" x14ac:dyDescent="0.25">
      <c r="A72">
        <v>3009633</v>
      </c>
      <c r="B72" s="62" t="s">
        <v>1992</v>
      </c>
      <c r="C72" t="s">
        <v>2021</v>
      </c>
      <c r="D72">
        <v>3</v>
      </c>
    </row>
    <row r="73" spans="1:4" x14ac:dyDescent="0.25">
      <c r="A73">
        <v>3010583</v>
      </c>
      <c r="B73" s="62" t="s">
        <v>1992</v>
      </c>
      <c r="C73" t="s">
        <v>1026</v>
      </c>
      <c r="D73">
        <v>1</v>
      </c>
    </row>
    <row r="74" spans="1:4" x14ac:dyDescent="0.25">
      <c r="A74">
        <v>3011892</v>
      </c>
      <c r="B74" s="62" t="s">
        <v>1992</v>
      </c>
      <c r="C74" t="s">
        <v>55</v>
      </c>
      <c r="D74">
        <v>1</v>
      </c>
    </row>
    <row r="75" spans="1:4" x14ac:dyDescent="0.25">
      <c r="A75">
        <v>5018675</v>
      </c>
      <c r="B75" s="62" t="s">
        <v>1992</v>
      </c>
      <c r="C75" t="s">
        <v>1062</v>
      </c>
      <c r="D75">
        <v>1</v>
      </c>
    </row>
    <row r="76" spans="1:4" x14ac:dyDescent="0.25">
      <c r="A76">
        <v>6015647</v>
      </c>
      <c r="B76" s="62" t="s">
        <v>1992</v>
      </c>
      <c r="C76" t="s">
        <v>2022</v>
      </c>
      <c r="D76">
        <v>7</v>
      </c>
    </row>
    <row r="77" spans="1:4" x14ac:dyDescent="0.25">
      <c r="A77">
        <v>6056633</v>
      </c>
      <c r="B77" s="62" t="s">
        <v>1992</v>
      </c>
      <c r="C77" t="s">
        <v>1060</v>
      </c>
      <c r="D77">
        <v>1</v>
      </c>
    </row>
    <row r="78" spans="1:4" x14ac:dyDescent="0.25">
      <c r="A78">
        <v>7086224</v>
      </c>
      <c r="B78" s="62" t="s">
        <v>1992</v>
      </c>
      <c r="C78" t="s">
        <v>82</v>
      </c>
      <c r="D78">
        <v>1</v>
      </c>
    </row>
    <row r="79" spans="1:4" x14ac:dyDescent="0.25">
      <c r="A79">
        <v>9030615</v>
      </c>
      <c r="B79" s="62" t="s">
        <v>1992</v>
      </c>
      <c r="C79" t="s">
        <v>2023</v>
      </c>
      <c r="D79">
        <v>2</v>
      </c>
    </row>
    <row r="80" spans="1:4" x14ac:dyDescent="0.25">
      <c r="A80">
        <v>9034464</v>
      </c>
      <c r="B80" s="62" t="s">
        <v>1992</v>
      </c>
      <c r="C80" t="s">
        <v>1586</v>
      </c>
      <c r="D80">
        <v>1</v>
      </c>
    </row>
    <row r="81" spans="1:4" x14ac:dyDescent="0.25">
      <c r="A81">
        <v>9040167</v>
      </c>
      <c r="B81" s="62" t="s">
        <v>1992</v>
      </c>
      <c r="C81" t="s">
        <v>766</v>
      </c>
      <c r="D81">
        <v>1</v>
      </c>
    </row>
    <row r="82" spans="1:4" x14ac:dyDescent="0.25">
      <c r="A82">
        <v>9083682</v>
      </c>
      <c r="B82" s="62" t="s">
        <v>1992</v>
      </c>
      <c r="C82" t="s">
        <v>1060</v>
      </c>
      <c r="D82">
        <v>1</v>
      </c>
    </row>
    <row r="83" spans="1:4" x14ac:dyDescent="0.25">
      <c r="A83">
        <v>10071135</v>
      </c>
      <c r="B83" s="62" t="s">
        <v>1992</v>
      </c>
      <c r="C83" t="s">
        <v>77</v>
      </c>
      <c r="D83">
        <v>1</v>
      </c>
    </row>
    <row r="84" spans="1:4" x14ac:dyDescent="0.25">
      <c r="A84">
        <v>2005223</v>
      </c>
      <c r="B84" s="62" t="s">
        <v>1992</v>
      </c>
      <c r="C84" t="s">
        <v>982</v>
      </c>
      <c r="D84">
        <v>1</v>
      </c>
    </row>
    <row r="85" spans="1:4" x14ac:dyDescent="0.25">
      <c r="A85">
        <v>2012014</v>
      </c>
      <c r="B85" s="62" t="s">
        <v>1992</v>
      </c>
      <c r="C85" t="s">
        <v>2024</v>
      </c>
      <c r="D85">
        <v>3</v>
      </c>
    </row>
    <row r="86" spans="1:4" x14ac:dyDescent="0.25">
      <c r="A86">
        <v>3015058</v>
      </c>
      <c r="B86" s="62" t="s">
        <v>1992</v>
      </c>
      <c r="C86" t="s">
        <v>2025</v>
      </c>
      <c r="D86">
        <v>8</v>
      </c>
    </row>
    <row r="87" spans="1:4" x14ac:dyDescent="0.25">
      <c r="A87">
        <v>4000996</v>
      </c>
      <c r="B87" s="62" t="s">
        <v>1992</v>
      </c>
      <c r="C87" t="s">
        <v>2026</v>
      </c>
      <c r="D87">
        <v>3</v>
      </c>
    </row>
    <row r="88" spans="1:4" x14ac:dyDescent="0.25">
      <c r="A88">
        <v>4006540</v>
      </c>
      <c r="B88" s="62" t="s">
        <v>1992</v>
      </c>
      <c r="C88" t="s">
        <v>2027</v>
      </c>
      <c r="D88">
        <v>2</v>
      </c>
    </row>
    <row r="89" spans="1:4" x14ac:dyDescent="0.25">
      <c r="A89">
        <v>4007054</v>
      </c>
      <c r="B89" s="62" t="s">
        <v>1992</v>
      </c>
      <c r="C89" t="s">
        <v>11</v>
      </c>
      <c r="D89">
        <v>1</v>
      </c>
    </row>
    <row r="90" spans="1:4" x14ac:dyDescent="0.25">
      <c r="A90">
        <v>4011002</v>
      </c>
      <c r="B90" s="62" t="s">
        <v>1992</v>
      </c>
      <c r="C90" t="s">
        <v>2028</v>
      </c>
      <c r="D90">
        <v>4</v>
      </c>
    </row>
    <row r="91" spans="1:4" x14ac:dyDescent="0.25">
      <c r="A91">
        <v>4900268</v>
      </c>
      <c r="B91" s="62" t="s">
        <v>1992</v>
      </c>
      <c r="C91" t="s">
        <v>1061</v>
      </c>
      <c r="D91">
        <v>1</v>
      </c>
    </row>
    <row r="92" spans="1:4" x14ac:dyDescent="0.25">
      <c r="A92">
        <v>5001097</v>
      </c>
      <c r="B92" s="62" t="s">
        <v>1992</v>
      </c>
      <c r="C92" t="s">
        <v>2029</v>
      </c>
      <c r="D92">
        <v>4</v>
      </c>
    </row>
    <row r="93" spans="1:4" x14ac:dyDescent="0.25">
      <c r="A93">
        <v>5001098</v>
      </c>
      <c r="B93" s="62" t="s">
        <v>1992</v>
      </c>
      <c r="C93" t="s">
        <v>2030</v>
      </c>
      <c r="D93">
        <v>3</v>
      </c>
    </row>
    <row r="94" spans="1:4" x14ac:dyDescent="0.25">
      <c r="A94">
        <v>5006152</v>
      </c>
      <c r="B94" s="62" t="s">
        <v>1992</v>
      </c>
      <c r="C94" t="s">
        <v>2031</v>
      </c>
      <c r="D94">
        <v>2</v>
      </c>
    </row>
    <row r="95" spans="1:4" x14ac:dyDescent="0.25">
      <c r="A95">
        <v>6012361</v>
      </c>
      <c r="B95" s="62" t="s">
        <v>1992</v>
      </c>
      <c r="C95" t="s">
        <v>1060</v>
      </c>
      <c r="D95">
        <v>1</v>
      </c>
    </row>
    <row r="96" spans="1:4" x14ac:dyDescent="0.25">
      <c r="A96">
        <v>6015793</v>
      </c>
      <c r="B96" s="62" t="s">
        <v>1992</v>
      </c>
      <c r="C96" t="s">
        <v>2032</v>
      </c>
      <c r="D96">
        <v>6</v>
      </c>
    </row>
    <row r="97" spans="1:4" x14ac:dyDescent="0.25">
      <c r="A97">
        <v>7011435</v>
      </c>
      <c r="B97" s="62" t="s">
        <v>1992</v>
      </c>
      <c r="C97" t="s">
        <v>2033</v>
      </c>
      <c r="D97">
        <v>3</v>
      </c>
    </row>
    <row r="98" spans="1:4" x14ac:dyDescent="0.25">
      <c r="A98">
        <v>7071198</v>
      </c>
      <c r="B98" s="62" t="s">
        <v>1992</v>
      </c>
      <c r="C98" t="s">
        <v>2034</v>
      </c>
      <c r="D98">
        <v>2</v>
      </c>
    </row>
    <row r="99" spans="1:4" x14ac:dyDescent="0.25">
      <c r="A99">
        <v>8089666</v>
      </c>
      <c r="B99" s="62" t="s">
        <v>1992</v>
      </c>
      <c r="C99" t="s">
        <v>2035</v>
      </c>
      <c r="D99">
        <v>5</v>
      </c>
    </row>
    <row r="100" spans="1:4" x14ac:dyDescent="0.25">
      <c r="A100">
        <v>8103536</v>
      </c>
      <c r="B100" s="62" t="s">
        <v>1992</v>
      </c>
      <c r="C100" t="s">
        <v>1060</v>
      </c>
      <c r="D100">
        <v>1</v>
      </c>
    </row>
    <row r="101" spans="1:4" x14ac:dyDescent="0.25">
      <c r="A101">
        <v>9003267</v>
      </c>
      <c r="B101" s="62" t="s">
        <v>1992</v>
      </c>
      <c r="C101" t="s">
        <v>2036</v>
      </c>
      <c r="D101">
        <v>5</v>
      </c>
    </row>
    <row r="102" spans="1:4" x14ac:dyDescent="0.25">
      <c r="A102">
        <v>9090287</v>
      </c>
      <c r="B102" s="62" t="s">
        <v>1992</v>
      </c>
      <c r="C102" t="s">
        <v>1061</v>
      </c>
      <c r="D102">
        <v>1</v>
      </c>
    </row>
    <row r="103" spans="1:4" x14ac:dyDescent="0.25">
      <c r="A103">
        <v>9095148</v>
      </c>
      <c r="B103" s="62" t="s">
        <v>1992</v>
      </c>
      <c r="C103" t="s">
        <v>2037</v>
      </c>
      <c r="D103">
        <v>7</v>
      </c>
    </row>
    <row r="104" spans="1:4" x14ac:dyDescent="0.25">
      <c r="A104">
        <v>10020659</v>
      </c>
      <c r="B104" s="62" t="s">
        <v>1992</v>
      </c>
      <c r="C104" t="s">
        <v>982</v>
      </c>
      <c r="D104">
        <v>1</v>
      </c>
    </row>
    <row r="105" spans="1:4" x14ac:dyDescent="0.25">
      <c r="A105">
        <v>10025902</v>
      </c>
      <c r="B105" s="62" t="s">
        <v>1992</v>
      </c>
      <c r="C105" t="s">
        <v>982</v>
      </c>
      <c r="D105">
        <v>1</v>
      </c>
    </row>
    <row r="106" spans="1:4" x14ac:dyDescent="0.25">
      <c r="A106">
        <v>10173664</v>
      </c>
      <c r="B106" s="62" t="s">
        <v>1992</v>
      </c>
      <c r="C106" t="s">
        <v>2038</v>
      </c>
      <c r="D106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B5DD-07EF-4C3D-B436-AFF1154A27E3}">
  <dimension ref="A1:CM239"/>
  <sheetViews>
    <sheetView workbookViewId="0">
      <selection sqref="A1:CM239"/>
    </sheetView>
  </sheetViews>
  <sheetFormatPr baseColWidth="10" defaultRowHeight="15" x14ac:dyDescent="0.25"/>
  <cols>
    <col min="1" max="1" width="17.140625" customWidth="1"/>
    <col min="2" max="5" width="39" customWidth="1"/>
    <col min="6" max="10" width="33.5703125" customWidth="1"/>
    <col min="11" max="11" width="38" customWidth="1"/>
    <col min="12" max="14" width="33.5703125" customWidth="1"/>
    <col min="15" max="16" width="32.5703125" customWidth="1"/>
    <col min="17" max="17" width="37" customWidth="1"/>
    <col min="18" max="22" width="32.5703125" customWidth="1"/>
    <col min="23" max="23" width="31.42578125" customWidth="1"/>
    <col min="24" max="24" width="28" customWidth="1"/>
    <col min="25" max="25" width="49.42578125" customWidth="1"/>
    <col min="28" max="28" width="14.7109375" customWidth="1"/>
    <col min="31" max="31" width="14.7109375" customWidth="1"/>
    <col min="32" max="33" width="12.42578125" customWidth="1"/>
    <col min="34" max="34" width="17.28515625" customWidth="1"/>
    <col min="35" max="36" width="12.42578125" customWidth="1"/>
    <col min="37" max="37" width="17.28515625" customWidth="1"/>
    <col min="38" max="39" width="12.42578125" customWidth="1"/>
    <col min="40" max="40" width="17.28515625" customWidth="1"/>
    <col min="41" max="43" width="12.42578125" customWidth="1"/>
    <col min="44" max="44" width="17.28515625" customWidth="1"/>
    <col min="45" max="47" width="12.42578125" customWidth="1"/>
    <col min="48" max="48" width="17.28515625" customWidth="1"/>
    <col min="49" max="52" width="12.42578125" customWidth="1"/>
    <col min="53" max="53" width="15.140625" customWidth="1"/>
    <col min="54" max="54" width="20" customWidth="1"/>
    <col min="55" max="76" width="15.140625" customWidth="1"/>
    <col min="77" max="77" width="20" customWidth="1"/>
    <col min="78" max="82" width="15.140625" customWidth="1"/>
    <col min="83" max="83" width="20" customWidth="1"/>
    <col min="84" max="86" width="15.140625" customWidth="1"/>
    <col min="87" max="91" width="20" customWidth="1"/>
  </cols>
  <sheetData>
    <row r="1" spans="1:91" ht="90" x14ac:dyDescent="0.25">
      <c r="A1" s="57" t="s">
        <v>43</v>
      </c>
      <c r="B1" s="58" t="s">
        <v>1789</v>
      </c>
      <c r="C1" s="58" t="s">
        <v>1776</v>
      </c>
      <c r="D1" s="58" t="s">
        <v>1777</v>
      </c>
      <c r="E1" s="58" t="s">
        <v>1067</v>
      </c>
      <c r="F1" s="58" t="s">
        <v>1606</v>
      </c>
      <c r="G1" s="58" t="s">
        <v>900</v>
      </c>
      <c r="H1" s="58" t="s">
        <v>1614</v>
      </c>
      <c r="I1" s="58" t="s">
        <v>873</v>
      </c>
      <c r="J1" s="58" t="s">
        <v>901</v>
      </c>
      <c r="K1" s="58" t="s">
        <v>1068</v>
      </c>
      <c r="L1" s="58" t="s">
        <v>1333</v>
      </c>
      <c r="M1" s="58" t="s">
        <v>1334</v>
      </c>
      <c r="N1" s="58" t="s">
        <v>1378</v>
      </c>
      <c r="O1" s="58" t="s">
        <v>953</v>
      </c>
      <c r="P1" s="58" t="s">
        <v>1435</v>
      </c>
      <c r="Q1" s="58" t="s">
        <v>1069</v>
      </c>
      <c r="R1" s="58" t="s">
        <v>1358</v>
      </c>
      <c r="S1" s="58" t="s">
        <v>1408</v>
      </c>
      <c r="T1" s="58" t="s">
        <v>1335</v>
      </c>
      <c r="U1" s="58" t="s">
        <v>459</v>
      </c>
      <c r="V1" s="58" t="s">
        <v>460</v>
      </c>
      <c r="W1" s="58" t="s">
        <v>1564</v>
      </c>
      <c r="X1" s="58" t="s">
        <v>1070</v>
      </c>
      <c r="Y1" s="59" t="s">
        <v>584</v>
      </c>
      <c r="Z1" s="58" t="s">
        <v>1071</v>
      </c>
      <c r="AA1" s="58" t="s">
        <v>15</v>
      </c>
      <c r="AB1" s="58" t="s">
        <v>1072</v>
      </c>
      <c r="AC1" s="58" t="s">
        <v>16</v>
      </c>
      <c r="AD1" s="58" t="s">
        <v>17</v>
      </c>
      <c r="AE1" s="58" t="s">
        <v>1073</v>
      </c>
      <c r="AF1" s="58" t="s">
        <v>124</v>
      </c>
      <c r="AG1" s="58" t="s">
        <v>58</v>
      </c>
      <c r="AH1" s="58" t="s">
        <v>1074</v>
      </c>
      <c r="AI1" s="58" t="s">
        <v>46</v>
      </c>
      <c r="AJ1" s="58" t="s">
        <v>50</v>
      </c>
      <c r="AK1" s="58" t="s">
        <v>1075</v>
      </c>
      <c r="AL1" s="58" t="s">
        <v>874</v>
      </c>
      <c r="AM1" s="58" t="s">
        <v>14</v>
      </c>
      <c r="AN1" s="58" t="s">
        <v>1076</v>
      </c>
      <c r="AO1" s="58" t="s">
        <v>39</v>
      </c>
      <c r="AP1" s="58" t="s">
        <v>580</v>
      </c>
      <c r="AQ1" s="58" t="s">
        <v>710</v>
      </c>
      <c r="AR1" s="58" t="s">
        <v>1077</v>
      </c>
      <c r="AS1" s="58" t="s">
        <v>979</v>
      </c>
      <c r="AT1" s="58" t="s">
        <v>724</v>
      </c>
      <c r="AU1" s="58" t="s">
        <v>1014</v>
      </c>
      <c r="AV1" s="58" t="s">
        <v>1078</v>
      </c>
      <c r="AW1" s="58" t="s">
        <v>1332</v>
      </c>
      <c r="AX1" s="58" t="s">
        <v>906</v>
      </c>
      <c r="AY1" s="58" t="s">
        <v>1567</v>
      </c>
      <c r="AZ1" s="58" t="s">
        <v>880</v>
      </c>
      <c r="BA1" s="58" t="s">
        <v>962</v>
      </c>
      <c r="BB1" s="58" t="s">
        <v>1079</v>
      </c>
      <c r="BC1" s="58" t="s">
        <v>1024</v>
      </c>
      <c r="BD1" s="58" t="s">
        <v>1100</v>
      </c>
      <c r="BE1" s="58" t="s">
        <v>1340</v>
      </c>
      <c r="BF1" s="58" t="s">
        <v>1101</v>
      </c>
      <c r="BG1" s="58" t="s">
        <v>1770</v>
      </c>
      <c r="BH1" s="58" t="s">
        <v>1616</v>
      </c>
      <c r="BI1" s="58" t="s">
        <v>1597</v>
      </c>
      <c r="BJ1" s="58" t="s">
        <v>1594</v>
      </c>
      <c r="BK1" s="58" t="s">
        <v>932</v>
      </c>
      <c r="BL1" s="58" t="s">
        <v>1589</v>
      </c>
      <c r="BM1" s="58" t="s">
        <v>1575</v>
      </c>
      <c r="BN1" s="58" t="s">
        <v>1602</v>
      </c>
      <c r="BO1" s="58" t="s">
        <v>1524</v>
      </c>
      <c r="BP1" s="58" t="s">
        <v>1576</v>
      </c>
      <c r="BQ1" s="58" t="s">
        <v>1515</v>
      </c>
      <c r="BR1" s="58" t="s">
        <v>1577</v>
      </c>
      <c r="BS1" s="58" t="s">
        <v>1706</v>
      </c>
      <c r="BT1" s="58" t="s">
        <v>1707</v>
      </c>
      <c r="BU1" s="58" t="s">
        <v>1578</v>
      </c>
      <c r="BV1" s="58" t="s">
        <v>1708</v>
      </c>
      <c r="BW1" s="58" t="s">
        <v>1598</v>
      </c>
      <c r="BX1" s="58" t="s">
        <v>887</v>
      </c>
      <c r="BY1" s="58" t="s">
        <v>1080</v>
      </c>
      <c r="BZ1" s="58" t="s">
        <v>1726</v>
      </c>
      <c r="CA1" s="58" t="s">
        <v>1555</v>
      </c>
      <c r="CB1" s="58" t="s">
        <v>1102</v>
      </c>
      <c r="CC1" s="58" t="s">
        <v>1341</v>
      </c>
      <c r="CD1" s="58" t="s">
        <v>1525</v>
      </c>
      <c r="CE1" s="58" t="s">
        <v>1081</v>
      </c>
      <c r="CF1" s="58" t="s">
        <v>936</v>
      </c>
      <c r="CG1" s="58" t="s">
        <v>937</v>
      </c>
      <c r="CH1" s="58" t="s">
        <v>1611</v>
      </c>
      <c r="CI1" s="58" t="s">
        <v>1082</v>
      </c>
      <c r="CJ1" s="58" t="s">
        <v>1526</v>
      </c>
      <c r="CK1" s="58" t="s">
        <v>1516</v>
      </c>
      <c r="CL1" s="58" t="s">
        <v>1617</v>
      </c>
      <c r="CM1" s="58" t="s">
        <v>1517</v>
      </c>
    </row>
    <row r="2" spans="1:91" x14ac:dyDescent="0.25">
      <c r="A2" s="40" t="s">
        <v>512</v>
      </c>
    </row>
    <row r="3" spans="1:91" x14ac:dyDescent="0.25">
      <c r="A3" s="10" t="s">
        <v>1868</v>
      </c>
      <c r="B3" s="6"/>
      <c r="C3" s="6"/>
      <c r="D3" s="6"/>
      <c r="E3" s="6"/>
      <c r="F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</row>
    <row r="4" spans="1:91" x14ac:dyDescent="0.25">
      <c r="A4" s="48">
        <v>7072184</v>
      </c>
      <c r="B4" s="6"/>
      <c r="C4" s="6"/>
      <c r="D4" s="6"/>
      <c r="E4" s="6"/>
      <c r="F4" s="6"/>
      <c r="X4">
        <v>916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</row>
    <row r="5" spans="1:91" x14ac:dyDescent="0.25">
      <c r="A5" s="48">
        <v>9108231</v>
      </c>
      <c r="B5" s="6"/>
      <c r="C5" s="6"/>
      <c r="D5" s="6"/>
      <c r="E5" s="6"/>
      <c r="F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</row>
    <row r="6" spans="1:91" x14ac:dyDescent="0.25">
      <c r="A6" s="48">
        <v>12061933</v>
      </c>
      <c r="B6" s="6"/>
      <c r="C6" s="6"/>
      <c r="D6" s="6"/>
      <c r="E6" s="6"/>
      <c r="F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</row>
    <row r="7" spans="1:91" x14ac:dyDescent="0.25">
      <c r="A7" s="48">
        <v>95005911</v>
      </c>
    </row>
    <row r="8" spans="1:91" x14ac:dyDescent="0.25">
      <c r="A8" s="48">
        <v>99001908</v>
      </c>
    </row>
    <row r="9" spans="1:91" x14ac:dyDescent="0.25">
      <c r="A9" s="48">
        <v>99004067</v>
      </c>
      <c r="X9">
        <v>20</v>
      </c>
    </row>
    <row r="10" spans="1:91" x14ac:dyDescent="0.25">
      <c r="A10" s="48">
        <v>97002136</v>
      </c>
      <c r="X10">
        <v>189</v>
      </c>
    </row>
    <row r="11" spans="1:91" x14ac:dyDescent="0.25">
      <c r="A11" s="48">
        <v>1502</v>
      </c>
      <c r="B11" s="6"/>
      <c r="C11" s="6"/>
      <c r="D11" s="6"/>
      <c r="E11" s="6"/>
      <c r="F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>
        <v>52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</row>
    <row r="12" spans="1:91" x14ac:dyDescent="0.25">
      <c r="A12" s="48">
        <v>4003543</v>
      </c>
      <c r="B12" s="6"/>
      <c r="C12" s="6"/>
      <c r="D12" s="6"/>
      <c r="E12" s="6"/>
      <c r="F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B12" s="6"/>
      <c r="AC12" s="6"/>
      <c r="AD12" s="6"/>
      <c r="AE12" s="6"/>
      <c r="AF12">
        <v>39</v>
      </c>
      <c r="AI12" s="6"/>
      <c r="AJ12">
        <v>25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</row>
    <row r="13" spans="1:91" x14ac:dyDescent="0.25">
      <c r="A13" s="48">
        <v>4900261</v>
      </c>
      <c r="B13" s="6"/>
      <c r="C13" s="6"/>
      <c r="D13" s="6"/>
      <c r="E13" s="6"/>
      <c r="F13" s="6"/>
      <c r="I13" s="6"/>
      <c r="J13" s="6"/>
      <c r="K13" s="6"/>
      <c r="L13" s="6"/>
      <c r="M13" s="6"/>
      <c r="N13" s="6"/>
      <c r="O13" s="6"/>
      <c r="P13" s="6"/>
      <c r="R13" s="6"/>
      <c r="S13" s="6"/>
      <c r="T13">
        <v>668</v>
      </c>
      <c r="U13">
        <v>454</v>
      </c>
      <c r="X13" s="6"/>
      <c r="Y13" s="6"/>
      <c r="Z13" s="6"/>
      <c r="AD13" s="6"/>
      <c r="AE13">
        <v>184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</row>
    <row r="14" spans="1:91" x14ac:dyDescent="0.25">
      <c r="A14" s="48"/>
    </row>
    <row r="15" spans="1:91" x14ac:dyDescent="0.25">
      <c r="A15" s="50" t="s">
        <v>1869</v>
      </c>
      <c r="B15" s="6"/>
      <c r="C15" s="6"/>
      <c r="D15" s="6"/>
      <c r="E15" s="6"/>
      <c r="F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</row>
    <row r="16" spans="1:91" x14ac:dyDescent="0.25">
      <c r="A16" s="48">
        <v>14242856</v>
      </c>
      <c r="B16" s="6"/>
      <c r="C16" s="6"/>
      <c r="D16" s="6"/>
      <c r="E16" s="6"/>
      <c r="F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80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</row>
    <row r="17" spans="1:91" x14ac:dyDescent="0.25">
      <c r="A17" s="48">
        <v>99001183</v>
      </c>
      <c r="B17" s="6"/>
      <c r="C17" s="6"/>
      <c r="D17" s="6"/>
      <c r="E17" s="6"/>
      <c r="F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</row>
    <row r="18" spans="1:91" x14ac:dyDescent="0.25">
      <c r="A18" s="48">
        <v>3000983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>
        <v>28</v>
      </c>
      <c r="AD18">
        <v>131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>
        <v>135</v>
      </c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</row>
    <row r="19" spans="1:91" x14ac:dyDescent="0.25">
      <c r="A19" s="48">
        <v>10064335</v>
      </c>
      <c r="B19" s="6"/>
      <c r="C19" s="6"/>
      <c r="D19" s="6"/>
      <c r="E19" s="6"/>
      <c r="F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>
        <v>75</v>
      </c>
      <c r="AM19">
        <v>69</v>
      </c>
      <c r="AN19" s="6"/>
      <c r="AO19">
        <v>47</v>
      </c>
      <c r="BA19">
        <v>191</v>
      </c>
      <c r="BC19">
        <v>19</v>
      </c>
    </row>
    <row r="20" spans="1:91" x14ac:dyDescent="0.25">
      <c r="A20" s="49"/>
      <c r="B20" s="6"/>
      <c r="C20" s="6"/>
      <c r="D20" s="6"/>
      <c r="E20" s="6"/>
      <c r="F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</row>
    <row r="21" spans="1:91" x14ac:dyDescent="0.25">
      <c r="A21" s="50" t="s">
        <v>1870</v>
      </c>
      <c r="B21" s="6"/>
      <c r="C21" s="6"/>
      <c r="D21" s="6"/>
      <c r="E21" s="6"/>
      <c r="F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</row>
    <row r="22" spans="1:91" x14ac:dyDescent="0.25">
      <c r="A22" s="48">
        <v>1480</v>
      </c>
      <c r="AD22">
        <v>13</v>
      </c>
    </row>
    <row r="23" spans="1:91" x14ac:dyDescent="0.25">
      <c r="A23" s="48">
        <v>7063959</v>
      </c>
      <c r="B23" s="6"/>
      <c r="C23" s="6"/>
      <c r="D23" s="6"/>
      <c r="E23" s="6"/>
      <c r="F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</row>
    <row r="24" spans="1:91" x14ac:dyDescent="0.25">
      <c r="A24" s="48">
        <v>1003215</v>
      </c>
      <c r="B24" s="6"/>
      <c r="C24" s="6"/>
      <c r="D24" s="6"/>
      <c r="E24" s="6"/>
      <c r="F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>
        <v>20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</row>
    <row r="25" spans="1:91" x14ac:dyDescent="0.25">
      <c r="A25" s="48">
        <v>99000802</v>
      </c>
      <c r="B25" s="6"/>
      <c r="C25" s="6"/>
      <c r="D25" s="6"/>
      <c r="E25" s="6"/>
      <c r="F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>
        <v>16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</row>
    <row r="26" spans="1:91" x14ac:dyDescent="0.25">
      <c r="A26" s="48">
        <v>99000892</v>
      </c>
      <c r="B26" s="6"/>
      <c r="C26" s="6"/>
      <c r="D26" s="6"/>
      <c r="E26" s="6"/>
      <c r="F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>
        <v>65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</row>
    <row r="27" spans="1:91" x14ac:dyDescent="0.25">
      <c r="A27" s="48">
        <v>1000192</v>
      </c>
      <c r="B27" s="6"/>
      <c r="C27" s="6"/>
      <c r="D27" s="6"/>
      <c r="E27" s="6"/>
      <c r="F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</row>
    <row r="28" spans="1:91" x14ac:dyDescent="0.25">
      <c r="A28" s="48">
        <v>1506</v>
      </c>
      <c r="B28" s="6"/>
      <c r="C28" s="6"/>
      <c r="D28" s="6"/>
      <c r="E28" s="6"/>
      <c r="F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>
        <v>15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</row>
    <row r="29" spans="1:91" x14ac:dyDescent="0.25">
      <c r="A29" s="48">
        <v>99000894</v>
      </c>
      <c r="B29" s="6"/>
      <c r="C29" s="6"/>
      <c r="D29" s="6"/>
      <c r="E29" s="6"/>
      <c r="F29" s="6"/>
      <c r="I29" s="6"/>
      <c r="J29" s="6"/>
      <c r="K29" s="6"/>
      <c r="L29" s="6"/>
      <c r="M29" s="6"/>
      <c r="N29" s="6"/>
      <c r="O29" s="6"/>
      <c r="P29" s="6"/>
      <c r="R29" s="6"/>
      <c r="S29" s="6"/>
      <c r="X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</row>
    <row r="30" spans="1:91" x14ac:dyDescent="0.25">
      <c r="A30" s="48">
        <v>99000897</v>
      </c>
    </row>
    <row r="31" spans="1:91" x14ac:dyDescent="0.25">
      <c r="A31" s="48">
        <v>99001245</v>
      </c>
      <c r="AA31">
        <v>31</v>
      </c>
    </row>
    <row r="32" spans="1:91" x14ac:dyDescent="0.25">
      <c r="A32" s="48">
        <v>99001902</v>
      </c>
      <c r="AA32">
        <v>50</v>
      </c>
    </row>
    <row r="33" spans="1:91" x14ac:dyDescent="0.25">
      <c r="A33" s="48">
        <v>99001912</v>
      </c>
      <c r="AD33">
        <v>51</v>
      </c>
    </row>
    <row r="34" spans="1:91" x14ac:dyDescent="0.25">
      <c r="A34" s="48">
        <v>99001913</v>
      </c>
      <c r="AA34">
        <v>28</v>
      </c>
    </row>
    <row r="35" spans="1:91" x14ac:dyDescent="0.25">
      <c r="A35" s="48">
        <v>99001937</v>
      </c>
      <c r="AE35">
        <v>21</v>
      </c>
    </row>
    <row r="36" spans="1:91" x14ac:dyDescent="0.25">
      <c r="A36" s="48">
        <v>99001943</v>
      </c>
      <c r="AO36">
        <v>21</v>
      </c>
    </row>
    <row r="37" spans="1:91" x14ac:dyDescent="0.25">
      <c r="A37" s="48">
        <v>99001927</v>
      </c>
      <c r="X37">
        <v>1425</v>
      </c>
    </row>
    <row r="38" spans="1:91" x14ac:dyDescent="0.25">
      <c r="A38" s="48">
        <v>1505</v>
      </c>
      <c r="B38" s="6"/>
      <c r="C38" s="6"/>
      <c r="D38" s="6"/>
      <c r="E38" s="6"/>
      <c r="F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>
        <v>28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</row>
    <row r="39" spans="1:91" x14ac:dyDescent="0.25">
      <c r="A39" s="48">
        <v>1000197</v>
      </c>
      <c r="B39" s="6"/>
      <c r="C39" s="6"/>
      <c r="D39" s="6"/>
      <c r="E39" s="6"/>
      <c r="F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E39" s="6"/>
      <c r="AF39" s="6"/>
      <c r="AG39">
        <v>25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</row>
    <row r="40" spans="1:91" x14ac:dyDescent="0.25">
      <c r="A40" s="48">
        <v>96018835</v>
      </c>
      <c r="B40" s="6"/>
      <c r="C40" s="6"/>
      <c r="D40" s="6"/>
      <c r="E40" s="6"/>
      <c r="F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>
        <v>1083</v>
      </c>
      <c r="AA40">
        <v>435</v>
      </c>
      <c r="AB40">
        <v>155</v>
      </c>
      <c r="AC40" s="6"/>
      <c r="AD40">
        <v>68</v>
      </c>
      <c r="AE40" s="6"/>
      <c r="AF40">
        <v>51</v>
      </c>
      <c r="AG40">
        <v>19</v>
      </c>
      <c r="AI40" s="6"/>
      <c r="AJ40">
        <v>24</v>
      </c>
      <c r="AM40" s="6"/>
      <c r="AN40" s="6"/>
      <c r="AO40">
        <v>175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</row>
    <row r="41" spans="1:91" x14ac:dyDescent="0.25">
      <c r="A41" s="48">
        <v>98008326</v>
      </c>
      <c r="B41" s="6"/>
      <c r="C41" s="6"/>
      <c r="D41" s="6"/>
      <c r="E41" s="6"/>
      <c r="F41" s="6"/>
      <c r="I41" s="6"/>
      <c r="J41" s="6"/>
      <c r="K41" s="6"/>
      <c r="L41" s="6"/>
      <c r="M41" s="6"/>
      <c r="N41" s="6"/>
      <c r="O41" s="6"/>
      <c r="P41" s="6"/>
      <c r="R41" s="6"/>
      <c r="S41" s="6"/>
      <c r="T41">
        <v>28</v>
      </c>
      <c r="X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</row>
    <row r="42" spans="1:91" x14ac:dyDescent="0.25">
      <c r="A42" s="48">
        <v>99000717</v>
      </c>
      <c r="B42" s="6"/>
      <c r="C42" s="6"/>
      <c r="D42" s="6"/>
      <c r="E42" s="6"/>
      <c r="F42" s="6"/>
      <c r="I42" s="6"/>
      <c r="J42" s="6"/>
      <c r="K42" s="6"/>
      <c r="L42" s="6"/>
      <c r="M42" s="6"/>
      <c r="N42" s="6"/>
      <c r="O42" s="6"/>
      <c r="P42" s="6"/>
      <c r="R42" s="6"/>
      <c r="S42" s="6"/>
      <c r="X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>
        <v>31</v>
      </c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</row>
    <row r="43" spans="1:91" x14ac:dyDescent="0.25">
      <c r="A43" s="48"/>
      <c r="B43" s="6"/>
      <c r="C43" s="6"/>
      <c r="D43" s="6"/>
      <c r="E43" s="6"/>
      <c r="F43" s="6"/>
      <c r="I43" s="6"/>
      <c r="J43" s="6"/>
      <c r="K43" s="6"/>
      <c r="L43" s="6"/>
      <c r="M43" s="6"/>
      <c r="N43" s="6"/>
      <c r="O43" s="6"/>
      <c r="P43" s="6"/>
      <c r="R43" s="6"/>
      <c r="S43" s="6"/>
      <c r="X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</row>
    <row r="44" spans="1:91" x14ac:dyDescent="0.25">
      <c r="A44" s="25" t="s">
        <v>129</v>
      </c>
    </row>
    <row r="45" spans="1:91" x14ac:dyDescent="0.25">
      <c r="A45" s="50" t="s">
        <v>106</v>
      </c>
    </row>
    <row r="46" spans="1:91" x14ac:dyDescent="0.25">
      <c r="A46" s="48">
        <v>6016435</v>
      </c>
    </row>
    <row r="47" spans="1:91" x14ac:dyDescent="0.25">
      <c r="A47" s="48">
        <v>8045149</v>
      </c>
    </row>
    <row r="48" spans="1:91" x14ac:dyDescent="0.25">
      <c r="A48" s="48">
        <v>10023001</v>
      </c>
    </row>
    <row r="49" spans="1:80" x14ac:dyDescent="0.25">
      <c r="A49" s="48">
        <v>10027526</v>
      </c>
    </row>
    <row r="50" spans="1:80" x14ac:dyDescent="0.25">
      <c r="A50" s="48">
        <v>14222171</v>
      </c>
    </row>
    <row r="51" spans="1:80" x14ac:dyDescent="0.25">
      <c r="A51" s="48">
        <v>1006143</v>
      </c>
    </row>
    <row r="52" spans="1:80" x14ac:dyDescent="0.25">
      <c r="A52" s="48">
        <v>6006917</v>
      </c>
      <c r="X52">
        <v>54</v>
      </c>
    </row>
    <row r="53" spans="1:80" x14ac:dyDescent="0.25">
      <c r="A53" s="48"/>
    </row>
    <row r="54" spans="1:80" x14ac:dyDescent="0.25">
      <c r="A54" s="50" t="s">
        <v>109</v>
      </c>
    </row>
    <row r="55" spans="1:80" x14ac:dyDescent="0.25">
      <c r="A55" s="48">
        <v>8057159</v>
      </c>
    </row>
    <row r="56" spans="1:80" x14ac:dyDescent="0.25">
      <c r="A56" s="48">
        <v>9140312</v>
      </c>
    </row>
    <row r="57" spans="1:80" x14ac:dyDescent="0.25">
      <c r="A57" s="48">
        <v>12008230</v>
      </c>
    </row>
    <row r="58" spans="1:80" x14ac:dyDescent="0.25">
      <c r="A58" s="48">
        <v>12088444</v>
      </c>
      <c r="AB58">
        <v>121</v>
      </c>
      <c r="AH58">
        <v>89</v>
      </c>
      <c r="CB58">
        <v>31</v>
      </c>
    </row>
    <row r="59" spans="1:80" x14ac:dyDescent="0.25">
      <c r="A59" s="48">
        <v>13118872</v>
      </c>
    </row>
    <row r="60" spans="1:80" x14ac:dyDescent="0.25">
      <c r="A60" s="48">
        <v>12012030</v>
      </c>
    </row>
    <row r="61" spans="1:80" x14ac:dyDescent="0.25">
      <c r="A61" s="48"/>
    </row>
    <row r="62" spans="1:80" x14ac:dyDescent="0.25">
      <c r="A62" s="50" t="s">
        <v>83</v>
      </c>
    </row>
    <row r="63" spans="1:80" x14ac:dyDescent="0.25">
      <c r="A63" s="48">
        <v>9074418</v>
      </c>
    </row>
    <row r="64" spans="1:80" x14ac:dyDescent="0.25">
      <c r="A64" s="48">
        <v>1263</v>
      </c>
    </row>
    <row r="65" spans="1:91" x14ac:dyDescent="0.25">
      <c r="A65" s="48">
        <v>98004910</v>
      </c>
      <c r="X65">
        <v>47</v>
      </c>
    </row>
    <row r="66" spans="1:91" x14ac:dyDescent="0.25">
      <c r="A66" s="48">
        <v>7103068</v>
      </c>
      <c r="AM66">
        <v>30</v>
      </c>
      <c r="AP66">
        <v>31</v>
      </c>
    </row>
    <row r="67" spans="1:91" x14ac:dyDescent="0.25">
      <c r="A67" s="48">
        <v>11240728</v>
      </c>
      <c r="Y67">
        <v>115.2</v>
      </c>
      <c r="Z67">
        <v>114</v>
      </c>
      <c r="AB67">
        <v>151.19999999999999</v>
      </c>
      <c r="AE67">
        <v>40.200000000000003</v>
      </c>
    </row>
    <row r="68" spans="1:91" x14ac:dyDescent="0.25">
      <c r="B68" s="6"/>
      <c r="C68" s="6"/>
      <c r="D68" s="6"/>
      <c r="E68" s="6"/>
      <c r="F68" s="6"/>
      <c r="I68" s="6"/>
      <c r="J68" s="6"/>
      <c r="K68" s="6"/>
      <c r="L68" s="6"/>
      <c r="M68" s="6"/>
      <c r="N68" s="6"/>
      <c r="O68" s="6"/>
      <c r="P68" s="6"/>
      <c r="R68" s="6"/>
      <c r="S68" s="6"/>
      <c r="X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</row>
    <row r="69" spans="1:91" x14ac:dyDescent="0.25">
      <c r="A69" s="26" t="s">
        <v>130</v>
      </c>
    </row>
    <row r="70" spans="1:91" x14ac:dyDescent="0.25">
      <c r="A70" s="10" t="s">
        <v>106</v>
      </c>
    </row>
    <row r="71" spans="1:91" x14ac:dyDescent="0.25">
      <c r="A71" s="48">
        <v>5015869</v>
      </c>
      <c r="Y71">
        <v>595</v>
      </c>
      <c r="AB71">
        <v>563</v>
      </c>
    </row>
    <row r="72" spans="1:91" x14ac:dyDescent="0.25">
      <c r="A72" s="48">
        <v>5016969</v>
      </c>
    </row>
    <row r="73" spans="1:91" x14ac:dyDescent="0.25">
      <c r="A73" s="48">
        <v>6023231</v>
      </c>
    </row>
    <row r="74" spans="1:91" x14ac:dyDescent="0.25">
      <c r="A74" s="48">
        <v>6010712</v>
      </c>
    </row>
    <row r="75" spans="1:91" x14ac:dyDescent="0.25">
      <c r="A75" s="48">
        <v>6011198</v>
      </c>
    </row>
    <row r="76" spans="1:91" x14ac:dyDescent="0.25">
      <c r="A76" s="48">
        <v>6012681</v>
      </c>
    </row>
    <row r="77" spans="1:91" x14ac:dyDescent="0.25">
      <c r="A77" s="48">
        <v>6014511</v>
      </c>
    </row>
    <row r="78" spans="1:91" x14ac:dyDescent="0.25">
      <c r="A78" s="48">
        <v>6045127</v>
      </c>
    </row>
    <row r="79" spans="1:91" x14ac:dyDescent="0.25">
      <c r="A79" s="48">
        <v>7000458</v>
      </c>
    </row>
    <row r="80" spans="1:91" x14ac:dyDescent="0.25">
      <c r="A80" s="48">
        <v>7015502</v>
      </c>
      <c r="AD80">
        <v>55</v>
      </c>
    </row>
    <row r="81" spans="1:58" x14ac:dyDescent="0.25">
      <c r="A81" s="48">
        <v>7025847</v>
      </c>
    </row>
    <row r="82" spans="1:58" x14ac:dyDescent="0.25">
      <c r="A82" s="48">
        <v>7082707</v>
      </c>
      <c r="AK82">
        <v>115.2</v>
      </c>
      <c r="AQ82">
        <v>101.4</v>
      </c>
    </row>
    <row r="83" spans="1:58" x14ac:dyDescent="0.25">
      <c r="A83" s="48">
        <v>7083159</v>
      </c>
      <c r="AP83">
        <v>1316.4</v>
      </c>
    </row>
    <row r="84" spans="1:58" x14ac:dyDescent="0.25">
      <c r="A84" s="48">
        <v>7084659</v>
      </c>
      <c r="Y84">
        <v>3837.6</v>
      </c>
    </row>
    <row r="85" spans="1:58" x14ac:dyDescent="0.25">
      <c r="A85" s="48">
        <v>7076814</v>
      </c>
    </row>
    <row r="86" spans="1:58" x14ac:dyDescent="0.25">
      <c r="A86" s="48">
        <v>7076815</v>
      </c>
    </row>
    <row r="87" spans="1:58" x14ac:dyDescent="0.25">
      <c r="A87" s="48">
        <v>7089231</v>
      </c>
      <c r="X87">
        <v>400</v>
      </c>
    </row>
    <row r="88" spans="1:58" x14ac:dyDescent="0.25">
      <c r="A88" s="48">
        <v>7116004</v>
      </c>
      <c r="X88">
        <v>67.5</v>
      </c>
      <c r="Y88">
        <v>97</v>
      </c>
    </row>
    <row r="89" spans="1:58" x14ac:dyDescent="0.25">
      <c r="A89" s="48">
        <v>8003819</v>
      </c>
    </row>
    <row r="90" spans="1:58" x14ac:dyDescent="0.25">
      <c r="A90" s="48">
        <v>8091779</v>
      </c>
    </row>
    <row r="91" spans="1:58" x14ac:dyDescent="0.25">
      <c r="A91" s="48">
        <v>8097989</v>
      </c>
    </row>
    <row r="92" spans="1:58" x14ac:dyDescent="0.25">
      <c r="A92" s="48">
        <v>8112522</v>
      </c>
      <c r="AF92">
        <v>5397</v>
      </c>
      <c r="AH92" s="47">
        <v>13846</v>
      </c>
      <c r="AK92">
        <v>2562</v>
      </c>
    </row>
    <row r="93" spans="1:58" x14ac:dyDescent="0.25">
      <c r="A93" s="48">
        <v>8127397</v>
      </c>
    </row>
    <row r="94" spans="1:58" x14ac:dyDescent="0.25">
      <c r="A94" s="48">
        <v>8130998</v>
      </c>
      <c r="Y94">
        <v>342</v>
      </c>
      <c r="Z94">
        <v>211</v>
      </c>
      <c r="AB94">
        <v>80</v>
      </c>
    </row>
    <row r="95" spans="1:58" x14ac:dyDescent="0.25">
      <c r="A95" s="48">
        <v>9002836</v>
      </c>
    </row>
    <row r="96" spans="1:58" x14ac:dyDescent="0.25">
      <c r="A96" s="48">
        <v>9003331</v>
      </c>
      <c r="AT96">
        <v>904.2</v>
      </c>
      <c r="BF96">
        <v>315</v>
      </c>
    </row>
    <row r="97" spans="1:87" x14ac:dyDescent="0.25">
      <c r="A97" s="48">
        <v>9003370</v>
      </c>
      <c r="Y97">
        <v>77.400000000000006</v>
      </c>
    </row>
    <row r="98" spans="1:87" x14ac:dyDescent="0.25">
      <c r="A98" s="48">
        <v>9016278</v>
      </c>
      <c r="Q98">
        <v>235.8</v>
      </c>
      <c r="V98">
        <v>192.6</v>
      </c>
      <c r="AA98">
        <v>178.8</v>
      </c>
      <c r="AE98">
        <v>244.8</v>
      </c>
    </row>
    <row r="99" spans="1:87" x14ac:dyDescent="0.25">
      <c r="A99" s="48">
        <v>9030684</v>
      </c>
      <c r="AN99">
        <v>28.8</v>
      </c>
    </row>
    <row r="100" spans="1:87" x14ac:dyDescent="0.25">
      <c r="A100" s="48">
        <v>9031387</v>
      </c>
      <c r="AT100">
        <v>34.799999999999997</v>
      </c>
    </row>
    <row r="101" spans="1:87" x14ac:dyDescent="0.25">
      <c r="A101" s="48">
        <v>9038676</v>
      </c>
      <c r="Y101">
        <v>12.6</v>
      </c>
    </row>
    <row r="102" spans="1:87" x14ac:dyDescent="0.25">
      <c r="A102" s="48">
        <v>9039416</v>
      </c>
      <c r="AB102">
        <v>43.8</v>
      </c>
    </row>
    <row r="103" spans="1:87" x14ac:dyDescent="0.25">
      <c r="A103" s="48">
        <v>9042861</v>
      </c>
      <c r="AO103">
        <v>37.200000000000003</v>
      </c>
      <c r="AR103">
        <v>13.8</v>
      </c>
    </row>
    <row r="104" spans="1:87" x14ac:dyDescent="0.25">
      <c r="A104" s="48">
        <v>9044899</v>
      </c>
      <c r="AA104">
        <v>36</v>
      </c>
      <c r="AD104">
        <v>21</v>
      </c>
      <c r="AG104">
        <v>21</v>
      </c>
    </row>
    <row r="105" spans="1:87" x14ac:dyDescent="0.25">
      <c r="A105" s="48">
        <v>9052398</v>
      </c>
      <c r="Y105">
        <v>97.2</v>
      </c>
      <c r="AA105">
        <v>70.2</v>
      </c>
    </row>
    <row r="106" spans="1:87" x14ac:dyDescent="0.25">
      <c r="A106" s="48">
        <v>9085204</v>
      </c>
      <c r="AA106">
        <v>394</v>
      </c>
    </row>
    <row r="107" spans="1:87" x14ac:dyDescent="0.25">
      <c r="A107" s="48">
        <v>9090323</v>
      </c>
    </row>
    <row r="108" spans="1:87" x14ac:dyDescent="0.25">
      <c r="A108" s="48">
        <v>9105492</v>
      </c>
      <c r="Y108">
        <v>45</v>
      </c>
      <c r="Z108">
        <v>533</v>
      </c>
      <c r="AA108">
        <v>548</v>
      </c>
      <c r="AB108">
        <v>210</v>
      </c>
      <c r="AF108">
        <v>56</v>
      </c>
      <c r="AJ108">
        <v>35</v>
      </c>
    </row>
    <row r="109" spans="1:87" x14ac:dyDescent="0.25">
      <c r="A109" s="48">
        <v>9138470</v>
      </c>
      <c r="Y109">
        <v>19.8</v>
      </c>
    </row>
    <row r="110" spans="1:87" x14ac:dyDescent="0.25">
      <c r="A110" s="48">
        <v>9150676</v>
      </c>
      <c r="CI110">
        <v>66</v>
      </c>
    </row>
    <row r="111" spans="1:87" x14ac:dyDescent="0.25">
      <c r="A111" s="48">
        <v>10010926</v>
      </c>
      <c r="Y111">
        <v>11.1</v>
      </c>
      <c r="AA111">
        <v>16.100000000000001</v>
      </c>
    </row>
    <row r="112" spans="1:87" x14ac:dyDescent="0.25">
      <c r="A112" s="48">
        <v>10016588</v>
      </c>
    </row>
    <row r="113" spans="1:76" x14ac:dyDescent="0.25">
      <c r="A113" s="48">
        <v>10030897</v>
      </c>
      <c r="I113">
        <v>29</v>
      </c>
      <c r="Y113">
        <v>366</v>
      </c>
      <c r="AD113">
        <v>57</v>
      </c>
      <c r="AL113">
        <v>44</v>
      </c>
    </row>
    <row r="114" spans="1:76" x14ac:dyDescent="0.25">
      <c r="A114" s="48">
        <v>324</v>
      </c>
      <c r="Y114">
        <v>29.2</v>
      </c>
      <c r="AZ114">
        <v>11.6</v>
      </c>
    </row>
    <row r="115" spans="1:76" x14ac:dyDescent="0.25">
      <c r="A115" s="48">
        <v>3909</v>
      </c>
      <c r="AC115">
        <v>160</v>
      </c>
      <c r="BX115">
        <v>113</v>
      </c>
    </row>
    <row r="116" spans="1:76" x14ac:dyDescent="0.25">
      <c r="A116" s="48">
        <v>4663</v>
      </c>
      <c r="K116">
        <v>28.2</v>
      </c>
      <c r="AI116" s="48"/>
      <c r="AJ116" s="48"/>
      <c r="AK116" s="48"/>
      <c r="AL116" s="48"/>
      <c r="AM116" s="48"/>
      <c r="AN116" s="48"/>
    </row>
    <row r="117" spans="1:76" x14ac:dyDescent="0.25">
      <c r="A117" s="48">
        <v>1005522</v>
      </c>
      <c r="G117">
        <v>8</v>
      </c>
      <c r="J117">
        <v>8</v>
      </c>
      <c r="Y117">
        <v>28</v>
      </c>
      <c r="AG117">
        <v>8</v>
      </c>
      <c r="AM117">
        <v>9</v>
      </c>
    </row>
    <row r="118" spans="1:76" x14ac:dyDescent="0.25">
      <c r="A118" s="48">
        <v>1007631</v>
      </c>
      <c r="Z118">
        <v>22</v>
      </c>
      <c r="AJ118">
        <v>36</v>
      </c>
      <c r="AX118">
        <v>15</v>
      </c>
    </row>
    <row r="119" spans="1:76" x14ac:dyDescent="0.25">
      <c r="A119" s="48">
        <v>1009760</v>
      </c>
      <c r="AB119">
        <v>441.8</v>
      </c>
      <c r="AD119">
        <v>484.1</v>
      </c>
      <c r="AH119">
        <v>584.5</v>
      </c>
      <c r="AJ119">
        <v>445.5</v>
      </c>
      <c r="AN119">
        <v>350.9</v>
      </c>
    </row>
    <row r="120" spans="1:76" x14ac:dyDescent="0.25">
      <c r="A120" s="48">
        <v>2000646</v>
      </c>
      <c r="Y120">
        <v>216</v>
      </c>
      <c r="Z120">
        <v>293</v>
      </c>
      <c r="AF120">
        <v>52</v>
      </c>
      <c r="AG120">
        <v>52</v>
      </c>
      <c r="AH120">
        <v>49</v>
      </c>
      <c r="AI120">
        <v>50</v>
      </c>
    </row>
    <row r="121" spans="1:76" x14ac:dyDescent="0.25">
      <c r="A121" s="48">
        <v>2003761</v>
      </c>
    </row>
    <row r="122" spans="1:76" x14ac:dyDescent="0.25">
      <c r="A122" s="48">
        <v>2004061</v>
      </c>
    </row>
    <row r="123" spans="1:76" x14ac:dyDescent="0.25">
      <c r="A123" s="48">
        <v>2006469</v>
      </c>
      <c r="X123">
        <v>254</v>
      </c>
      <c r="Y123">
        <v>137</v>
      </c>
    </row>
    <row r="124" spans="1:76" x14ac:dyDescent="0.25">
      <c r="A124" s="48">
        <v>3005132</v>
      </c>
    </row>
    <row r="125" spans="1:76" x14ac:dyDescent="0.25">
      <c r="A125" s="48">
        <v>3009119</v>
      </c>
    </row>
    <row r="126" spans="1:76" x14ac:dyDescent="0.25">
      <c r="A126" s="48">
        <v>3009936</v>
      </c>
    </row>
    <row r="127" spans="1:76" x14ac:dyDescent="0.25">
      <c r="A127" s="48">
        <v>3011094</v>
      </c>
    </row>
    <row r="128" spans="1:76" x14ac:dyDescent="0.25">
      <c r="A128" s="48">
        <v>3014643</v>
      </c>
      <c r="Y128">
        <v>134</v>
      </c>
      <c r="AP128">
        <v>34</v>
      </c>
      <c r="BK128">
        <v>17.5</v>
      </c>
    </row>
    <row r="129" spans="1:85" x14ac:dyDescent="0.25">
      <c r="A129" s="48">
        <v>3016056</v>
      </c>
      <c r="Y129">
        <v>85</v>
      </c>
      <c r="CF129">
        <v>100</v>
      </c>
      <c r="CG129">
        <v>82</v>
      </c>
    </row>
    <row r="130" spans="1:85" x14ac:dyDescent="0.25">
      <c r="A130" s="48">
        <v>3900219</v>
      </c>
      <c r="O130">
        <v>18</v>
      </c>
      <c r="Q130">
        <v>16</v>
      </c>
      <c r="Y130">
        <v>20</v>
      </c>
      <c r="AN130">
        <v>17</v>
      </c>
    </row>
    <row r="131" spans="1:85" x14ac:dyDescent="0.25">
      <c r="A131" s="48">
        <v>4000158</v>
      </c>
      <c r="Z131">
        <v>48</v>
      </c>
      <c r="AA131">
        <v>39.6</v>
      </c>
      <c r="AI131">
        <v>22.8</v>
      </c>
    </row>
    <row r="132" spans="1:85" x14ac:dyDescent="0.25">
      <c r="A132" s="48">
        <v>4000304</v>
      </c>
      <c r="Y132">
        <v>455</v>
      </c>
    </row>
    <row r="133" spans="1:85" x14ac:dyDescent="0.25">
      <c r="A133" s="48">
        <v>4001905</v>
      </c>
      <c r="Y133">
        <v>217</v>
      </c>
      <c r="Z133">
        <v>185</v>
      </c>
      <c r="AA133">
        <v>122</v>
      </c>
      <c r="AB133">
        <v>95</v>
      </c>
      <c r="AC133">
        <v>75</v>
      </c>
      <c r="AF133">
        <v>47</v>
      </c>
    </row>
    <row r="134" spans="1:85" x14ac:dyDescent="0.25">
      <c r="A134" s="48">
        <v>4002206</v>
      </c>
      <c r="Y134" s="3">
        <v>20.399999999999999</v>
      </c>
    </row>
    <row r="135" spans="1:85" x14ac:dyDescent="0.25">
      <c r="A135" s="48">
        <v>4002715</v>
      </c>
      <c r="AI135">
        <v>96</v>
      </c>
      <c r="AR135">
        <v>40</v>
      </c>
      <c r="BB135">
        <v>27</v>
      </c>
    </row>
    <row r="136" spans="1:85" x14ac:dyDescent="0.25">
      <c r="A136" s="48">
        <v>4003924</v>
      </c>
      <c r="Z136">
        <v>692</v>
      </c>
    </row>
    <row r="137" spans="1:85" x14ac:dyDescent="0.25">
      <c r="A137" s="48">
        <v>4006051</v>
      </c>
    </row>
    <row r="138" spans="1:85" x14ac:dyDescent="0.25">
      <c r="A138" s="48">
        <v>4008140</v>
      </c>
      <c r="X138">
        <v>243</v>
      </c>
    </row>
    <row r="139" spans="1:85" x14ac:dyDescent="0.25">
      <c r="A139" s="48">
        <v>4009906</v>
      </c>
      <c r="Z139">
        <v>37</v>
      </c>
      <c r="BA139">
        <v>31</v>
      </c>
      <c r="BY139">
        <v>26</v>
      </c>
      <c r="CE139">
        <v>41</v>
      </c>
    </row>
    <row r="140" spans="1:85" x14ac:dyDescent="0.25">
      <c r="A140" s="48">
        <v>4011027</v>
      </c>
      <c r="Z140">
        <v>37.200000000000003</v>
      </c>
      <c r="AA140">
        <v>31.8</v>
      </c>
    </row>
    <row r="141" spans="1:85" x14ac:dyDescent="0.25">
      <c r="A141" s="48">
        <v>4011920</v>
      </c>
      <c r="Z141">
        <v>259</v>
      </c>
      <c r="AJ141">
        <v>25</v>
      </c>
      <c r="AT141">
        <v>23</v>
      </c>
    </row>
    <row r="142" spans="1:85" x14ac:dyDescent="0.25">
      <c r="A142" s="48">
        <v>4012248</v>
      </c>
      <c r="Y142">
        <v>79</v>
      </c>
      <c r="Z142">
        <v>67</v>
      </c>
      <c r="AB142">
        <v>52</v>
      </c>
      <c r="AG142">
        <v>75</v>
      </c>
      <c r="AL142">
        <v>29</v>
      </c>
      <c r="AS142">
        <v>19</v>
      </c>
      <c r="BD142">
        <v>17</v>
      </c>
    </row>
    <row r="143" spans="1:85" x14ac:dyDescent="0.25">
      <c r="A143" s="48">
        <v>4013603</v>
      </c>
      <c r="Y143">
        <v>134</v>
      </c>
    </row>
    <row r="144" spans="1:85" x14ac:dyDescent="0.25">
      <c r="A144" s="48">
        <v>5004654</v>
      </c>
      <c r="Z144">
        <v>2465</v>
      </c>
      <c r="AA144">
        <v>2456</v>
      </c>
      <c r="AB144">
        <v>1673</v>
      </c>
      <c r="AC144">
        <v>1836</v>
      </c>
      <c r="AD144">
        <v>2072</v>
      </c>
      <c r="AE144">
        <v>1527</v>
      </c>
      <c r="AG144">
        <v>493</v>
      </c>
      <c r="AI144">
        <v>177</v>
      </c>
      <c r="AM144">
        <v>65</v>
      </c>
      <c r="AO144">
        <v>52</v>
      </c>
    </row>
    <row r="145" spans="1:91" x14ac:dyDescent="0.25">
      <c r="A145" s="52"/>
    </row>
    <row r="146" spans="1:91" x14ac:dyDescent="0.25">
      <c r="A146" s="50" t="s">
        <v>109</v>
      </c>
    </row>
    <row r="147" spans="1:91" x14ac:dyDescent="0.25">
      <c r="A147" s="48">
        <v>4289</v>
      </c>
      <c r="Z147">
        <v>197</v>
      </c>
      <c r="AA147">
        <v>1015</v>
      </c>
    </row>
    <row r="148" spans="1:91" x14ac:dyDescent="0.25">
      <c r="A148" s="48">
        <v>500245</v>
      </c>
      <c r="Y148">
        <v>184</v>
      </c>
      <c r="Z148">
        <v>298</v>
      </c>
      <c r="AA148">
        <v>296.8</v>
      </c>
      <c r="AB148">
        <v>265</v>
      </c>
      <c r="AD148">
        <v>116.3</v>
      </c>
      <c r="AH148">
        <v>72.099999999999994</v>
      </c>
    </row>
    <row r="149" spans="1:91" x14ac:dyDescent="0.25">
      <c r="A149" s="48">
        <v>2002573</v>
      </c>
      <c r="AF149">
        <v>136</v>
      </c>
      <c r="AK149">
        <v>214</v>
      </c>
      <c r="AO149">
        <v>299</v>
      </c>
    </row>
    <row r="150" spans="1:91" x14ac:dyDescent="0.25">
      <c r="A150" s="48">
        <v>2003539</v>
      </c>
      <c r="AF150">
        <v>145</v>
      </c>
    </row>
    <row r="151" spans="1:91" x14ac:dyDescent="0.25">
      <c r="A151" s="48">
        <v>2003649</v>
      </c>
      <c r="E151">
        <v>65.400000000000006</v>
      </c>
      <c r="Q151" s="3">
        <v>94.8</v>
      </c>
      <c r="T151" s="3"/>
      <c r="Y151">
        <v>102</v>
      </c>
      <c r="AF151">
        <v>70.8</v>
      </c>
      <c r="AK151" s="3">
        <v>78.599999999999994</v>
      </c>
      <c r="AP151">
        <v>65.400000000000006</v>
      </c>
      <c r="BY151" s="3">
        <v>94.8</v>
      </c>
      <c r="BZ151" s="3"/>
      <c r="CA151" s="3"/>
    </row>
    <row r="152" spans="1:91" x14ac:dyDescent="0.25">
      <c r="A152" s="48">
        <v>2005572</v>
      </c>
      <c r="Y152">
        <v>1178</v>
      </c>
      <c r="AA152">
        <v>83.9</v>
      </c>
      <c r="AD152">
        <v>21.9</v>
      </c>
    </row>
    <row r="153" spans="1:91" x14ac:dyDescent="0.25">
      <c r="A153" s="48">
        <v>2013117</v>
      </c>
    </row>
    <row r="154" spans="1:91" x14ac:dyDescent="0.25">
      <c r="A154" s="48">
        <v>3009633</v>
      </c>
      <c r="AM154">
        <v>844.8</v>
      </c>
      <c r="AQ154">
        <v>132</v>
      </c>
      <c r="AS154">
        <v>59.4</v>
      </c>
      <c r="AU154">
        <v>63</v>
      </c>
    </row>
    <row r="155" spans="1:91" x14ac:dyDescent="0.25">
      <c r="A155" s="48">
        <v>3010583</v>
      </c>
      <c r="X155" s="14">
        <v>240</v>
      </c>
      <c r="Y155">
        <v>852</v>
      </c>
      <c r="BC155">
        <v>852</v>
      </c>
    </row>
    <row r="156" spans="1:91" x14ac:dyDescent="0.25">
      <c r="A156" s="23">
        <v>3011892</v>
      </c>
      <c r="AH156">
        <v>1880</v>
      </c>
      <c r="AQ156">
        <v>131</v>
      </c>
      <c r="AV156">
        <v>61</v>
      </c>
    </row>
    <row r="157" spans="1:91" x14ac:dyDescent="0.25">
      <c r="A157">
        <v>4001382</v>
      </c>
      <c r="Y157">
        <v>1161</v>
      </c>
      <c r="AM157" s="14">
        <v>64</v>
      </c>
      <c r="AN157" s="14">
        <v>72.332999999999998</v>
      </c>
    </row>
    <row r="158" spans="1:91" x14ac:dyDescent="0.25">
      <c r="A158" s="48">
        <v>5018675</v>
      </c>
      <c r="AE158">
        <v>1542</v>
      </c>
    </row>
    <row r="159" spans="1:91" x14ac:dyDescent="0.25">
      <c r="A159" s="48">
        <v>6050168</v>
      </c>
      <c r="X159" s="48"/>
    </row>
    <row r="160" spans="1:91" x14ac:dyDescent="0.25">
      <c r="A160" s="48">
        <v>5006592</v>
      </c>
      <c r="Y160">
        <v>164</v>
      </c>
      <c r="BQ160">
        <v>68</v>
      </c>
      <c r="CK160">
        <v>126</v>
      </c>
      <c r="CM160">
        <v>60</v>
      </c>
    </row>
    <row r="161" spans="1:88" x14ac:dyDescent="0.25">
      <c r="A161" s="48">
        <v>5007274</v>
      </c>
      <c r="Y161">
        <v>2114</v>
      </c>
      <c r="AK161">
        <v>180</v>
      </c>
    </row>
    <row r="162" spans="1:88" x14ac:dyDescent="0.25">
      <c r="A162" s="48">
        <v>5015851</v>
      </c>
      <c r="Y162" s="14">
        <v>535.20000000000005</v>
      </c>
      <c r="BE162">
        <v>39</v>
      </c>
      <c r="BO162">
        <v>42</v>
      </c>
      <c r="CD162" s="3">
        <v>23.4</v>
      </c>
      <c r="CJ162">
        <v>19.8</v>
      </c>
    </row>
    <row r="163" spans="1:88" x14ac:dyDescent="0.25">
      <c r="A163" s="48">
        <v>6015647</v>
      </c>
      <c r="Y163">
        <v>726</v>
      </c>
      <c r="Z163">
        <v>622</v>
      </c>
      <c r="AA163">
        <v>558</v>
      </c>
      <c r="AB163">
        <v>481</v>
      </c>
      <c r="AC163">
        <v>454</v>
      </c>
      <c r="AE163">
        <v>596</v>
      </c>
      <c r="AF163">
        <v>596</v>
      </c>
      <c r="AH163">
        <v>688</v>
      </c>
      <c r="AM163">
        <v>516</v>
      </c>
      <c r="AW163">
        <v>67</v>
      </c>
      <c r="CA163">
        <v>400</v>
      </c>
      <c r="CC163" s="23">
        <v>21</v>
      </c>
    </row>
    <row r="164" spans="1:88" x14ac:dyDescent="0.25">
      <c r="A164" s="48">
        <v>6056633</v>
      </c>
    </row>
    <row r="165" spans="1:88" x14ac:dyDescent="0.25">
      <c r="A165" s="48">
        <v>7086224</v>
      </c>
      <c r="AI165">
        <v>1463.4</v>
      </c>
      <c r="AN165">
        <v>1153.8</v>
      </c>
      <c r="AV165">
        <v>210</v>
      </c>
      <c r="BA165">
        <v>112.2</v>
      </c>
    </row>
    <row r="166" spans="1:88" x14ac:dyDescent="0.25">
      <c r="A166" s="48">
        <v>8040959</v>
      </c>
      <c r="W166">
        <v>543.1</v>
      </c>
    </row>
    <row r="167" spans="1:88" x14ac:dyDescent="0.25">
      <c r="A167" s="48">
        <v>8107048</v>
      </c>
      <c r="Y167">
        <v>570</v>
      </c>
      <c r="AI167">
        <v>276</v>
      </c>
    </row>
    <row r="168" spans="1:88" x14ac:dyDescent="0.25">
      <c r="A168" s="48">
        <v>8124044</v>
      </c>
      <c r="Y168">
        <v>199</v>
      </c>
      <c r="AJ168">
        <v>1002</v>
      </c>
      <c r="AM168">
        <v>1378</v>
      </c>
      <c r="AQ168">
        <v>510</v>
      </c>
      <c r="AT168">
        <v>160</v>
      </c>
      <c r="AY168">
        <v>60</v>
      </c>
      <c r="BK168">
        <v>1002</v>
      </c>
      <c r="BM168">
        <v>1378</v>
      </c>
      <c r="BO168">
        <v>1194</v>
      </c>
      <c r="BP168">
        <v>501</v>
      </c>
      <c r="BR168">
        <v>160</v>
      </c>
      <c r="BU168">
        <v>144</v>
      </c>
    </row>
    <row r="169" spans="1:88" x14ac:dyDescent="0.25">
      <c r="A169" s="48">
        <v>8142949</v>
      </c>
      <c r="AH169">
        <v>309</v>
      </c>
      <c r="AJ169">
        <v>369</v>
      </c>
      <c r="AN169">
        <v>261</v>
      </c>
      <c r="AV169">
        <v>39</v>
      </c>
    </row>
    <row r="170" spans="1:88" x14ac:dyDescent="0.25">
      <c r="A170" s="48">
        <v>9023306</v>
      </c>
      <c r="AB170">
        <v>227.4</v>
      </c>
      <c r="AC170">
        <v>157.80000000000001</v>
      </c>
      <c r="AD170">
        <v>37.799999999999997</v>
      </c>
      <c r="AG170">
        <v>30</v>
      </c>
    </row>
    <row r="171" spans="1:88" x14ac:dyDescent="0.25">
      <c r="A171" s="48">
        <v>9030615</v>
      </c>
      <c r="AB171">
        <v>84</v>
      </c>
      <c r="AH171">
        <v>173.4</v>
      </c>
      <c r="AN171">
        <v>571.79999999999995</v>
      </c>
      <c r="AP171" t="s">
        <v>1584</v>
      </c>
    </row>
    <row r="172" spans="1:88" x14ac:dyDescent="0.25">
      <c r="A172" s="48">
        <v>9034464</v>
      </c>
    </row>
    <row r="173" spans="1:88" x14ac:dyDescent="0.25">
      <c r="A173" s="48">
        <v>9040167</v>
      </c>
    </row>
    <row r="174" spans="1:88" x14ac:dyDescent="0.25">
      <c r="A174" s="48">
        <v>9054567</v>
      </c>
      <c r="X174">
        <v>1331</v>
      </c>
    </row>
    <row r="175" spans="1:88" x14ac:dyDescent="0.25">
      <c r="A175" s="48">
        <v>9083682</v>
      </c>
      <c r="Y175">
        <v>997</v>
      </c>
      <c r="BL175">
        <v>35</v>
      </c>
    </row>
    <row r="176" spans="1:88" x14ac:dyDescent="0.25">
      <c r="A176" s="48">
        <v>9102044</v>
      </c>
      <c r="Y176">
        <v>1110</v>
      </c>
      <c r="AA176">
        <v>1212</v>
      </c>
      <c r="AB176">
        <v>1056</v>
      </c>
      <c r="AL176">
        <v>672</v>
      </c>
      <c r="BX176">
        <v>34</v>
      </c>
    </row>
    <row r="177" spans="1:90" x14ac:dyDescent="0.25">
      <c r="A177" s="48">
        <v>9119854</v>
      </c>
      <c r="R177">
        <v>23</v>
      </c>
      <c r="AC177">
        <v>346</v>
      </c>
      <c r="AE177">
        <v>99</v>
      </c>
      <c r="AF177">
        <v>92</v>
      </c>
      <c r="AJ177">
        <v>200</v>
      </c>
      <c r="AL177">
        <v>235</v>
      </c>
      <c r="AR177">
        <v>140</v>
      </c>
      <c r="AT177">
        <v>126</v>
      </c>
    </row>
    <row r="178" spans="1:90" x14ac:dyDescent="0.25">
      <c r="A178" s="48">
        <v>9125126</v>
      </c>
      <c r="AB178">
        <v>232</v>
      </c>
      <c r="BJ178">
        <v>23</v>
      </c>
    </row>
    <row r="179" spans="1:90" x14ac:dyDescent="0.25">
      <c r="A179" s="48">
        <v>9174811</v>
      </c>
      <c r="Y179">
        <v>99</v>
      </c>
      <c r="Z179">
        <v>83</v>
      </c>
      <c r="AH179">
        <v>60</v>
      </c>
      <c r="BI179">
        <v>463</v>
      </c>
      <c r="BW179">
        <v>41</v>
      </c>
    </row>
    <row r="180" spans="1:90" x14ac:dyDescent="0.25">
      <c r="A180" s="48">
        <v>10002875</v>
      </c>
      <c r="Z180">
        <v>137.4</v>
      </c>
      <c r="AA180">
        <v>118.8</v>
      </c>
      <c r="AB180">
        <v>127.2</v>
      </c>
      <c r="AC180">
        <v>151.80000000000001</v>
      </c>
      <c r="AD180">
        <v>161.4</v>
      </c>
      <c r="AE180" s="14">
        <v>200</v>
      </c>
      <c r="AM180">
        <v>145</v>
      </c>
      <c r="AU180">
        <v>211</v>
      </c>
      <c r="AZ180">
        <v>231</v>
      </c>
    </row>
    <row r="181" spans="1:90" x14ac:dyDescent="0.25">
      <c r="A181" s="48">
        <v>10023080</v>
      </c>
      <c r="X181">
        <v>94</v>
      </c>
      <c r="BC181">
        <v>35</v>
      </c>
    </row>
    <row r="182" spans="1:90" x14ac:dyDescent="0.25">
      <c r="A182" s="48">
        <v>10025212</v>
      </c>
      <c r="AO182">
        <v>525</v>
      </c>
      <c r="AQ182">
        <v>1087</v>
      </c>
      <c r="AR182">
        <v>940</v>
      </c>
      <c r="BC182">
        <v>364</v>
      </c>
      <c r="BN182">
        <v>28</v>
      </c>
    </row>
    <row r="183" spans="1:90" x14ac:dyDescent="0.25">
      <c r="A183" s="48">
        <v>10069407</v>
      </c>
      <c r="F183">
        <v>76</v>
      </c>
      <c r="Y183">
        <v>279</v>
      </c>
      <c r="AF183">
        <v>147</v>
      </c>
      <c r="AX183">
        <v>17</v>
      </c>
    </row>
    <row r="184" spans="1:90" x14ac:dyDescent="0.25">
      <c r="A184" s="48">
        <v>10071135</v>
      </c>
      <c r="AK184">
        <v>52.2</v>
      </c>
      <c r="AM184" s="3">
        <v>40.799999999999997</v>
      </c>
      <c r="AO184" s="3">
        <v>47.4</v>
      </c>
      <c r="AS184">
        <v>52.2</v>
      </c>
    </row>
    <row r="185" spans="1:90" x14ac:dyDescent="0.25">
      <c r="A185" s="48">
        <v>10083649</v>
      </c>
      <c r="Y185">
        <v>89</v>
      </c>
      <c r="Z185">
        <v>49</v>
      </c>
    </row>
    <row r="186" spans="1:90" x14ac:dyDescent="0.25">
      <c r="A186" s="48">
        <v>10102021</v>
      </c>
      <c r="Z186">
        <v>55.2</v>
      </c>
      <c r="AB186">
        <v>55.2</v>
      </c>
    </row>
    <row r="187" spans="1:90" x14ac:dyDescent="0.25">
      <c r="A187" s="48">
        <v>10123729</v>
      </c>
      <c r="Y187">
        <v>93.6</v>
      </c>
      <c r="Z187">
        <v>139</v>
      </c>
      <c r="AB187">
        <v>37</v>
      </c>
      <c r="AJ187">
        <v>47.4</v>
      </c>
      <c r="CH187">
        <v>42</v>
      </c>
    </row>
    <row r="188" spans="1:90" x14ac:dyDescent="0.25">
      <c r="A188" s="48">
        <v>10144736</v>
      </c>
      <c r="H188">
        <v>12</v>
      </c>
      <c r="Y188">
        <v>204</v>
      </c>
      <c r="Z188">
        <v>131</v>
      </c>
      <c r="AB188">
        <v>19</v>
      </c>
    </row>
    <row r="189" spans="1:90" x14ac:dyDescent="0.25">
      <c r="A189" s="48">
        <v>10157275</v>
      </c>
      <c r="Z189">
        <v>462</v>
      </c>
      <c r="BD189">
        <v>38</v>
      </c>
      <c r="BH189">
        <v>462</v>
      </c>
      <c r="CC189">
        <v>125</v>
      </c>
      <c r="CL189">
        <v>102</v>
      </c>
    </row>
    <row r="190" spans="1:90" x14ac:dyDescent="0.25">
      <c r="A190" s="52"/>
    </row>
    <row r="191" spans="1:90" x14ac:dyDescent="0.25">
      <c r="A191" s="50" t="s">
        <v>83</v>
      </c>
    </row>
    <row r="192" spans="1:90" x14ac:dyDescent="0.25">
      <c r="A192" s="48">
        <v>5281</v>
      </c>
      <c r="X192">
        <v>5300</v>
      </c>
      <c r="AF192">
        <v>136</v>
      </c>
    </row>
    <row r="193" spans="1:82" x14ac:dyDescent="0.25">
      <c r="A193" s="48">
        <v>200085</v>
      </c>
      <c r="L193">
        <v>14</v>
      </c>
      <c r="M193">
        <v>14</v>
      </c>
      <c r="T193">
        <v>26</v>
      </c>
      <c r="X193">
        <v>125</v>
      </c>
      <c r="Y193">
        <v>42</v>
      </c>
      <c r="Z193">
        <v>88</v>
      </c>
      <c r="AA193">
        <v>104</v>
      </c>
      <c r="AB193">
        <v>125</v>
      </c>
      <c r="AC193">
        <v>105</v>
      </c>
      <c r="AD193">
        <v>70</v>
      </c>
      <c r="AE193">
        <v>51</v>
      </c>
      <c r="AF193">
        <v>41</v>
      </c>
      <c r="AH193">
        <v>36</v>
      </c>
      <c r="AJ193">
        <v>21</v>
      </c>
      <c r="AN193">
        <v>17</v>
      </c>
      <c r="AQ193">
        <v>12</v>
      </c>
      <c r="AU193">
        <v>13</v>
      </c>
      <c r="AW193">
        <v>13</v>
      </c>
    </row>
    <row r="194" spans="1:82" x14ac:dyDescent="0.25">
      <c r="A194" s="48">
        <v>500129</v>
      </c>
      <c r="AD194">
        <v>29.9</v>
      </c>
      <c r="AF194">
        <v>52</v>
      </c>
      <c r="AH194">
        <v>4125</v>
      </c>
      <c r="AJ194">
        <v>2577</v>
      </c>
      <c r="AK194">
        <v>1223</v>
      </c>
      <c r="AR194">
        <v>132</v>
      </c>
      <c r="BD194">
        <v>269</v>
      </c>
      <c r="BE194">
        <v>125</v>
      </c>
      <c r="CD194">
        <v>120</v>
      </c>
    </row>
    <row r="195" spans="1:82" x14ac:dyDescent="0.25">
      <c r="A195" s="51">
        <v>1002033</v>
      </c>
      <c r="J195">
        <v>9</v>
      </c>
      <c r="R195">
        <v>22</v>
      </c>
      <c r="Y195">
        <v>47</v>
      </c>
      <c r="AD195">
        <v>18</v>
      </c>
      <c r="AR195">
        <v>13</v>
      </c>
      <c r="BF195">
        <v>17</v>
      </c>
    </row>
    <row r="196" spans="1:82" x14ac:dyDescent="0.25">
      <c r="A196" s="48">
        <v>1003457</v>
      </c>
      <c r="Y196">
        <v>75</v>
      </c>
    </row>
    <row r="197" spans="1:82" x14ac:dyDescent="0.25">
      <c r="A197" s="48">
        <v>2005223</v>
      </c>
      <c r="Y197">
        <v>84.6</v>
      </c>
      <c r="AA197">
        <v>111</v>
      </c>
      <c r="AP197">
        <v>96</v>
      </c>
    </row>
    <row r="198" spans="1:82" x14ac:dyDescent="0.25">
      <c r="A198" s="48">
        <v>2006107</v>
      </c>
    </row>
    <row r="199" spans="1:82" x14ac:dyDescent="0.25">
      <c r="A199" s="48">
        <v>2012014</v>
      </c>
      <c r="N199">
        <v>7</v>
      </c>
    </row>
    <row r="200" spans="1:82" x14ac:dyDescent="0.25">
      <c r="A200" s="48">
        <v>3000152</v>
      </c>
      <c r="X200" s="14">
        <v>17.34</v>
      </c>
    </row>
    <row r="201" spans="1:82" x14ac:dyDescent="0.25">
      <c r="A201" s="48">
        <v>3014566</v>
      </c>
      <c r="Y201">
        <v>49</v>
      </c>
    </row>
    <row r="202" spans="1:82" x14ac:dyDescent="0.25">
      <c r="A202" s="48">
        <v>3015058</v>
      </c>
      <c r="N202">
        <v>19</v>
      </c>
      <c r="Z202">
        <v>127</v>
      </c>
      <c r="AA202">
        <v>66</v>
      </c>
      <c r="AG202">
        <v>42</v>
      </c>
    </row>
    <row r="203" spans="1:82" x14ac:dyDescent="0.25">
      <c r="A203" s="51">
        <v>4000996</v>
      </c>
      <c r="AA203">
        <v>71.400000000000006</v>
      </c>
      <c r="AB203" s="3">
        <v>55.8</v>
      </c>
      <c r="AF203">
        <v>79.2</v>
      </c>
      <c r="AM203">
        <v>19.2</v>
      </c>
    </row>
    <row r="204" spans="1:82" x14ac:dyDescent="0.25">
      <c r="A204" s="48">
        <v>4003768</v>
      </c>
      <c r="S204">
        <v>15</v>
      </c>
      <c r="V204">
        <v>10</v>
      </c>
      <c r="Y204">
        <v>506</v>
      </c>
      <c r="Z204">
        <v>4543</v>
      </c>
      <c r="AA204">
        <v>4396</v>
      </c>
      <c r="AB204">
        <v>1897</v>
      </c>
    </row>
    <row r="205" spans="1:82" x14ac:dyDescent="0.25">
      <c r="A205" s="48">
        <v>4006540</v>
      </c>
      <c r="AI205" s="3">
        <v>1485.6</v>
      </c>
      <c r="AJ205">
        <v>1614</v>
      </c>
      <c r="AM205">
        <v>1728</v>
      </c>
      <c r="AP205">
        <v>912</v>
      </c>
    </row>
    <row r="206" spans="1:82" x14ac:dyDescent="0.25">
      <c r="A206" s="48">
        <v>4007054</v>
      </c>
      <c r="Y206">
        <v>20.5</v>
      </c>
      <c r="AC206">
        <v>161</v>
      </c>
    </row>
    <row r="207" spans="1:82" x14ac:dyDescent="0.25">
      <c r="A207" s="48">
        <v>4011002</v>
      </c>
      <c r="X207" s="48"/>
      <c r="Y207">
        <v>457.8</v>
      </c>
      <c r="Z207">
        <v>362.4</v>
      </c>
      <c r="AD207" s="3">
        <v>178.2</v>
      </c>
      <c r="AG207">
        <v>229.8</v>
      </c>
    </row>
    <row r="208" spans="1:82" x14ac:dyDescent="0.25">
      <c r="A208" s="48">
        <v>4900268</v>
      </c>
      <c r="X208" s="14">
        <v>9489</v>
      </c>
      <c r="AB208">
        <v>4612</v>
      </c>
    </row>
    <row r="209" spans="1:43" x14ac:dyDescent="0.25">
      <c r="A209" s="48">
        <v>5001097</v>
      </c>
      <c r="Q209">
        <v>22</v>
      </c>
      <c r="R209">
        <v>22</v>
      </c>
      <c r="X209" s="48"/>
      <c r="Y209">
        <v>36</v>
      </c>
      <c r="AC209">
        <v>18</v>
      </c>
      <c r="AG209">
        <v>17</v>
      </c>
    </row>
    <row r="210" spans="1:43" x14ac:dyDescent="0.25">
      <c r="A210" s="48">
        <v>5001098</v>
      </c>
      <c r="M210">
        <v>64</v>
      </c>
      <c r="P210">
        <v>53</v>
      </c>
      <c r="Q210">
        <v>54</v>
      </c>
      <c r="T210">
        <v>57</v>
      </c>
      <c r="Y210">
        <v>57</v>
      </c>
    </row>
    <row r="211" spans="1:43" x14ac:dyDescent="0.25">
      <c r="A211" s="48">
        <v>5006152</v>
      </c>
      <c r="V211">
        <v>22.8</v>
      </c>
      <c r="Z211">
        <v>7231.8</v>
      </c>
    </row>
    <row r="212" spans="1:43" x14ac:dyDescent="0.25">
      <c r="A212" s="48">
        <v>6012361</v>
      </c>
      <c r="AA212">
        <v>147.6</v>
      </c>
      <c r="AB212">
        <v>126</v>
      </c>
    </row>
    <row r="213" spans="1:43" x14ac:dyDescent="0.25">
      <c r="A213" s="48">
        <v>6015793</v>
      </c>
      <c r="W213">
        <v>31</v>
      </c>
      <c r="Y213">
        <v>4875</v>
      </c>
      <c r="Z213">
        <v>1371</v>
      </c>
      <c r="AC213">
        <v>98</v>
      </c>
    </row>
    <row r="214" spans="1:43" x14ac:dyDescent="0.25">
      <c r="A214" s="48">
        <v>6043619</v>
      </c>
      <c r="Y214">
        <v>3306.6</v>
      </c>
    </row>
    <row r="215" spans="1:43" x14ac:dyDescent="0.25">
      <c r="A215" s="48">
        <v>7001097</v>
      </c>
      <c r="V215">
        <v>16</v>
      </c>
      <c r="W215">
        <v>53</v>
      </c>
      <c r="Y215">
        <v>42</v>
      </c>
      <c r="Z215">
        <v>35</v>
      </c>
      <c r="AA215">
        <v>49</v>
      </c>
      <c r="AB215">
        <v>34</v>
      </c>
      <c r="AC215">
        <v>28</v>
      </c>
      <c r="AD215">
        <v>47</v>
      </c>
      <c r="AF215">
        <v>123</v>
      </c>
      <c r="AG215">
        <v>25</v>
      </c>
      <c r="AL215">
        <v>26</v>
      </c>
      <c r="AM215">
        <v>52</v>
      </c>
      <c r="AN215">
        <v>41</v>
      </c>
    </row>
    <row r="216" spans="1:43" x14ac:dyDescent="0.25">
      <c r="A216" s="48">
        <v>7011435</v>
      </c>
      <c r="V216">
        <v>23.5</v>
      </c>
      <c r="Y216">
        <v>516</v>
      </c>
      <c r="AA216">
        <v>292</v>
      </c>
      <c r="AE216">
        <v>119</v>
      </c>
    </row>
    <row r="217" spans="1:43" x14ac:dyDescent="0.25">
      <c r="A217" s="48">
        <v>7045811</v>
      </c>
      <c r="Y217">
        <v>61.2</v>
      </c>
      <c r="AC217">
        <v>5346</v>
      </c>
      <c r="AJ217">
        <v>110.4</v>
      </c>
    </row>
    <row r="218" spans="1:43" x14ac:dyDescent="0.25">
      <c r="A218" s="48">
        <v>7071198</v>
      </c>
    </row>
    <row r="219" spans="1:43" x14ac:dyDescent="0.25">
      <c r="A219" s="48">
        <v>7101143</v>
      </c>
      <c r="Y219">
        <v>778</v>
      </c>
      <c r="AA219">
        <v>908</v>
      </c>
      <c r="AB219">
        <v>746</v>
      </c>
      <c r="AF219">
        <v>532</v>
      </c>
      <c r="AI219">
        <v>305</v>
      </c>
      <c r="AK219">
        <v>196</v>
      </c>
    </row>
    <row r="220" spans="1:43" x14ac:dyDescent="0.25">
      <c r="A220" s="48">
        <v>8073350</v>
      </c>
    </row>
    <row r="221" spans="1:43" x14ac:dyDescent="0.25">
      <c r="A221" s="48">
        <v>8073645</v>
      </c>
      <c r="Z221">
        <v>2189.3333333333298</v>
      </c>
    </row>
    <row r="222" spans="1:43" x14ac:dyDescent="0.25">
      <c r="A222" s="51">
        <v>8089666</v>
      </c>
      <c r="U222">
        <v>74</v>
      </c>
      <c r="V222">
        <v>16</v>
      </c>
      <c r="W222">
        <v>15</v>
      </c>
      <c r="Y222" s="14">
        <v>4190.5</v>
      </c>
      <c r="Z222">
        <v>5322</v>
      </c>
    </row>
    <row r="223" spans="1:43" x14ac:dyDescent="0.25">
      <c r="A223" s="48">
        <v>8103536</v>
      </c>
      <c r="X223">
        <v>66</v>
      </c>
    </row>
    <row r="224" spans="1:43" x14ac:dyDescent="0.25">
      <c r="A224" s="48">
        <v>8124816</v>
      </c>
      <c r="Y224">
        <v>63</v>
      </c>
      <c r="AB224">
        <v>60</v>
      </c>
      <c r="AF224">
        <v>21</v>
      </c>
      <c r="AL224">
        <v>13</v>
      </c>
      <c r="AQ224">
        <v>42</v>
      </c>
    </row>
    <row r="225" spans="1:67" x14ac:dyDescent="0.25">
      <c r="A225" s="48">
        <v>9003267</v>
      </c>
      <c r="Z225">
        <v>240</v>
      </c>
      <c r="AB225">
        <v>342</v>
      </c>
      <c r="AE225">
        <v>330</v>
      </c>
      <c r="AI225">
        <v>276</v>
      </c>
      <c r="AJ225">
        <v>263.39999999999998</v>
      </c>
      <c r="BG225">
        <v>29.4</v>
      </c>
    </row>
    <row r="226" spans="1:67" x14ac:dyDescent="0.25">
      <c r="A226" s="48">
        <v>9036964</v>
      </c>
      <c r="C226">
        <v>50.4</v>
      </c>
      <c r="D226">
        <v>83.7</v>
      </c>
      <c r="G226">
        <v>15</v>
      </c>
      <c r="Y226">
        <v>307</v>
      </c>
      <c r="Z226">
        <v>357</v>
      </c>
      <c r="AA226">
        <v>405</v>
      </c>
      <c r="AE226">
        <v>130</v>
      </c>
    </row>
    <row r="227" spans="1:67" x14ac:dyDescent="0.25">
      <c r="A227" s="48">
        <v>9090287</v>
      </c>
      <c r="AA227">
        <v>7837</v>
      </c>
      <c r="AB227">
        <v>4410</v>
      </c>
      <c r="AC227">
        <v>817</v>
      </c>
      <c r="AD227">
        <v>291</v>
      </c>
      <c r="AE227">
        <v>131</v>
      </c>
    </row>
    <row r="228" spans="1:67" x14ac:dyDescent="0.25">
      <c r="A228" s="48">
        <v>9095148</v>
      </c>
    </row>
    <row r="229" spans="1:67" x14ac:dyDescent="0.25">
      <c r="A229" s="48">
        <v>9104979</v>
      </c>
      <c r="AB229">
        <v>196</v>
      </c>
      <c r="AE229">
        <v>153</v>
      </c>
      <c r="AI229">
        <v>249</v>
      </c>
      <c r="AM229">
        <v>156</v>
      </c>
      <c r="BD229">
        <v>106</v>
      </c>
      <c r="BN229">
        <v>62</v>
      </c>
    </row>
    <row r="230" spans="1:67" x14ac:dyDescent="0.25">
      <c r="A230" s="48">
        <v>9139514</v>
      </c>
      <c r="AI230">
        <v>1773</v>
      </c>
      <c r="AM230">
        <v>2057</v>
      </c>
      <c r="AN230">
        <v>1986</v>
      </c>
      <c r="AZ230">
        <v>717</v>
      </c>
      <c r="BO230">
        <v>164</v>
      </c>
    </row>
    <row r="231" spans="1:67" x14ac:dyDescent="0.25">
      <c r="A231" s="48">
        <v>10020659</v>
      </c>
      <c r="B231">
        <v>76.2</v>
      </c>
      <c r="X231" s="48"/>
      <c r="Y231" s="48">
        <v>624</v>
      </c>
      <c r="Z231" s="48">
        <v>360</v>
      </c>
      <c r="AA231" s="48"/>
      <c r="AG231">
        <v>67.8</v>
      </c>
    </row>
    <row r="232" spans="1:67" x14ac:dyDescent="0.25">
      <c r="A232" s="48">
        <v>10025902</v>
      </c>
      <c r="X232" s="48"/>
      <c r="Y232" s="48">
        <v>751.2</v>
      </c>
      <c r="Z232" s="48">
        <v>618</v>
      </c>
      <c r="AA232" s="48"/>
      <c r="AE232" s="3">
        <v>446.4</v>
      </c>
      <c r="AF232">
        <v>306</v>
      </c>
      <c r="AI232">
        <v>132.6</v>
      </c>
      <c r="AL232">
        <v>52.2</v>
      </c>
    </row>
    <row r="233" spans="1:67" x14ac:dyDescent="0.25">
      <c r="A233" s="48">
        <v>10027654</v>
      </c>
      <c r="X233" s="48"/>
      <c r="Y233" s="48"/>
      <c r="Z233" s="48">
        <v>32</v>
      </c>
      <c r="AA233" s="48"/>
      <c r="AD233">
        <v>61</v>
      </c>
      <c r="AL233">
        <v>39</v>
      </c>
      <c r="BA233">
        <v>26</v>
      </c>
    </row>
    <row r="234" spans="1:67" x14ac:dyDescent="0.25">
      <c r="A234" s="48">
        <v>10084485</v>
      </c>
      <c r="X234" s="48"/>
      <c r="Y234" s="48">
        <v>150</v>
      </c>
      <c r="Z234" s="48"/>
      <c r="AA234" s="48"/>
    </row>
    <row r="235" spans="1:67" x14ac:dyDescent="0.25">
      <c r="A235" s="48">
        <v>10098420</v>
      </c>
      <c r="X235" s="48"/>
      <c r="Y235" s="48"/>
      <c r="Z235" s="48">
        <v>8581</v>
      </c>
      <c r="AA235" s="48">
        <v>2450</v>
      </c>
      <c r="AB235">
        <v>1391</v>
      </c>
    </row>
    <row r="236" spans="1:67" x14ac:dyDescent="0.25">
      <c r="A236" s="48">
        <v>10129565</v>
      </c>
      <c r="X236" s="48"/>
      <c r="Y236" s="48"/>
      <c r="Z236" s="48">
        <v>1092</v>
      </c>
      <c r="AA236" s="48">
        <v>376.2</v>
      </c>
      <c r="AC236">
        <v>98.4</v>
      </c>
      <c r="AJ236">
        <v>22.2</v>
      </c>
    </row>
    <row r="237" spans="1:67" x14ac:dyDescent="0.25">
      <c r="A237" s="48">
        <v>10146828</v>
      </c>
      <c r="X237" s="48"/>
      <c r="Y237" s="48">
        <v>585</v>
      </c>
      <c r="Z237" s="48">
        <v>128</v>
      </c>
      <c r="AA237" s="48"/>
      <c r="AD237">
        <v>32</v>
      </c>
      <c r="AL237">
        <v>20</v>
      </c>
    </row>
    <row r="238" spans="1:67" x14ac:dyDescent="0.25">
      <c r="A238">
        <v>10163776</v>
      </c>
      <c r="X238" s="48"/>
      <c r="Y238" s="48"/>
      <c r="Z238" s="48"/>
      <c r="AA238" s="48"/>
    </row>
    <row r="239" spans="1:67" x14ac:dyDescent="0.25">
      <c r="A239">
        <v>10173664</v>
      </c>
      <c r="AB239">
        <v>963.6</v>
      </c>
      <c r="AD239">
        <v>779.4</v>
      </c>
      <c r="AI239">
        <v>715.2</v>
      </c>
    </row>
  </sheetData>
  <conditionalFormatting sqref="A19">
    <cfRule type="duplicateValues" dxfId="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EA27-0B43-4312-8072-6F5B49BAC071}">
  <dimension ref="A1:D162"/>
  <sheetViews>
    <sheetView workbookViewId="0">
      <selection activeCell="C35" sqref="C35"/>
    </sheetView>
  </sheetViews>
  <sheetFormatPr baseColWidth="10" defaultRowHeight="15" x14ac:dyDescent="0.25"/>
  <cols>
    <col min="1" max="1" width="17.28515625" bestFit="1" customWidth="1"/>
    <col min="2" max="2" width="7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2039</v>
      </c>
      <c r="C1" s="62" t="s">
        <v>1914</v>
      </c>
      <c r="D1" s="62" t="s">
        <v>1873</v>
      </c>
    </row>
    <row r="2" spans="1:4" x14ac:dyDescent="0.25">
      <c r="A2" s="62">
        <v>7072184</v>
      </c>
      <c r="B2" s="62" t="s">
        <v>2039</v>
      </c>
      <c r="C2" s="62" t="s">
        <v>1070</v>
      </c>
      <c r="D2" s="62">
        <v>1</v>
      </c>
    </row>
    <row r="3" spans="1:4" x14ac:dyDescent="0.25">
      <c r="A3" s="62">
        <v>99004067</v>
      </c>
      <c r="B3" s="62" t="s">
        <v>2039</v>
      </c>
      <c r="C3" s="62" t="s">
        <v>1070</v>
      </c>
      <c r="D3" s="62">
        <v>1</v>
      </c>
    </row>
    <row r="4" spans="1:4" x14ac:dyDescent="0.25">
      <c r="A4" s="62">
        <v>97002136</v>
      </c>
      <c r="B4" s="62" t="s">
        <v>2039</v>
      </c>
      <c r="C4" s="62" t="s">
        <v>1070</v>
      </c>
      <c r="D4" s="62">
        <v>1</v>
      </c>
    </row>
    <row r="5" spans="1:4" x14ac:dyDescent="0.25">
      <c r="A5" s="62">
        <v>1502</v>
      </c>
      <c r="B5" s="62" t="s">
        <v>2039</v>
      </c>
      <c r="C5" s="62" t="s">
        <v>15</v>
      </c>
      <c r="D5" s="62">
        <v>1</v>
      </c>
    </row>
    <row r="6" spans="1:4" x14ac:dyDescent="0.25">
      <c r="A6" s="62">
        <v>4003543</v>
      </c>
      <c r="B6" s="62" t="s">
        <v>2039</v>
      </c>
      <c r="C6" s="62" t="s">
        <v>2040</v>
      </c>
      <c r="D6" s="62">
        <v>2</v>
      </c>
    </row>
    <row r="7" spans="1:4" x14ac:dyDescent="0.25">
      <c r="A7" s="62">
        <v>4900261</v>
      </c>
      <c r="B7" s="62" t="s">
        <v>2039</v>
      </c>
      <c r="C7" s="62" t="s">
        <v>2041</v>
      </c>
      <c r="D7" s="62">
        <v>3</v>
      </c>
    </row>
    <row r="8" spans="1:4" x14ac:dyDescent="0.25">
      <c r="A8" s="62">
        <v>14242856</v>
      </c>
      <c r="B8" s="62" t="s">
        <v>2039</v>
      </c>
      <c r="C8" s="62" t="s">
        <v>1070</v>
      </c>
      <c r="D8" s="62">
        <v>1</v>
      </c>
    </row>
    <row r="9" spans="1:4" x14ac:dyDescent="0.25">
      <c r="A9" s="62">
        <v>3000983</v>
      </c>
      <c r="B9" s="62" t="s">
        <v>2039</v>
      </c>
      <c r="C9" s="62" t="s">
        <v>2042</v>
      </c>
      <c r="D9" s="62">
        <v>3</v>
      </c>
    </row>
    <row r="10" spans="1:4" x14ac:dyDescent="0.25">
      <c r="A10" s="62">
        <v>10064335</v>
      </c>
      <c r="B10" s="62" t="s">
        <v>2039</v>
      </c>
      <c r="C10" s="62" t="s">
        <v>2043</v>
      </c>
      <c r="D10" s="62">
        <v>5</v>
      </c>
    </row>
    <row r="11" spans="1:4" x14ac:dyDescent="0.25">
      <c r="A11" s="62">
        <v>1480</v>
      </c>
      <c r="B11" s="62" t="s">
        <v>2039</v>
      </c>
      <c r="C11" s="62" t="s">
        <v>17</v>
      </c>
      <c r="D11" s="62">
        <v>1</v>
      </c>
    </row>
    <row r="12" spans="1:4" x14ac:dyDescent="0.25">
      <c r="A12" s="62">
        <v>1003215</v>
      </c>
      <c r="B12" s="62" t="s">
        <v>2039</v>
      </c>
      <c r="C12" s="62" t="s">
        <v>1070</v>
      </c>
      <c r="D12" s="62">
        <v>1</v>
      </c>
    </row>
    <row r="13" spans="1:4" x14ac:dyDescent="0.25">
      <c r="A13" s="62">
        <v>99000802</v>
      </c>
      <c r="B13" s="62" t="s">
        <v>2039</v>
      </c>
      <c r="C13" s="62" t="s">
        <v>1071</v>
      </c>
      <c r="D13" s="62">
        <v>1</v>
      </c>
    </row>
    <row r="14" spans="1:4" x14ac:dyDescent="0.25">
      <c r="A14" s="62">
        <v>99000892</v>
      </c>
      <c r="B14" s="62" t="s">
        <v>2039</v>
      </c>
      <c r="C14" s="62" t="s">
        <v>1071</v>
      </c>
      <c r="D14" s="62">
        <v>1</v>
      </c>
    </row>
    <row r="15" spans="1:4" x14ac:dyDescent="0.25">
      <c r="A15" s="62">
        <v>1506</v>
      </c>
      <c r="B15" s="62" t="s">
        <v>2039</v>
      </c>
      <c r="C15" s="62" t="s">
        <v>17</v>
      </c>
      <c r="D15" s="62">
        <v>1</v>
      </c>
    </row>
    <row r="16" spans="1:4" x14ac:dyDescent="0.25">
      <c r="A16" s="62">
        <v>99001245</v>
      </c>
      <c r="B16" s="62" t="s">
        <v>2039</v>
      </c>
      <c r="C16" s="62" t="s">
        <v>15</v>
      </c>
      <c r="D16" s="62">
        <v>1</v>
      </c>
    </row>
    <row r="17" spans="1:4" x14ac:dyDescent="0.25">
      <c r="A17" s="62">
        <v>99001902</v>
      </c>
      <c r="B17" s="62" t="s">
        <v>2039</v>
      </c>
      <c r="C17" s="62" t="s">
        <v>15</v>
      </c>
      <c r="D17" s="62">
        <v>1</v>
      </c>
    </row>
    <row r="18" spans="1:4" x14ac:dyDescent="0.25">
      <c r="A18" s="62">
        <v>99001912</v>
      </c>
      <c r="B18" s="62" t="s">
        <v>2039</v>
      </c>
      <c r="C18" s="62" t="s">
        <v>17</v>
      </c>
      <c r="D18" s="62">
        <v>1</v>
      </c>
    </row>
    <row r="19" spans="1:4" x14ac:dyDescent="0.25">
      <c r="A19" s="62">
        <v>99001913</v>
      </c>
      <c r="B19" s="62" t="s">
        <v>2039</v>
      </c>
      <c r="C19" s="62" t="s">
        <v>15</v>
      </c>
      <c r="D19" s="62">
        <v>1</v>
      </c>
    </row>
    <row r="20" spans="1:4" x14ac:dyDescent="0.25">
      <c r="A20" s="62">
        <v>99001937</v>
      </c>
      <c r="B20" s="62" t="s">
        <v>2039</v>
      </c>
      <c r="C20" s="62" t="s">
        <v>1073</v>
      </c>
      <c r="D20" s="62">
        <v>1</v>
      </c>
    </row>
    <row r="21" spans="1:4" x14ac:dyDescent="0.25">
      <c r="A21" s="62">
        <v>99001943</v>
      </c>
      <c r="B21" s="62" t="s">
        <v>2039</v>
      </c>
      <c r="C21" s="62" t="s">
        <v>39</v>
      </c>
      <c r="D21" s="62">
        <v>1</v>
      </c>
    </row>
    <row r="22" spans="1:4" x14ac:dyDescent="0.25">
      <c r="A22" s="62">
        <v>99001927</v>
      </c>
      <c r="B22" s="62" t="s">
        <v>2039</v>
      </c>
      <c r="C22" s="62" t="s">
        <v>1070</v>
      </c>
      <c r="D22" s="62">
        <v>1</v>
      </c>
    </row>
    <row r="23" spans="1:4" x14ac:dyDescent="0.25">
      <c r="A23" s="62">
        <v>1505</v>
      </c>
      <c r="B23" s="62" t="s">
        <v>2039</v>
      </c>
      <c r="C23" s="62" t="s">
        <v>1073</v>
      </c>
      <c r="D23" s="62">
        <v>1</v>
      </c>
    </row>
    <row r="24" spans="1:4" x14ac:dyDescent="0.25">
      <c r="A24" s="62">
        <v>1000197</v>
      </c>
      <c r="B24" s="62" t="s">
        <v>2039</v>
      </c>
      <c r="C24" s="62" t="s">
        <v>58</v>
      </c>
      <c r="D24" s="62">
        <v>1</v>
      </c>
    </row>
    <row r="25" spans="1:4" x14ac:dyDescent="0.25">
      <c r="A25" s="62">
        <v>96018835</v>
      </c>
      <c r="B25" s="62" t="s">
        <v>2039</v>
      </c>
      <c r="C25" s="62" t="s">
        <v>2044</v>
      </c>
      <c r="D25" s="62">
        <v>8</v>
      </c>
    </row>
    <row r="26" spans="1:4" x14ac:dyDescent="0.25">
      <c r="A26" s="62">
        <v>98008326</v>
      </c>
      <c r="B26" s="62" t="s">
        <v>2039</v>
      </c>
      <c r="C26" s="62" t="s">
        <v>1335</v>
      </c>
      <c r="D26" s="62">
        <v>1</v>
      </c>
    </row>
    <row r="27" spans="1:4" x14ac:dyDescent="0.25">
      <c r="A27" s="62">
        <v>99000717</v>
      </c>
      <c r="B27" s="62" t="s">
        <v>2039</v>
      </c>
      <c r="C27" s="62" t="s">
        <v>1076</v>
      </c>
      <c r="D27" s="62">
        <v>1</v>
      </c>
    </row>
    <row r="28" spans="1:4" x14ac:dyDescent="0.25">
      <c r="A28" s="62">
        <v>6006917</v>
      </c>
      <c r="B28" s="62" t="s">
        <v>2039</v>
      </c>
      <c r="C28" s="62" t="s">
        <v>1070</v>
      </c>
      <c r="D28" s="62">
        <v>1</v>
      </c>
    </row>
    <row r="29" spans="1:4" x14ac:dyDescent="0.25">
      <c r="A29" s="62">
        <v>12088444</v>
      </c>
      <c r="B29" s="62" t="s">
        <v>2039</v>
      </c>
      <c r="C29" s="62" t="s">
        <v>2045</v>
      </c>
      <c r="D29" s="62">
        <v>3</v>
      </c>
    </row>
    <row r="30" spans="1:4" x14ac:dyDescent="0.25">
      <c r="A30" s="62">
        <v>98004910</v>
      </c>
      <c r="B30" s="62" t="s">
        <v>2039</v>
      </c>
      <c r="C30" s="62" t="s">
        <v>1070</v>
      </c>
      <c r="D30" s="62">
        <v>1</v>
      </c>
    </row>
    <row r="31" spans="1:4" x14ac:dyDescent="0.25">
      <c r="A31" s="62">
        <v>7103068</v>
      </c>
      <c r="B31" s="62" t="s">
        <v>2039</v>
      </c>
      <c r="C31" s="62" t="s">
        <v>2046</v>
      </c>
      <c r="D31" s="62">
        <v>2</v>
      </c>
    </row>
    <row r="32" spans="1:4" x14ac:dyDescent="0.25">
      <c r="A32" s="62">
        <v>11240728</v>
      </c>
      <c r="B32" s="62" t="s">
        <v>2039</v>
      </c>
      <c r="C32" s="62" t="s">
        <v>2047</v>
      </c>
      <c r="D32" s="62">
        <v>4</v>
      </c>
    </row>
    <row r="33" spans="1:4" x14ac:dyDescent="0.25">
      <c r="A33" s="62">
        <v>5015869</v>
      </c>
      <c r="B33" s="62" t="s">
        <v>2039</v>
      </c>
      <c r="C33" s="62" t="s">
        <v>2048</v>
      </c>
      <c r="D33" s="62">
        <v>2</v>
      </c>
    </row>
    <row r="34" spans="1:4" x14ac:dyDescent="0.25">
      <c r="A34" s="62">
        <v>7015502</v>
      </c>
      <c r="B34" s="62" t="s">
        <v>2039</v>
      </c>
      <c r="C34" s="62" t="s">
        <v>17</v>
      </c>
      <c r="D34" s="62">
        <v>1</v>
      </c>
    </row>
    <row r="35" spans="1:4" x14ac:dyDescent="0.25">
      <c r="A35" s="62">
        <v>7082707</v>
      </c>
      <c r="B35" s="62" t="s">
        <v>2039</v>
      </c>
      <c r="C35" s="62" t="s">
        <v>2049</v>
      </c>
      <c r="D35" s="62">
        <v>2</v>
      </c>
    </row>
    <row r="36" spans="1:4" x14ac:dyDescent="0.25">
      <c r="A36" s="62">
        <v>7083159</v>
      </c>
      <c r="B36" s="62" t="s">
        <v>2039</v>
      </c>
      <c r="C36" s="62" t="s">
        <v>580</v>
      </c>
      <c r="D36" s="62">
        <v>1</v>
      </c>
    </row>
    <row r="37" spans="1:4" x14ac:dyDescent="0.25">
      <c r="A37" s="62">
        <v>7084659</v>
      </c>
      <c r="B37" s="62" t="s">
        <v>2039</v>
      </c>
      <c r="C37" s="62" t="s">
        <v>584</v>
      </c>
      <c r="D37" s="62">
        <v>1</v>
      </c>
    </row>
    <row r="38" spans="1:4" x14ac:dyDescent="0.25">
      <c r="A38" s="62">
        <v>7089231</v>
      </c>
      <c r="B38" s="62" t="s">
        <v>2039</v>
      </c>
      <c r="C38" s="62" t="s">
        <v>1070</v>
      </c>
      <c r="D38" s="62">
        <v>1</v>
      </c>
    </row>
    <row r="39" spans="1:4" x14ac:dyDescent="0.25">
      <c r="A39" s="62">
        <v>7116004</v>
      </c>
      <c r="B39" s="62" t="s">
        <v>2039</v>
      </c>
      <c r="C39" s="62" t="s">
        <v>2050</v>
      </c>
      <c r="D39" s="62">
        <v>2</v>
      </c>
    </row>
    <row r="40" spans="1:4" x14ac:dyDescent="0.25">
      <c r="A40" s="62">
        <v>8112522</v>
      </c>
      <c r="B40" s="62" t="s">
        <v>2039</v>
      </c>
      <c r="C40" s="62" t="s">
        <v>2051</v>
      </c>
      <c r="D40" s="62">
        <v>3</v>
      </c>
    </row>
    <row r="41" spans="1:4" x14ac:dyDescent="0.25">
      <c r="A41" s="62">
        <v>8130998</v>
      </c>
      <c r="B41" s="62" t="s">
        <v>2039</v>
      </c>
      <c r="C41" s="62" t="s">
        <v>2052</v>
      </c>
      <c r="D41" s="62">
        <v>3</v>
      </c>
    </row>
    <row r="42" spans="1:4" x14ac:dyDescent="0.25">
      <c r="A42" s="62">
        <v>9003331</v>
      </c>
      <c r="B42" s="62" t="s">
        <v>2039</v>
      </c>
      <c r="C42" s="62" t="s">
        <v>2053</v>
      </c>
      <c r="D42" s="62">
        <v>2</v>
      </c>
    </row>
    <row r="43" spans="1:4" x14ac:dyDescent="0.25">
      <c r="A43" s="62">
        <v>9003370</v>
      </c>
      <c r="B43" s="62" t="s">
        <v>2039</v>
      </c>
      <c r="C43" s="62" t="s">
        <v>584</v>
      </c>
      <c r="D43" s="62">
        <v>1</v>
      </c>
    </row>
    <row r="44" spans="1:4" x14ac:dyDescent="0.25">
      <c r="A44" s="62">
        <v>9016278</v>
      </c>
      <c r="B44" s="62" t="s">
        <v>2039</v>
      </c>
      <c r="C44" s="62" t="s">
        <v>2054</v>
      </c>
      <c r="D44" s="62">
        <v>4</v>
      </c>
    </row>
    <row r="45" spans="1:4" x14ac:dyDescent="0.25">
      <c r="A45" s="62">
        <v>9030684</v>
      </c>
      <c r="B45" s="62" t="s">
        <v>2039</v>
      </c>
      <c r="C45" s="62" t="s">
        <v>1076</v>
      </c>
      <c r="D45" s="62">
        <v>1</v>
      </c>
    </row>
    <row r="46" spans="1:4" x14ac:dyDescent="0.25">
      <c r="A46" s="62">
        <v>9031387</v>
      </c>
      <c r="B46" s="62" t="s">
        <v>2039</v>
      </c>
      <c r="C46" s="62" t="s">
        <v>724</v>
      </c>
      <c r="D46" s="62">
        <v>1</v>
      </c>
    </row>
    <row r="47" spans="1:4" x14ac:dyDescent="0.25">
      <c r="A47" s="62">
        <v>9038676</v>
      </c>
      <c r="B47" s="62" t="s">
        <v>2039</v>
      </c>
      <c r="C47" s="62" t="s">
        <v>584</v>
      </c>
      <c r="D47" s="62">
        <v>1</v>
      </c>
    </row>
    <row r="48" spans="1:4" x14ac:dyDescent="0.25">
      <c r="A48" s="62">
        <v>9039416</v>
      </c>
      <c r="B48" s="62" t="s">
        <v>2039</v>
      </c>
      <c r="C48" s="62" t="s">
        <v>1072</v>
      </c>
      <c r="D48" s="62">
        <v>1</v>
      </c>
    </row>
    <row r="49" spans="1:4" x14ac:dyDescent="0.25">
      <c r="A49" s="62">
        <v>9042861</v>
      </c>
      <c r="B49" s="62" t="s">
        <v>2039</v>
      </c>
      <c r="C49" s="62" t="s">
        <v>2055</v>
      </c>
      <c r="D49" s="62">
        <v>2</v>
      </c>
    </row>
    <row r="50" spans="1:4" x14ac:dyDescent="0.25">
      <c r="A50" s="62">
        <v>9044899</v>
      </c>
      <c r="B50" s="62" t="s">
        <v>2039</v>
      </c>
      <c r="C50" s="62" t="s">
        <v>2056</v>
      </c>
      <c r="D50" s="62">
        <v>3</v>
      </c>
    </row>
    <row r="51" spans="1:4" x14ac:dyDescent="0.25">
      <c r="A51">
        <v>9052398</v>
      </c>
      <c r="B51" s="62" t="s">
        <v>2039</v>
      </c>
      <c r="C51" t="s">
        <v>2057</v>
      </c>
      <c r="D51">
        <v>2</v>
      </c>
    </row>
    <row r="52" spans="1:4" x14ac:dyDescent="0.25">
      <c r="A52">
        <v>9085204</v>
      </c>
      <c r="B52" s="62" t="s">
        <v>2039</v>
      </c>
      <c r="C52" t="s">
        <v>15</v>
      </c>
      <c r="D52">
        <v>1</v>
      </c>
    </row>
    <row r="53" spans="1:4" x14ac:dyDescent="0.25">
      <c r="A53">
        <v>9105492</v>
      </c>
      <c r="B53" s="62" t="s">
        <v>2039</v>
      </c>
      <c r="C53" t="s">
        <v>2058</v>
      </c>
      <c r="D53">
        <v>6</v>
      </c>
    </row>
    <row r="54" spans="1:4" x14ac:dyDescent="0.25">
      <c r="A54">
        <v>9138470</v>
      </c>
      <c r="B54" s="62" t="s">
        <v>2039</v>
      </c>
      <c r="C54" t="s">
        <v>584</v>
      </c>
      <c r="D54">
        <v>1</v>
      </c>
    </row>
    <row r="55" spans="1:4" x14ac:dyDescent="0.25">
      <c r="A55">
        <v>9150676</v>
      </c>
      <c r="B55" s="62" t="s">
        <v>2039</v>
      </c>
      <c r="C55" t="s">
        <v>1082</v>
      </c>
      <c r="D55">
        <v>1</v>
      </c>
    </row>
    <row r="56" spans="1:4" x14ac:dyDescent="0.25">
      <c r="A56">
        <v>10010926</v>
      </c>
      <c r="B56" s="62" t="s">
        <v>2039</v>
      </c>
      <c r="C56" t="s">
        <v>2057</v>
      </c>
      <c r="D56">
        <v>2</v>
      </c>
    </row>
    <row r="57" spans="1:4" x14ac:dyDescent="0.25">
      <c r="A57">
        <v>10030897</v>
      </c>
      <c r="B57" s="62" t="s">
        <v>2039</v>
      </c>
      <c r="C57" t="s">
        <v>2059</v>
      </c>
      <c r="D57">
        <v>4</v>
      </c>
    </row>
    <row r="58" spans="1:4" x14ac:dyDescent="0.25">
      <c r="A58">
        <v>324</v>
      </c>
      <c r="B58" s="62" t="s">
        <v>2039</v>
      </c>
      <c r="C58" t="s">
        <v>2060</v>
      </c>
      <c r="D58">
        <v>2</v>
      </c>
    </row>
    <row r="59" spans="1:4" x14ac:dyDescent="0.25">
      <c r="A59">
        <v>3909</v>
      </c>
      <c r="B59" s="62" t="s">
        <v>2039</v>
      </c>
      <c r="C59" t="s">
        <v>2061</v>
      </c>
      <c r="D59">
        <v>2</v>
      </c>
    </row>
    <row r="60" spans="1:4" x14ac:dyDescent="0.25">
      <c r="A60">
        <v>4663</v>
      </c>
      <c r="B60" s="62" t="s">
        <v>2039</v>
      </c>
      <c r="C60" t="s">
        <v>1068</v>
      </c>
      <c r="D60">
        <v>1</v>
      </c>
    </row>
    <row r="61" spans="1:4" x14ac:dyDescent="0.25">
      <c r="A61">
        <v>1005522</v>
      </c>
      <c r="B61" s="62" t="s">
        <v>2039</v>
      </c>
      <c r="C61" t="s">
        <v>2062</v>
      </c>
      <c r="D61">
        <v>5</v>
      </c>
    </row>
    <row r="62" spans="1:4" x14ac:dyDescent="0.25">
      <c r="A62">
        <v>1007631</v>
      </c>
      <c r="B62" s="62" t="s">
        <v>2039</v>
      </c>
      <c r="C62" t="s">
        <v>2063</v>
      </c>
      <c r="D62">
        <v>3</v>
      </c>
    </row>
    <row r="63" spans="1:4" x14ac:dyDescent="0.25">
      <c r="A63">
        <v>1009760</v>
      </c>
      <c r="B63" s="62" t="s">
        <v>2039</v>
      </c>
      <c r="C63" t="s">
        <v>2064</v>
      </c>
      <c r="D63">
        <v>5</v>
      </c>
    </row>
    <row r="64" spans="1:4" x14ac:dyDescent="0.25">
      <c r="A64">
        <v>2000646</v>
      </c>
      <c r="B64" s="62" t="s">
        <v>2039</v>
      </c>
      <c r="C64" t="s">
        <v>2065</v>
      </c>
      <c r="D64">
        <v>6</v>
      </c>
    </row>
    <row r="65" spans="1:4" x14ac:dyDescent="0.25">
      <c r="A65">
        <v>2006469</v>
      </c>
      <c r="B65" s="62" t="s">
        <v>2039</v>
      </c>
      <c r="C65" t="s">
        <v>2050</v>
      </c>
      <c r="D65">
        <v>2</v>
      </c>
    </row>
    <row r="66" spans="1:4" x14ac:dyDescent="0.25">
      <c r="A66">
        <v>3014643</v>
      </c>
      <c r="B66" s="62" t="s">
        <v>2039</v>
      </c>
      <c r="C66" t="s">
        <v>2066</v>
      </c>
      <c r="D66">
        <v>3</v>
      </c>
    </row>
    <row r="67" spans="1:4" x14ac:dyDescent="0.25">
      <c r="A67">
        <v>3016056</v>
      </c>
      <c r="B67" s="62" t="s">
        <v>2039</v>
      </c>
      <c r="C67" t="s">
        <v>2067</v>
      </c>
      <c r="D67">
        <v>3</v>
      </c>
    </row>
    <row r="68" spans="1:4" x14ac:dyDescent="0.25">
      <c r="A68">
        <v>3900219</v>
      </c>
      <c r="B68" s="62" t="s">
        <v>2039</v>
      </c>
      <c r="C68" t="s">
        <v>2068</v>
      </c>
      <c r="D68">
        <v>4</v>
      </c>
    </row>
    <row r="69" spans="1:4" x14ac:dyDescent="0.25">
      <c r="A69">
        <v>4000158</v>
      </c>
      <c r="B69" s="62" t="s">
        <v>2039</v>
      </c>
      <c r="C69" t="s">
        <v>2069</v>
      </c>
      <c r="D69">
        <v>3</v>
      </c>
    </row>
    <row r="70" spans="1:4" x14ac:dyDescent="0.25">
      <c r="A70">
        <v>4000304</v>
      </c>
      <c r="B70" s="62" t="s">
        <v>2039</v>
      </c>
      <c r="C70" t="s">
        <v>584</v>
      </c>
      <c r="D70">
        <v>1</v>
      </c>
    </row>
    <row r="71" spans="1:4" x14ac:dyDescent="0.25">
      <c r="A71">
        <v>4001905</v>
      </c>
      <c r="B71" s="62" t="s">
        <v>2039</v>
      </c>
      <c r="C71" t="s">
        <v>2070</v>
      </c>
      <c r="D71">
        <v>6</v>
      </c>
    </row>
    <row r="72" spans="1:4" x14ac:dyDescent="0.25">
      <c r="A72">
        <v>4002206</v>
      </c>
      <c r="B72" s="62" t="s">
        <v>2039</v>
      </c>
      <c r="C72" t="s">
        <v>584</v>
      </c>
      <c r="D72">
        <v>1</v>
      </c>
    </row>
    <row r="73" spans="1:4" x14ac:dyDescent="0.25">
      <c r="A73">
        <v>4002715</v>
      </c>
      <c r="B73" s="62" t="s">
        <v>2039</v>
      </c>
      <c r="C73" t="s">
        <v>2071</v>
      </c>
      <c r="D73">
        <v>3</v>
      </c>
    </row>
    <row r="74" spans="1:4" x14ac:dyDescent="0.25">
      <c r="A74">
        <v>4003924</v>
      </c>
      <c r="B74" s="62" t="s">
        <v>2039</v>
      </c>
      <c r="C74" t="s">
        <v>1071</v>
      </c>
      <c r="D74">
        <v>1</v>
      </c>
    </row>
    <row r="75" spans="1:4" x14ac:dyDescent="0.25">
      <c r="A75">
        <v>4008140</v>
      </c>
      <c r="B75" s="62" t="s">
        <v>2039</v>
      </c>
      <c r="C75" t="s">
        <v>1070</v>
      </c>
      <c r="D75">
        <v>1</v>
      </c>
    </row>
    <row r="76" spans="1:4" x14ac:dyDescent="0.25">
      <c r="A76">
        <v>4009906</v>
      </c>
      <c r="B76" s="62" t="s">
        <v>2039</v>
      </c>
      <c r="C76" t="s">
        <v>2072</v>
      </c>
      <c r="D76">
        <v>4</v>
      </c>
    </row>
    <row r="77" spans="1:4" x14ac:dyDescent="0.25">
      <c r="A77">
        <v>4011027</v>
      </c>
      <c r="B77" s="62" t="s">
        <v>2039</v>
      </c>
      <c r="C77" t="s">
        <v>2073</v>
      </c>
      <c r="D77">
        <v>2</v>
      </c>
    </row>
    <row r="78" spans="1:4" x14ac:dyDescent="0.25">
      <c r="A78">
        <v>4011920</v>
      </c>
      <c r="B78" s="62" t="s">
        <v>2039</v>
      </c>
      <c r="C78" t="s">
        <v>2074</v>
      </c>
      <c r="D78">
        <v>3</v>
      </c>
    </row>
    <row r="79" spans="1:4" x14ac:dyDescent="0.25">
      <c r="A79">
        <v>4012248</v>
      </c>
      <c r="B79" s="62" t="s">
        <v>2039</v>
      </c>
      <c r="C79" t="s">
        <v>2075</v>
      </c>
      <c r="D79">
        <v>7</v>
      </c>
    </row>
    <row r="80" spans="1:4" x14ac:dyDescent="0.25">
      <c r="A80">
        <v>4013603</v>
      </c>
      <c r="B80" s="62" t="s">
        <v>2039</v>
      </c>
      <c r="C80" t="s">
        <v>584</v>
      </c>
      <c r="D80">
        <v>1</v>
      </c>
    </row>
    <row r="81" spans="1:4" x14ac:dyDescent="0.25">
      <c r="A81">
        <v>5004654</v>
      </c>
      <c r="B81" s="62" t="s">
        <v>2039</v>
      </c>
      <c r="C81" t="s">
        <v>2076</v>
      </c>
      <c r="D81">
        <v>10</v>
      </c>
    </row>
    <row r="82" spans="1:4" x14ac:dyDescent="0.25">
      <c r="A82">
        <v>4289</v>
      </c>
      <c r="B82" s="62" t="s">
        <v>2039</v>
      </c>
      <c r="C82" t="s">
        <v>2073</v>
      </c>
      <c r="D82">
        <v>2</v>
      </c>
    </row>
    <row r="83" spans="1:4" x14ac:dyDescent="0.25">
      <c r="A83">
        <v>500245</v>
      </c>
      <c r="B83" s="62" t="s">
        <v>2039</v>
      </c>
      <c r="C83" t="s">
        <v>2077</v>
      </c>
      <c r="D83">
        <v>6</v>
      </c>
    </row>
    <row r="84" spans="1:4" x14ac:dyDescent="0.25">
      <c r="A84">
        <v>2002573</v>
      </c>
      <c r="B84" s="62" t="s">
        <v>2039</v>
      </c>
      <c r="C84" t="s">
        <v>2078</v>
      </c>
      <c r="D84">
        <v>3</v>
      </c>
    </row>
    <row r="85" spans="1:4" x14ac:dyDescent="0.25">
      <c r="A85">
        <v>2003539</v>
      </c>
      <c r="B85" s="62" t="s">
        <v>2039</v>
      </c>
      <c r="C85" t="s">
        <v>124</v>
      </c>
      <c r="D85">
        <v>1</v>
      </c>
    </row>
    <row r="86" spans="1:4" x14ac:dyDescent="0.25">
      <c r="A86">
        <v>2003649</v>
      </c>
      <c r="B86" s="62" t="s">
        <v>2039</v>
      </c>
      <c r="C86" t="s">
        <v>2079</v>
      </c>
      <c r="D86">
        <v>7</v>
      </c>
    </row>
    <row r="87" spans="1:4" x14ac:dyDescent="0.25">
      <c r="A87">
        <v>2005572</v>
      </c>
      <c r="B87" s="62" t="s">
        <v>2039</v>
      </c>
      <c r="C87" t="s">
        <v>2080</v>
      </c>
      <c r="D87">
        <v>3</v>
      </c>
    </row>
    <row r="88" spans="1:4" x14ac:dyDescent="0.25">
      <c r="A88">
        <v>3009633</v>
      </c>
      <c r="B88" s="62" t="s">
        <v>2039</v>
      </c>
      <c r="C88" t="s">
        <v>2081</v>
      </c>
      <c r="D88">
        <v>4</v>
      </c>
    </row>
    <row r="89" spans="1:4" x14ac:dyDescent="0.25">
      <c r="A89">
        <v>3010583</v>
      </c>
      <c r="B89" s="62" t="s">
        <v>2039</v>
      </c>
      <c r="C89" t="s">
        <v>2082</v>
      </c>
      <c r="D89">
        <v>3</v>
      </c>
    </row>
    <row r="90" spans="1:4" x14ac:dyDescent="0.25">
      <c r="A90">
        <v>3011892</v>
      </c>
      <c r="B90" s="62" t="s">
        <v>2039</v>
      </c>
      <c r="C90" t="s">
        <v>2083</v>
      </c>
      <c r="D90">
        <v>3</v>
      </c>
    </row>
    <row r="91" spans="1:4" x14ac:dyDescent="0.25">
      <c r="A91">
        <v>4001382</v>
      </c>
      <c r="B91" s="62" t="s">
        <v>2039</v>
      </c>
      <c r="C91" t="s">
        <v>2084</v>
      </c>
      <c r="D91">
        <v>3</v>
      </c>
    </row>
    <row r="92" spans="1:4" x14ac:dyDescent="0.25">
      <c r="A92">
        <v>5018675</v>
      </c>
      <c r="B92" s="62" t="s">
        <v>2039</v>
      </c>
      <c r="C92" t="s">
        <v>1073</v>
      </c>
      <c r="D92">
        <v>1</v>
      </c>
    </row>
    <row r="93" spans="1:4" x14ac:dyDescent="0.25">
      <c r="A93">
        <v>5006592</v>
      </c>
      <c r="B93" s="62" t="s">
        <v>2039</v>
      </c>
      <c r="C93" t="s">
        <v>2085</v>
      </c>
      <c r="D93">
        <v>4</v>
      </c>
    </row>
    <row r="94" spans="1:4" x14ac:dyDescent="0.25">
      <c r="A94">
        <v>5007274</v>
      </c>
      <c r="B94" s="62" t="s">
        <v>2039</v>
      </c>
      <c r="C94" t="s">
        <v>2086</v>
      </c>
      <c r="D94">
        <v>2</v>
      </c>
    </row>
    <row r="95" spans="1:4" x14ac:dyDescent="0.25">
      <c r="A95">
        <v>5015851</v>
      </c>
      <c r="B95" s="62" t="s">
        <v>2039</v>
      </c>
      <c r="C95" t="s">
        <v>2087</v>
      </c>
      <c r="D95">
        <v>5</v>
      </c>
    </row>
    <row r="96" spans="1:4" x14ac:dyDescent="0.25">
      <c r="A96">
        <v>6015647</v>
      </c>
      <c r="B96" s="62" t="s">
        <v>2039</v>
      </c>
      <c r="C96" t="s">
        <v>2088</v>
      </c>
      <c r="D96">
        <v>12</v>
      </c>
    </row>
    <row r="97" spans="1:4" x14ac:dyDescent="0.25">
      <c r="A97">
        <v>7086224</v>
      </c>
      <c r="B97" s="62" t="s">
        <v>2039</v>
      </c>
      <c r="C97" t="s">
        <v>2089</v>
      </c>
      <c r="D97">
        <v>4</v>
      </c>
    </row>
    <row r="98" spans="1:4" x14ac:dyDescent="0.25">
      <c r="A98">
        <v>8040959</v>
      </c>
      <c r="B98" s="62" t="s">
        <v>2039</v>
      </c>
      <c r="C98" t="s">
        <v>1564</v>
      </c>
      <c r="D98">
        <v>1</v>
      </c>
    </row>
    <row r="99" spans="1:4" x14ac:dyDescent="0.25">
      <c r="A99">
        <v>8107048</v>
      </c>
      <c r="B99" s="62" t="s">
        <v>2039</v>
      </c>
      <c r="C99" t="s">
        <v>2090</v>
      </c>
      <c r="D99">
        <v>2</v>
      </c>
    </row>
    <row r="100" spans="1:4" x14ac:dyDescent="0.25">
      <c r="A100">
        <v>8124044</v>
      </c>
      <c r="B100" s="62" t="s">
        <v>2039</v>
      </c>
      <c r="C100" t="s">
        <v>2091</v>
      </c>
      <c r="D100">
        <v>12</v>
      </c>
    </row>
    <row r="101" spans="1:4" x14ac:dyDescent="0.25">
      <c r="A101">
        <v>8142949</v>
      </c>
      <c r="B101" s="62" t="s">
        <v>2039</v>
      </c>
      <c r="C101" t="s">
        <v>2092</v>
      </c>
      <c r="D101">
        <v>4</v>
      </c>
    </row>
    <row r="102" spans="1:4" x14ac:dyDescent="0.25">
      <c r="A102">
        <v>9023306</v>
      </c>
      <c r="B102" s="62" t="s">
        <v>2039</v>
      </c>
      <c r="C102" t="s">
        <v>2093</v>
      </c>
      <c r="D102">
        <v>4</v>
      </c>
    </row>
    <row r="103" spans="1:4" x14ac:dyDescent="0.25">
      <c r="A103">
        <v>9030615</v>
      </c>
      <c r="B103" s="62" t="s">
        <v>2039</v>
      </c>
      <c r="C103" t="s">
        <v>2094</v>
      </c>
      <c r="D103">
        <v>4</v>
      </c>
    </row>
    <row r="104" spans="1:4" x14ac:dyDescent="0.25">
      <c r="A104">
        <v>9054567</v>
      </c>
      <c r="B104" s="62" t="s">
        <v>2039</v>
      </c>
      <c r="C104" t="s">
        <v>1070</v>
      </c>
      <c r="D104">
        <v>1</v>
      </c>
    </row>
    <row r="105" spans="1:4" x14ac:dyDescent="0.25">
      <c r="A105">
        <v>9083682</v>
      </c>
      <c r="B105" s="62" t="s">
        <v>2039</v>
      </c>
      <c r="C105" t="s">
        <v>2095</v>
      </c>
      <c r="D105">
        <v>2</v>
      </c>
    </row>
    <row r="106" spans="1:4" x14ac:dyDescent="0.25">
      <c r="A106">
        <v>9102044</v>
      </c>
      <c r="B106" s="62" t="s">
        <v>2039</v>
      </c>
      <c r="C106" t="s">
        <v>2096</v>
      </c>
      <c r="D106">
        <v>5</v>
      </c>
    </row>
    <row r="107" spans="1:4" x14ac:dyDescent="0.25">
      <c r="A107">
        <v>9119854</v>
      </c>
      <c r="B107" s="62" t="s">
        <v>2039</v>
      </c>
      <c r="C107" t="s">
        <v>2097</v>
      </c>
      <c r="D107">
        <v>8</v>
      </c>
    </row>
    <row r="108" spans="1:4" x14ac:dyDescent="0.25">
      <c r="A108">
        <v>9125126</v>
      </c>
      <c r="B108" s="62" t="s">
        <v>2039</v>
      </c>
      <c r="C108" t="s">
        <v>2098</v>
      </c>
      <c r="D108">
        <v>2</v>
      </c>
    </row>
    <row r="109" spans="1:4" x14ac:dyDescent="0.25">
      <c r="A109">
        <v>9174811</v>
      </c>
      <c r="B109" s="62" t="s">
        <v>2039</v>
      </c>
      <c r="C109" t="s">
        <v>2099</v>
      </c>
      <c r="D109">
        <v>5</v>
      </c>
    </row>
    <row r="110" spans="1:4" x14ac:dyDescent="0.25">
      <c r="A110">
        <v>10002875</v>
      </c>
      <c r="B110" s="62" t="s">
        <v>2039</v>
      </c>
      <c r="C110" t="s">
        <v>2100</v>
      </c>
      <c r="D110">
        <v>9</v>
      </c>
    </row>
    <row r="111" spans="1:4" x14ac:dyDescent="0.25">
      <c r="A111">
        <v>10023080</v>
      </c>
      <c r="B111" s="62" t="s">
        <v>2039</v>
      </c>
      <c r="C111" t="s">
        <v>2101</v>
      </c>
      <c r="D111">
        <v>2</v>
      </c>
    </row>
    <row r="112" spans="1:4" x14ac:dyDescent="0.25">
      <c r="A112">
        <v>10025212</v>
      </c>
      <c r="B112" s="62" t="s">
        <v>2039</v>
      </c>
      <c r="C112" t="s">
        <v>2102</v>
      </c>
      <c r="D112">
        <v>5</v>
      </c>
    </row>
    <row r="113" spans="1:4" x14ac:dyDescent="0.25">
      <c r="A113">
        <v>10069407</v>
      </c>
      <c r="B113" s="62" t="s">
        <v>2039</v>
      </c>
      <c r="C113" t="s">
        <v>2103</v>
      </c>
      <c r="D113">
        <v>4</v>
      </c>
    </row>
    <row r="114" spans="1:4" x14ac:dyDescent="0.25">
      <c r="A114">
        <v>10071135</v>
      </c>
      <c r="B114" s="62" t="s">
        <v>2039</v>
      </c>
      <c r="C114" t="s">
        <v>2104</v>
      </c>
      <c r="D114">
        <v>4</v>
      </c>
    </row>
    <row r="115" spans="1:4" x14ac:dyDescent="0.25">
      <c r="A115">
        <v>10083649</v>
      </c>
      <c r="B115" s="62" t="s">
        <v>2039</v>
      </c>
      <c r="C115" t="s">
        <v>2105</v>
      </c>
      <c r="D115">
        <v>2</v>
      </c>
    </row>
    <row r="116" spans="1:4" x14ac:dyDescent="0.25">
      <c r="A116">
        <v>10102021</v>
      </c>
      <c r="B116" s="62" t="s">
        <v>2039</v>
      </c>
      <c r="C116" t="s">
        <v>2106</v>
      </c>
      <c r="D116">
        <v>2</v>
      </c>
    </row>
    <row r="117" spans="1:4" x14ac:dyDescent="0.25">
      <c r="A117">
        <v>10123729</v>
      </c>
      <c r="B117" s="62" t="s">
        <v>2039</v>
      </c>
      <c r="C117" t="s">
        <v>2107</v>
      </c>
      <c r="D117">
        <v>5</v>
      </c>
    </row>
    <row r="118" spans="1:4" x14ac:dyDescent="0.25">
      <c r="A118">
        <v>10144736</v>
      </c>
      <c r="B118" s="62" t="s">
        <v>2039</v>
      </c>
      <c r="C118" t="s">
        <v>2108</v>
      </c>
      <c r="D118">
        <v>4</v>
      </c>
    </row>
    <row r="119" spans="1:4" x14ac:dyDescent="0.25">
      <c r="A119">
        <v>10157275</v>
      </c>
      <c r="B119" s="62" t="s">
        <v>2039</v>
      </c>
      <c r="C119" t="s">
        <v>2109</v>
      </c>
      <c r="D119">
        <v>5</v>
      </c>
    </row>
    <row r="120" spans="1:4" x14ac:dyDescent="0.25">
      <c r="A120">
        <v>5281</v>
      </c>
      <c r="B120" s="62" t="s">
        <v>2039</v>
      </c>
      <c r="C120" t="s">
        <v>2110</v>
      </c>
      <c r="D120">
        <v>2</v>
      </c>
    </row>
    <row r="121" spans="1:4" x14ac:dyDescent="0.25">
      <c r="A121">
        <v>200085</v>
      </c>
      <c r="B121" s="62" t="s">
        <v>2039</v>
      </c>
      <c r="C121" t="s">
        <v>2111</v>
      </c>
      <c r="D121">
        <v>18</v>
      </c>
    </row>
    <row r="122" spans="1:4" x14ac:dyDescent="0.25">
      <c r="A122">
        <v>500129</v>
      </c>
      <c r="B122" s="62" t="s">
        <v>2039</v>
      </c>
      <c r="C122" t="s">
        <v>2112</v>
      </c>
      <c r="D122">
        <v>9</v>
      </c>
    </row>
    <row r="123" spans="1:4" x14ac:dyDescent="0.25">
      <c r="A123">
        <v>1002033</v>
      </c>
      <c r="B123" s="62" t="s">
        <v>2039</v>
      </c>
      <c r="C123" t="s">
        <v>2113</v>
      </c>
      <c r="D123">
        <v>6</v>
      </c>
    </row>
    <row r="124" spans="1:4" x14ac:dyDescent="0.25">
      <c r="A124">
        <v>1003457</v>
      </c>
      <c r="B124" s="62" t="s">
        <v>2039</v>
      </c>
      <c r="C124" t="s">
        <v>584</v>
      </c>
      <c r="D124">
        <v>1</v>
      </c>
    </row>
    <row r="125" spans="1:4" x14ac:dyDescent="0.25">
      <c r="A125">
        <v>2005223</v>
      </c>
      <c r="B125" s="62" t="s">
        <v>2039</v>
      </c>
      <c r="C125" t="s">
        <v>2114</v>
      </c>
      <c r="D125">
        <v>3</v>
      </c>
    </row>
    <row r="126" spans="1:4" x14ac:dyDescent="0.25">
      <c r="A126">
        <v>2012014</v>
      </c>
      <c r="B126" s="62" t="s">
        <v>2039</v>
      </c>
      <c r="C126" t="s">
        <v>1378</v>
      </c>
      <c r="D126">
        <v>1</v>
      </c>
    </row>
    <row r="127" spans="1:4" x14ac:dyDescent="0.25">
      <c r="A127">
        <v>3000152</v>
      </c>
      <c r="B127" s="62" t="s">
        <v>2039</v>
      </c>
      <c r="C127" t="s">
        <v>1070</v>
      </c>
      <c r="D127">
        <v>1</v>
      </c>
    </row>
    <row r="128" spans="1:4" x14ac:dyDescent="0.25">
      <c r="A128">
        <v>3014566</v>
      </c>
      <c r="B128" s="62" t="s">
        <v>2039</v>
      </c>
      <c r="C128" t="s">
        <v>584</v>
      </c>
      <c r="D128">
        <v>1</v>
      </c>
    </row>
    <row r="129" spans="1:4" x14ac:dyDescent="0.25">
      <c r="A129">
        <v>3015058</v>
      </c>
      <c r="B129" s="62" t="s">
        <v>2039</v>
      </c>
      <c r="C129" t="s">
        <v>2115</v>
      </c>
      <c r="D129">
        <v>4</v>
      </c>
    </row>
    <row r="130" spans="1:4" x14ac:dyDescent="0.25">
      <c r="A130">
        <v>4000996</v>
      </c>
      <c r="B130" s="62" t="s">
        <v>2039</v>
      </c>
      <c r="C130" t="s">
        <v>2116</v>
      </c>
      <c r="D130">
        <v>4</v>
      </c>
    </row>
    <row r="131" spans="1:4" x14ac:dyDescent="0.25">
      <c r="A131">
        <v>4003768</v>
      </c>
      <c r="B131" s="62" t="s">
        <v>2039</v>
      </c>
      <c r="C131" t="s">
        <v>2117</v>
      </c>
      <c r="D131">
        <v>6</v>
      </c>
    </row>
    <row r="132" spans="1:4" x14ac:dyDescent="0.25">
      <c r="A132">
        <v>4006540</v>
      </c>
      <c r="B132" s="62" t="s">
        <v>2039</v>
      </c>
      <c r="C132" t="s">
        <v>2118</v>
      </c>
      <c r="D132">
        <v>4</v>
      </c>
    </row>
    <row r="133" spans="1:4" x14ac:dyDescent="0.25">
      <c r="A133">
        <v>4007054</v>
      </c>
      <c r="B133" s="62" t="s">
        <v>2039</v>
      </c>
      <c r="C133" t="s">
        <v>2119</v>
      </c>
      <c r="D133">
        <v>2</v>
      </c>
    </row>
    <row r="134" spans="1:4" x14ac:dyDescent="0.25">
      <c r="A134">
        <v>4011002</v>
      </c>
      <c r="B134" s="62" t="s">
        <v>2039</v>
      </c>
      <c r="C134" t="s">
        <v>2120</v>
      </c>
      <c r="D134">
        <v>4</v>
      </c>
    </row>
    <row r="135" spans="1:4" x14ac:dyDescent="0.25">
      <c r="A135">
        <v>4900268</v>
      </c>
      <c r="B135" s="62" t="s">
        <v>2039</v>
      </c>
      <c r="C135" t="s">
        <v>2121</v>
      </c>
      <c r="D135">
        <v>2</v>
      </c>
    </row>
    <row r="136" spans="1:4" x14ac:dyDescent="0.25">
      <c r="A136">
        <v>5001097</v>
      </c>
      <c r="B136" s="62" t="s">
        <v>2039</v>
      </c>
      <c r="C136" t="s">
        <v>2122</v>
      </c>
      <c r="D136">
        <v>5</v>
      </c>
    </row>
    <row r="137" spans="1:4" x14ac:dyDescent="0.25">
      <c r="A137">
        <v>5001098</v>
      </c>
      <c r="B137" s="62" t="s">
        <v>2039</v>
      </c>
      <c r="C137" t="s">
        <v>2123</v>
      </c>
      <c r="D137">
        <v>5</v>
      </c>
    </row>
    <row r="138" spans="1:4" x14ac:dyDescent="0.25">
      <c r="A138">
        <v>5006152</v>
      </c>
      <c r="B138" s="62" t="s">
        <v>2039</v>
      </c>
      <c r="C138" t="s">
        <v>2124</v>
      </c>
      <c r="D138">
        <v>2</v>
      </c>
    </row>
    <row r="139" spans="1:4" x14ac:dyDescent="0.25">
      <c r="A139">
        <v>6012361</v>
      </c>
      <c r="B139" s="62" t="s">
        <v>2039</v>
      </c>
      <c r="C139" t="s">
        <v>2125</v>
      </c>
      <c r="D139">
        <v>2</v>
      </c>
    </row>
    <row r="140" spans="1:4" x14ac:dyDescent="0.25">
      <c r="A140">
        <v>6015793</v>
      </c>
      <c r="B140" s="62" t="s">
        <v>2039</v>
      </c>
      <c r="C140" t="s">
        <v>2126</v>
      </c>
      <c r="D140">
        <v>4</v>
      </c>
    </row>
    <row r="141" spans="1:4" x14ac:dyDescent="0.25">
      <c r="A141">
        <v>6043619</v>
      </c>
      <c r="B141" s="62" t="s">
        <v>2039</v>
      </c>
      <c r="C141" t="s">
        <v>584</v>
      </c>
      <c r="D141">
        <v>1</v>
      </c>
    </row>
    <row r="142" spans="1:4" x14ac:dyDescent="0.25">
      <c r="A142">
        <v>7001097</v>
      </c>
      <c r="B142" s="62" t="s">
        <v>2039</v>
      </c>
      <c r="C142" t="s">
        <v>2127</v>
      </c>
      <c r="D142">
        <v>13</v>
      </c>
    </row>
    <row r="143" spans="1:4" x14ac:dyDescent="0.25">
      <c r="A143">
        <v>7011435</v>
      </c>
      <c r="B143" s="62" t="s">
        <v>2039</v>
      </c>
      <c r="C143" t="s">
        <v>2128</v>
      </c>
      <c r="D143">
        <v>4</v>
      </c>
    </row>
    <row r="144" spans="1:4" x14ac:dyDescent="0.25">
      <c r="A144">
        <v>7045811</v>
      </c>
      <c r="B144" s="62" t="s">
        <v>2039</v>
      </c>
      <c r="C144" t="s">
        <v>2129</v>
      </c>
      <c r="D144">
        <v>3</v>
      </c>
    </row>
    <row r="145" spans="1:4" x14ac:dyDescent="0.25">
      <c r="A145">
        <v>7101143</v>
      </c>
      <c r="B145" s="62" t="s">
        <v>2039</v>
      </c>
      <c r="C145" t="s">
        <v>2130</v>
      </c>
      <c r="D145">
        <v>6</v>
      </c>
    </row>
    <row r="146" spans="1:4" x14ac:dyDescent="0.25">
      <c r="A146">
        <v>8073645</v>
      </c>
      <c r="B146" s="62" t="s">
        <v>2039</v>
      </c>
      <c r="C146" t="s">
        <v>1071</v>
      </c>
      <c r="D146">
        <v>1</v>
      </c>
    </row>
    <row r="147" spans="1:4" x14ac:dyDescent="0.25">
      <c r="A147">
        <v>8089666</v>
      </c>
      <c r="B147" s="62" t="s">
        <v>2039</v>
      </c>
      <c r="C147" t="s">
        <v>2131</v>
      </c>
      <c r="D147">
        <v>5</v>
      </c>
    </row>
    <row r="148" spans="1:4" x14ac:dyDescent="0.25">
      <c r="A148">
        <v>8103536</v>
      </c>
      <c r="B148" s="62" t="s">
        <v>2039</v>
      </c>
      <c r="C148" t="s">
        <v>1070</v>
      </c>
      <c r="D148">
        <v>1</v>
      </c>
    </row>
    <row r="149" spans="1:4" x14ac:dyDescent="0.25">
      <c r="A149">
        <v>8124816</v>
      </c>
      <c r="B149" s="62" t="s">
        <v>2039</v>
      </c>
      <c r="C149" t="s">
        <v>2132</v>
      </c>
      <c r="D149">
        <v>5</v>
      </c>
    </row>
    <row r="150" spans="1:4" x14ac:dyDescent="0.25">
      <c r="A150">
        <v>9003267</v>
      </c>
      <c r="B150" s="62" t="s">
        <v>2039</v>
      </c>
      <c r="C150" t="s">
        <v>2133</v>
      </c>
      <c r="D150">
        <v>6</v>
      </c>
    </row>
    <row r="151" spans="1:4" x14ac:dyDescent="0.25">
      <c r="A151">
        <v>9036964</v>
      </c>
      <c r="B151" s="62" t="s">
        <v>2039</v>
      </c>
      <c r="C151" t="s">
        <v>2134</v>
      </c>
      <c r="D151">
        <v>7</v>
      </c>
    </row>
    <row r="152" spans="1:4" x14ac:dyDescent="0.25">
      <c r="A152">
        <v>9090287</v>
      </c>
      <c r="B152" s="62" t="s">
        <v>2039</v>
      </c>
      <c r="C152" t="s">
        <v>2135</v>
      </c>
      <c r="D152">
        <v>5</v>
      </c>
    </row>
    <row r="153" spans="1:4" x14ac:dyDescent="0.25">
      <c r="A153">
        <v>9104979</v>
      </c>
      <c r="B153" s="62" t="s">
        <v>2039</v>
      </c>
      <c r="C153" t="s">
        <v>2136</v>
      </c>
      <c r="D153">
        <v>6</v>
      </c>
    </row>
    <row r="154" spans="1:4" x14ac:dyDescent="0.25">
      <c r="A154">
        <v>9139514</v>
      </c>
      <c r="B154" s="62" t="s">
        <v>2039</v>
      </c>
      <c r="C154" t="s">
        <v>2137</v>
      </c>
      <c r="D154">
        <v>5</v>
      </c>
    </row>
    <row r="155" spans="1:4" x14ac:dyDescent="0.25">
      <c r="A155">
        <v>10020659</v>
      </c>
      <c r="B155" s="62" t="s">
        <v>2039</v>
      </c>
      <c r="C155" t="s">
        <v>2138</v>
      </c>
      <c r="D155">
        <v>4</v>
      </c>
    </row>
    <row r="156" spans="1:4" x14ac:dyDescent="0.25">
      <c r="A156">
        <v>10025902</v>
      </c>
      <c r="B156" s="62" t="s">
        <v>2039</v>
      </c>
      <c r="C156" t="s">
        <v>2139</v>
      </c>
      <c r="D156">
        <v>6</v>
      </c>
    </row>
    <row r="157" spans="1:4" x14ac:dyDescent="0.25">
      <c r="A157">
        <v>10027654</v>
      </c>
      <c r="B157" s="62" t="s">
        <v>2039</v>
      </c>
      <c r="C157" t="s">
        <v>2140</v>
      </c>
      <c r="D157">
        <v>4</v>
      </c>
    </row>
    <row r="158" spans="1:4" x14ac:dyDescent="0.25">
      <c r="A158">
        <v>10084485</v>
      </c>
      <c r="B158" s="62" t="s">
        <v>2039</v>
      </c>
      <c r="C158" t="s">
        <v>584</v>
      </c>
      <c r="D158">
        <v>1</v>
      </c>
    </row>
    <row r="159" spans="1:4" x14ac:dyDescent="0.25">
      <c r="A159">
        <v>10098420</v>
      </c>
      <c r="B159" s="62" t="s">
        <v>2039</v>
      </c>
      <c r="C159" t="s">
        <v>2141</v>
      </c>
      <c r="D159">
        <v>3</v>
      </c>
    </row>
    <row r="160" spans="1:4" x14ac:dyDescent="0.25">
      <c r="A160">
        <v>10129565</v>
      </c>
      <c r="B160" s="62" t="s">
        <v>2039</v>
      </c>
      <c r="C160" t="s">
        <v>2142</v>
      </c>
      <c r="D160">
        <v>4</v>
      </c>
    </row>
    <row r="161" spans="1:4" x14ac:dyDescent="0.25">
      <c r="A161">
        <v>10146828</v>
      </c>
      <c r="B161" s="62" t="s">
        <v>2039</v>
      </c>
      <c r="C161" t="s">
        <v>2143</v>
      </c>
      <c r="D161">
        <v>4</v>
      </c>
    </row>
    <row r="162" spans="1:4" x14ac:dyDescent="0.25">
      <c r="A162">
        <v>10173664</v>
      </c>
      <c r="B162" s="62" t="s">
        <v>2039</v>
      </c>
      <c r="C162" t="s">
        <v>2144</v>
      </c>
      <c r="D162">
        <v>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B1AC-2C5C-4D5B-8636-332855009894}">
  <dimension ref="A1:CS239"/>
  <sheetViews>
    <sheetView workbookViewId="0">
      <selection activeCell="C25" sqref="C25"/>
    </sheetView>
  </sheetViews>
  <sheetFormatPr baseColWidth="10" defaultRowHeight="15" x14ac:dyDescent="0.25"/>
  <cols>
    <col min="1" max="1" width="17.140625" customWidth="1"/>
    <col min="2" max="5" width="38.7109375" customWidth="1"/>
    <col min="6" max="13" width="33.28515625" customWidth="1"/>
    <col min="14" max="14" width="37.7109375" customWidth="1"/>
    <col min="15" max="17" width="33.28515625" customWidth="1"/>
    <col min="18" max="23" width="32.28515625" customWidth="1"/>
    <col min="24" max="24" width="36.7109375" customWidth="1"/>
    <col min="25" max="25" width="32.28515625" customWidth="1"/>
    <col min="26" max="26" width="31.140625" customWidth="1"/>
    <col min="27" max="27" width="23.28515625" customWidth="1"/>
    <col min="28" max="28" width="47.7109375" customWidth="1"/>
    <col min="31" max="31" width="14.42578125" customWidth="1"/>
    <col min="34" max="34" width="14.42578125" customWidth="1"/>
    <col min="35" max="36" width="12.140625" customWidth="1"/>
    <col min="37" max="37" width="17" customWidth="1"/>
    <col min="38" max="39" width="12.140625" customWidth="1"/>
    <col min="40" max="40" width="17" customWidth="1"/>
    <col min="41" max="43" width="12.140625" customWidth="1"/>
    <col min="44" max="44" width="17" customWidth="1"/>
    <col min="45" max="47" width="12.140625" customWidth="1"/>
    <col min="48" max="48" width="17" customWidth="1"/>
    <col min="49" max="52" width="12.140625" customWidth="1"/>
    <col min="53" max="53" width="17" customWidth="1"/>
    <col min="54" max="55" width="12.140625" customWidth="1"/>
    <col min="56" max="56" width="14.85546875" customWidth="1"/>
    <col min="57" max="58" width="19.7109375" customWidth="1"/>
    <col min="59" max="66" width="14.85546875" customWidth="1"/>
    <col min="67" max="77" width="19.7109375" customWidth="1"/>
    <col min="78" max="87" width="14.85546875" customWidth="1"/>
    <col min="88" max="88" width="19.7109375" customWidth="1"/>
    <col min="89" max="91" width="14.85546875" customWidth="1"/>
    <col min="92" max="97" width="19.7109375" customWidth="1"/>
  </cols>
  <sheetData>
    <row r="1" spans="1:97" ht="90" x14ac:dyDescent="0.25">
      <c r="A1" s="57" t="s">
        <v>43</v>
      </c>
      <c r="B1" s="58" t="s">
        <v>1790</v>
      </c>
      <c r="C1" s="58" t="s">
        <v>1774</v>
      </c>
      <c r="D1" s="58" t="s">
        <v>1775</v>
      </c>
      <c r="E1" s="58" t="s">
        <v>1083</v>
      </c>
      <c r="F1" s="58" t="s">
        <v>1796</v>
      </c>
      <c r="G1" s="58" t="s">
        <v>1605</v>
      </c>
      <c r="H1" s="58" t="s">
        <v>1791</v>
      </c>
      <c r="I1" s="58" t="s">
        <v>902</v>
      </c>
      <c r="J1" s="58" t="s">
        <v>1795</v>
      </c>
      <c r="K1" s="58" t="s">
        <v>1613</v>
      </c>
      <c r="L1" s="58" t="s">
        <v>871</v>
      </c>
      <c r="M1" s="58" t="s">
        <v>903</v>
      </c>
      <c r="N1" s="58" t="s">
        <v>1084</v>
      </c>
      <c r="O1" s="58" t="s">
        <v>1336</v>
      </c>
      <c r="P1" s="58" t="s">
        <v>1436</v>
      </c>
      <c r="Q1" s="58" t="s">
        <v>1379</v>
      </c>
      <c r="R1" s="58" t="s">
        <v>954</v>
      </c>
      <c r="S1" s="58" t="s">
        <v>1437</v>
      </c>
      <c r="T1" s="58" t="s">
        <v>763</v>
      </c>
      <c r="U1" s="58" t="s">
        <v>1359</v>
      </c>
      <c r="V1" s="58" t="s">
        <v>1337</v>
      </c>
      <c r="W1" s="58" t="s">
        <v>1338</v>
      </c>
      <c r="X1" s="58" t="s">
        <v>1085</v>
      </c>
      <c r="Y1" s="58" t="s">
        <v>762</v>
      </c>
      <c r="Z1" s="58" t="s">
        <v>1563</v>
      </c>
      <c r="AA1" s="58" t="s">
        <v>41</v>
      </c>
      <c r="AB1" s="59" t="s">
        <v>720</v>
      </c>
      <c r="AC1" s="58" t="s">
        <v>19</v>
      </c>
      <c r="AD1" s="58" t="s">
        <v>21</v>
      </c>
      <c r="AE1" s="58" t="s">
        <v>1087</v>
      </c>
      <c r="AF1" s="58" t="s">
        <v>1086</v>
      </c>
      <c r="AG1" s="58" t="s">
        <v>22</v>
      </c>
      <c r="AH1" s="58" t="s">
        <v>1088</v>
      </c>
      <c r="AI1" s="58" t="s">
        <v>51</v>
      </c>
      <c r="AJ1" s="58" t="s">
        <v>517</v>
      </c>
      <c r="AK1" s="58" t="s">
        <v>1089</v>
      </c>
      <c r="AL1" s="58" t="s">
        <v>47</v>
      </c>
      <c r="AM1" s="58" t="s">
        <v>52</v>
      </c>
      <c r="AN1" s="58" t="s">
        <v>1090</v>
      </c>
      <c r="AO1" s="58" t="s">
        <v>125</v>
      </c>
      <c r="AP1" s="58" t="s">
        <v>18</v>
      </c>
      <c r="AQ1" s="58" t="s">
        <v>20</v>
      </c>
      <c r="AR1" s="58" t="s">
        <v>1091</v>
      </c>
      <c r="AS1" s="58" t="s">
        <v>712</v>
      </c>
      <c r="AT1" s="58" t="s">
        <v>1015</v>
      </c>
      <c r="AU1" s="58" t="s">
        <v>785</v>
      </c>
      <c r="AV1" s="58" t="s">
        <v>1092</v>
      </c>
      <c r="AW1" s="58" t="s">
        <v>723</v>
      </c>
      <c r="AX1" s="58" t="s">
        <v>1016</v>
      </c>
      <c r="AY1" s="58" t="s">
        <v>1028</v>
      </c>
      <c r="AZ1" s="58" t="s">
        <v>1556</v>
      </c>
      <c r="BA1" s="58" t="s">
        <v>1093</v>
      </c>
      <c r="BB1" s="58" t="s">
        <v>1566</v>
      </c>
      <c r="BC1" s="58" t="s">
        <v>881</v>
      </c>
      <c r="BD1" s="58" t="s">
        <v>963</v>
      </c>
      <c r="BE1" s="58" t="s">
        <v>1094</v>
      </c>
      <c r="BF1" s="58" t="s">
        <v>1104</v>
      </c>
      <c r="BG1" s="58" t="s">
        <v>1342</v>
      </c>
      <c r="BH1" s="58" t="s">
        <v>1105</v>
      </c>
      <c r="BI1" s="58" t="s">
        <v>1769</v>
      </c>
      <c r="BJ1" s="58" t="s">
        <v>1592</v>
      </c>
      <c r="BK1" s="58" t="s">
        <v>872</v>
      </c>
      <c r="BL1" s="58" t="s">
        <v>1595</v>
      </c>
      <c r="BM1" s="58" t="s">
        <v>1593</v>
      </c>
      <c r="BN1" s="58" t="s">
        <v>791</v>
      </c>
      <c r="BO1" s="58" t="s">
        <v>1095</v>
      </c>
      <c r="BP1" s="58" t="s">
        <v>1601</v>
      </c>
      <c r="BQ1" s="58" t="s">
        <v>1579</v>
      </c>
      <c r="BR1" s="58" t="s">
        <v>1583</v>
      </c>
      <c r="BS1" s="58" t="s">
        <v>1527</v>
      </c>
      <c r="BT1" s="58" t="s">
        <v>1580</v>
      </c>
      <c r="BU1" s="58" t="s">
        <v>1512</v>
      </c>
      <c r="BV1" s="58" t="s">
        <v>1581</v>
      </c>
      <c r="BW1" s="58" t="s">
        <v>1709</v>
      </c>
      <c r="BX1" s="58" t="s">
        <v>1710</v>
      </c>
      <c r="BY1" s="58" t="s">
        <v>1582</v>
      </c>
      <c r="BZ1" s="58" t="s">
        <v>1711</v>
      </c>
      <c r="CA1" s="58" t="s">
        <v>1596</v>
      </c>
      <c r="CB1" s="58" t="s">
        <v>888</v>
      </c>
      <c r="CC1" s="58" t="s">
        <v>964</v>
      </c>
      <c r="CD1" s="58" t="s">
        <v>1618</v>
      </c>
      <c r="CE1" s="58" t="s">
        <v>1727</v>
      </c>
      <c r="CF1" s="58" t="s">
        <v>1557</v>
      </c>
      <c r="CG1" s="58" t="s">
        <v>1103</v>
      </c>
      <c r="CH1" s="58" t="s">
        <v>1343</v>
      </c>
      <c r="CI1" s="58" t="s">
        <v>1528</v>
      </c>
      <c r="CJ1" s="58" t="s">
        <v>1096</v>
      </c>
      <c r="CK1" s="58" t="s">
        <v>938</v>
      </c>
      <c r="CL1" s="58" t="s">
        <v>939</v>
      </c>
      <c r="CM1" s="58" t="s">
        <v>1610</v>
      </c>
      <c r="CN1" s="58" t="s">
        <v>1097</v>
      </c>
      <c r="CO1" s="58" t="s">
        <v>1529</v>
      </c>
      <c r="CP1" s="58" t="s">
        <v>1513</v>
      </c>
      <c r="CQ1" s="58" t="s">
        <v>1619</v>
      </c>
      <c r="CR1" s="58" t="s">
        <v>1514</v>
      </c>
      <c r="CS1" s="58" t="s">
        <v>1620</v>
      </c>
    </row>
    <row r="2" spans="1:97" x14ac:dyDescent="0.25">
      <c r="A2" s="40" t="s">
        <v>512</v>
      </c>
    </row>
    <row r="3" spans="1:97" x14ac:dyDescent="0.25">
      <c r="A3" s="10" t="s">
        <v>1868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</row>
    <row r="4" spans="1:97" x14ac:dyDescent="0.25">
      <c r="A4" s="48">
        <v>7072184</v>
      </c>
      <c r="B4" s="6"/>
      <c r="C4" s="6"/>
      <c r="D4" s="6"/>
      <c r="AA4">
        <v>190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</row>
    <row r="5" spans="1:97" x14ac:dyDescent="0.25">
      <c r="A5" s="48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</row>
    <row r="6" spans="1:97" x14ac:dyDescent="0.25">
      <c r="A6" s="48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</row>
    <row r="7" spans="1:97" x14ac:dyDescent="0.25">
      <c r="A7" s="48">
        <v>95005911</v>
      </c>
      <c r="AA7">
        <v>40</v>
      </c>
    </row>
    <row r="8" spans="1:97" x14ac:dyDescent="0.25">
      <c r="A8" s="48">
        <v>99001908</v>
      </c>
    </row>
    <row r="9" spans="1:97" x14ac:dyDescent="0.25">
      <c r="A9" s="48">
        <v>99004067</v>
      </c>
      <c r="AA9">
        <v>22</v>
      </c>
    </row>
    <row r="10" spans="1:97" x14ac:dyDescent="0.25">
      <c r="A10" s="48">
        <v>97002136</v>
      </c>
      <c r="AA10">
        <v>44</v>
      </c>
    </row>
    <row r="11" spans="1:97" x14ac:dyDescent="0.25">
      <c r="A11" s="48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>
        <v>82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5">
      <c r="A12" s="48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E12" s="6"/>
      <c r="AF12" s="6"/>
      <c r="AG12" s="6"/>
      <c r="AH12" s="6"/>
      <c r="AI12">
        <v>53</v>
      </c>
      <c r="AL12" s="6"/>
      <c r="AM12">
        <v>38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5">
      <c r="A13" s="48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5">
      <c r="A14" s="48"/>
    </row>
    <row r="15" spans="1:97" x14ac:dyDescent="0.25">
      <c r="A15" s="50" t="s">
        <v>1869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5">
      <c r="A16" s="48">
        <v>14242856</v>
      </c>
      <c r="B16" s="6"/>
      <c r="C16" s="6"/>
      <c r="D16" s="6"/>
      <c r="AA16">
        <v>145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5">
      <c r="A17" s="48">
        <v>99001183</v>
      </c>
      <c r="B17" s="6"/>
      <c r="C17" s="6"/>
      <c r="D17" s="6"/>
      <c r="AB17" s="6"/>
      <c r="AC17" s="6"/>
      <c r="AD17" s="6"/>
      <c r="AE17" s="6"/>
      <c r="AF17" s="6"/>
      <c r="AG17" s="6"/>
      <c r="AH17" s="6"/>
      <c r="AI17" s="6">
        <v>23</v>
      </c>
      <c r="AJ17" s="6"/>
      <c r="AK17" s="6"/>
      <c r="AL17" s="6"/>
      <c r="AM17" s="6"/>
      <c r="AN17" s="6"/>
      <c r="AO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5">
      <c r="A18" s="4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>
        <v>28</v>
      </c>
      <c r="AG18">
        <v>241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>
        <v>264</v>
      </c>
    </row>
    <row r="19" spans="1:97" x14ac:dyDescent="0.25">
      <c r="A19" s="48">
        <v>10064335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>
        <v>52</v>
      </c>
      <c r="AP19">
        <v>101</v>
      </c>
      <c r="AQ19" s="6"/>
      <c r="AR19">
        <v>113</v>
      </c>
      <c r="BD19">
        <v>32</v>
      </c>
      <c r="BE19">
        <v>32</v>
      </c>
    </row>
    <row r="20" spans="1:97" x14ac:dyDescent="0.25">
      <c r="A20" s="49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5">
      <c r="A21" s="50" t="s">
        <v>1870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5">
      <c r="A22" s="48">
        <v>1480</v>
      </c>
      <c r="AB22">
        <v>24</v>
      </c>
      <c r="AG22">
        <v>24</v>
      </c>
    </row>
    <row r="23" spans="1:97" x14ac:dyDescent="0.25">
      <c r="A23" s="48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5">
      <c r="A24" s="48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27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5">
      <c r="A25" s="48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>
        <v>26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5">
      <c r="A26" s="48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>
        <v>65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x14ac:dyDescent="0.25">
      <c r="A27" s="48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5">
      <c r="A28" s="4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>
        <v>28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5">
      <c r="A29" s="48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>
        <v>30</v>
      </c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5">
      <c r="A30" s="48">
        <v>99000897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>
        <v>37</v>
      </c>
    </row>
    <row r="31" spans="1:97" x14ac:dyDescent="0.25">
      <c r="A31" s="48">
        <v>99001245</v>
      </c>
    </row>
    <row r="32" spans="1:97" x14ac:dyDescent="0.25">
      <c r="A32" s="48">
        <v>99001902</v>
      </c>
      <c r="AD32">
        <v>29</v>
      </c>
    </row>
    <row r="33" spans="1:97" x14ac:dyDescent="0.25">
      <c r="A33" s="48">
        <v>99001912</v>
      </c>
      <c r="AG33">
        <v>147</v>
      </c>
    </row>
    <row r="34" spans="1:97" x14ac:dyDescent="0.25">
      <c r="A34" s="48">
        <v>99001913</v>
      </c>
      <c r="AD34">
        <v>24</v>
      </c>
    </row>
    <row r="35" spans="1:97" x14ac:dyDescent="0.25">
      <c r="A35" s="48">
        <v>99001937</v>
      </c>
      <c r="AI35">
        <v>48</v>
      </c>
    </row>
    <row r="36" spans="1:97" x14ac:dyDescent="0.25">
      <c r="A36" s="48">
        <v>99001943</v>
      </c>
      <c r="AR36">
        <v>27</v>
      </c>
    </row>
    <row r="37" spans="1:97" x14ac:dyDescent="0.25">
      <c r="A37" s="48">
        <v>99001927</v>
      </c>
      <c r="AA37">
        <v>2880</v>
      </c>
    </row>
    <row r="38" spans="1:97" x14ac:dyDescent="0.25">
      <c r="A38" s="4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>
        <v>32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5">
      <c r="A39" s="48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H39">
        <v>64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5">
      <c r="A40" s="48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>
        <v>1496</v>
      </c>
      <c r="AD40">
        <v>1029</v>
      </c>
      <c r="AE40">
        <v>630</v>
      </c>
      <c r="AF40" s="6"/>
      <c r="AG40">
        <v>356</v>
      </c>
      <c r="AI40" s="6"/>
      <c r="AJ40" s="6"/>
      <c r="AK40" s="6"/>
      <c r="AL40" s="6"/>
      <c r="AM40">
        <v>18</v>
      </c>
      <c r="AO40">
        <v>19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5">
      <c r="A41" s="48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5">
      <c r="A42" s="48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>
        <v>30</v>
      </c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5">
      <c r="A43" s="4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5">
      <c r="A44" s="25" t="s">
        <v>129</v>
      </c>
    </row>
    <row r="45" spans="1:97" x14ac:dyDescent="0.25">
      <c r="A45" s="50" t="s">
        <v>106</v>
      </c>
    </row>
    <row r="46" spans="1:97" x14ac:dyDescent="0.25">
      <c r="A46" s="48">
        <v>6016435</v>
      </c>
    </row>
    <row r="47" spans="1:97" x14ac:dyDescent="0.25">
      <c r="A47" s="48">
        <v>8045149</v>
      </c>
    </row>
    <row r="48" spans="1:97" x14ac:dyDescent="0.25">
      <c r="A48" s="48">
        <v>10023001</v>
      </c>
    </row>
    <row r="49" spans="1:85" x14ac:dyDescent="0.25">
      <c r="A49" s="48">
        <v>10027526</v>
      </c>
    </row>
    <row r="50" spans="1:85" x14ac:dyDescent="0.25">
      <c r="A50" s="48">
        <v>14222171</v>
      </c>
    </row>
    <row r="51" spans="1:85" x14ac:dyDescent="0.25">
      <c r="A51" s="48">
        <v>1006143</v>
      </c>
    </row>
    <row r="52" spans="1:85" x14ac:dyDescent="0.25">
      <c r="A52" s="48">
        <v>6006917</v>
      </c>
      <c r="AA52">
        <v>74</v>
      </c>
    </row>
    <row r="53" spans="1:85" x14ac:dyDescent="0.25">
      <c r="A53" s="48"/>
    </row>
    <row r="54" spans="1:85" x14ac:dyDescent="0.25">
      <c r="A54" s="50" t="s">
        <v>109</v>
      </c>
    </row>
    <row r="55" spans="1:85" x14ac:dyDescent="0.25">
      <c r="A55" s="48">
        <v>8057159</v>
      </c>
      <c r="AH55">
        <v>40</v>
      </c>
      <c r="AJ55">
        <v>50</v>
      </c>
    </row>
    <row r="56" spans="1:85" x14ac:dyDescent="0.25">
      <c r="A56" s="48">
        <v>9140312</v>
      </c>
    </row>
    <row r="57" spans="1:85" x14ac:dyDescent="0.25">
      <c r="A57" s="48">
        <v>12008230</v>
      </c>
    </row>
    <row r="58" spans="1:85" x14ac:dyDescent="0.25">
      <c r="A58" s="48">
        <v>12088444</v>
      </c>
      <c r="AE58">
        <v>44</v>
      </c>
      <c r="AK58">
        <v>70</v>
      </c>
      <c r="CG58">
        <v>36</v>
      </c>
    </row>
    <row r="59" spans="1:85" x14ac:dyDescent="0.25">
      <c r="A59" s="48">
        <v>13118872</v>
      </c>
    </row>
    <row r="60" spans="1:85" x14ac:dyDescent="0.25">
      <c r="A60" s="48">
        <v>12012030</v>
      </c>
    </row>
    <row r="61" spans="1:85" x14ac:dyDescent="0.25">
      <c r="A61" s="48"/>
    </row>
    <row r="62" spans="1:85" x14ac:dyDescent="0.25">
      <c r="A62" s="50" t="s">
        <v>83</v>
      </c>
    </row>
    <row r="63" spans="1:85" x14ac:dyDescent="0.25">
      <c r="A63" s="48">
        <v>9074418</v>
      </c>
    </row>
    <row r="64" spans="1:85" x14ac:dyDescent="0.25">
      <c r="A64" s="48">
        <v>1263</v>
      </c>
    </row>
    <row r="65" spans="1:97" x14ac:dyDescent="0.25">
      <c r="A65" s="48">
        <v>98004910</v>
      </c>
      <c r="AA65">
        <v>82</v>
      </c>
    </row>
    <row r="66" spans="1:97" x14ac:dyDescent="0.25">
      <c r="A66" s="48">
        <v>7103068</v>
      </c>
    </row>
    <row r="67" spans="1:97" x14ac:dyDescent="0.25">
      <c r="A67" s="48">
        <v>11240728</v>
      </c>
      <c r="AB67">
        <v>156</v>
      </c>
      <c r="AC67">
        <v>151.80000000000001</v>
      </c>
      <c r="AE67">
        <v>161.4</v>
      </c>
      <c r="AH67">
        <v>91.8</v>
      </c>
    </row>
    <row r="68" spans="1:97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5">
      <c r="A69" s="26" t="s">
        <v>130</v>
      </c>
    </row>
    <row r="70" spans="1:97" x14ac:dyDescent="0.25">
      <c r="A70" s="10" t="s">
        <v>106</v>
      </c>
    </row>
    <row r="71" spans="1:97" x14ac:dyDescent="0.25">
      <c r="A71" s="48">
        <v>5015869</v>
      </c>
      <c r="AB71">
        <v>898</v>
      </c>
      <c r="AE71">
        <v>774</v>
      </c>
    </row>
    <row r="72" spans="1:97" x14ac:dyDescent="0.25">
      <c r="A72" s="48">
        <v>5016969</v>
      </c>
    </row>
    <row r="73" spans="1:97" x14ac:dyDescent="0.25">
      <c r="A73" s="48">
        <v>6023231</v>
      </c>
    </row>
    <row r="74" spans="1:97" x14ac:dyDescent="0.25">
      <c r="A74" s="48">
        <v>6010712</v>
      </c>
    </row>
    <row r="75" spans="1:97" x14ac:dyDescent="0.25">
      <c r="A75" s="48">
        <v>6011198</v>
      </c>
    </row>
    <row r="76" spans="1:97" x14ac:dyDescent="0.25">
      <c r="A76" s="48">
        <v>6012681</v>
      </c>
    </row>
    <row r="77" spans="1:97" x14ac:dyDescent="0.25">
      <c r="A77" s="48">
        <v>6014511</v>
      </c>
    </row>
    <row r="78" spans="1:97" x14ac:dyDescent="0.25">
      <c r="A78" s="48">
        <v>6045127</v>
      </c>
    </row>
    <row r="79" spans="1:97" x14ac:dyDescent="0.25">
      <c r="A79" s="48">
        <v>7000458</v>
      </c>
      <c r="AG79">
        <v>166</v>
      </c>
    </row>
    <row r="80" spans="1:97" x14ac:dyDescent="0.25">
      <c r="A80" s="48">
        <v>7015502</v>
      </c>
      <c r="AB80">
        <v>114</v>
      </c>
    </row>
    <row r="81" spans="1:60" x14ac:dyDescent="0.25">
      <c r="A81" s="48">
        <v>7025847</v>
      </c>
    </row>
    <row r="82" spans="1:60" x14ac:dyDescent="0.25">
      <c r="A82" s="48">
        <v>7082707</v>
      </c>
      <c r="AN82">
        <v>111</v>
      </c>
    </row>
    <row r="83" spans="1:60" x14ac:dyDescent="0.25">
      <c r="A83" s="48">
        <v>7083159</v>
      </c>
      <c r="AS83">
        <v>1329.6</v>
      </c>
    </row>
    <row r="84" spans="1:60" x14ac:dyDescent="0.25">
      <c r="A84" s="48">
        <v>7084659</v>
      </c>
      <c r="AB84">
        <v>1489.2</v>
      </c>
    </row>
    <row r="85" spans="1:60" x14ac:dyDescent="0.25">
      <c r="A85" s="48">
        <v>7076814</v>
      </c>
    </row>
    <row r="86" spans="1:60" x14ac:dyDescent="0.25">
      <c r="A86" s="48">
        <v>7076815</v>
      </c>
    </row>
    <row r="87" spans="1:60" x14ac:dyDescent="0.25">
      <c r="A87" s="48">
        <v>7089231</v>
      </c>
      <c r="AA87">
        <v>332</v>
      </c>
    </row>
    <row r="88" spans="1:60" x14ac:dyDescent="0.25">
      <c r="A88" s="48">
        <v>7116004</v>
      </c>
      <c r="AB88">
        <v>111</v>
      </c>
    </row>
    <row r="89" spans="1:60" x14ac:dyDescent="0.25">
      <c r="A89" s="48">
        <v>8003819</v>
      </c>
      <c r="AA89">
        <v>80</v>
      </c>
    </row>
    <row r="90" spans="1:60" x14ac:dyDescent="0.25">
      <c r="A90" s="48">
        <v>8091779</v>
      </c>
    </row>
    <row r="91" spans="1:60" x14ac:dyDescent="0.25">
      <c r="A91" s="48">
        <v>8097989</v>
      </c>
    </row>
    <row r="92" spans="1:60" x14ac:dyDescent="0.25">
      <c r="A92" s="48">
        <v>8112522</v>
      </c>
      <c r="AI92">
        <v>991</v>
      </c>
      <c r="AK92">
        <v>2315</v>
      </c>
      <c r="AN92">
        <v>370</v>
      </c>
    </row>
    <row r="93" spans="1:60" x14ac:dyDescent="0.25">
      <c r="A93" s="48">
        <v>8127397</v>
      </c>
    </row>
    <row r="94" spans="1:60" x14ac:dyDescent="0.25">
      <c r="A94" s="48">
        <v>8130998</v>
      </c>
      <c r="AB94">
        <v>238</v>
      </c>
      <c r="AC94">
        <v>416</v>
      </c>
      <c r="AE94">
        <v>279</v>
      </c>
    </row>
    <row r="95" spans="1:60" x14ac:dyDescent="0.25">
      <c r="A95" s="48">
        <v>9002836</v>
      </c>
    </row>
    <row r="96" spans="1:60" x14ac:dyDescent="0.25">
      <c r="A96" s="48">
        <v>9003331</v>
      </c>
      <c r="AW96">
        <v>2323.1999999999998</v>
      </c>
      <c r="BH96">
        <v>1098</v>
      </c>
    </row>
    <row r="97" spans="1:94" x14ac:dyDescent="0.25">
      <c r="A97" s="48">
        <v>9003370</v>
      </c>
      <c r="AB97">
        <v>99</v>
      </c>
    </row>
    <row r="98" spans="1:94" x14ac:dyDescent="0.25">
      <c r="A98" s="48">
        <v>9016278</v>
      </c>
      <c r="T98">
        <v>792</v>
      </c>
      <c r="Y98">
        <v>427.2</v>
      </c>
      <c r="AD98">
        <v>310.8</v>
      </c>
      <c r="AH98">
        <v>291</v>
      </c>
    </row>
    <row r="99" spans="1:94" x14ac:dyDescent="0.25">
      <c r="A99" s="48">
        <v>9030684</v>
      </c>
      <c r="AQ99">
        <v>26.4</v>
      </c>
    </row>
    <row r="100" spans="1:94" x14ac:dyDescent="0.25">
      <c r="A100" s="48">
        <v>9031387</v>
      </c>
      <c r="AW100">
        <v>37.200000000000003</v>
      </c>
    </row>
    <row r="101" spans="1:94" x14ac:dyDescent="0.25">
      <c r="A101" s="48">
        <v>9038676</v>
      </c>
      <c r="AB101">
        <v>11.4</v>
      </c>
    </row>
    <row r="102" spans="1:94" x14ac:dyDescent="0.25">
      <c r="A102" s="48">
        <v>9039416</v>
      </c>
      <c r="AE102">
        <v>22.2</v>
      </c>
    </row>
    <row r="103" spans="1:94" x14ac:dyDescent="0.25">
      <c r="A103" s="48">
        <v>9042861</v>
      </c>
      <c r="AR103">
        <v>52.2</v>
      </c>
      <c r="AU103">
        <v>43.2</v>
      </c>
    </row>
    <row r="104" spans="1:94" x14ac:dyDescent="0.25">
      <c r="A104" s="48">
        <v>9044899</v>
      </c>
      <c r="AB104">
        <v>45</v>
      </c>
      <c r="AD104">
        <v>77</v>
      </c>
      <c r="AG104">
        <v>49</v>
      </c>
      <c r="AJ104">
        <v>42</v>
      </c>
    </row>
    <row r="105" spans="1:94" x14ac:dyDescent="0.25">
      <c r="A105" s="48">
        <v>9052398</v>
      </c>
      <c r="AB105" s="3">
        <v>144.6</v>
      </c>
      <c r="AD105">
        <v>116.4</v>
      </c>
    </row>
    <row r="106" spans="1:94" x14ac:dyDescent="0.25">
      <c r="A106" s="48">
        <v>9085204</v>
      </c>
      <c r="AD106">
        <v>874</v>
      </c>
      <c r="AP106">
        <v>70</v>
      </c>
    </row>
    <row r="107" spans="1:94" x14ac:dyDescent="0.25">
      <c r="A107" s="48">
        <v>9090323</v>
      </c>
    </row>
    <row r="108" spans="1:94" x14ac:dyDescent="0.25">
      <c r="A108" s="48">
        <v>9105492</v>
      </c>
      <c r="AB108">
        <v>80</v>
      </c>
      <c r="AC108">
        <v>512</v>
      </c>
      <c r="AD108">
        <v>750</v>
      </c>
      <c r="AE108">
        <v>574</v>
      </c>
      <c r="AI108">
        <v>223</v>
      </c>
      <c r="AM108">
        <v>97</v>
      </c>
    </row>
    <row r="109" spans="1:94" x14ac:dyDescent="0.25">
      <c r="A109" s="48">
        <v>9138470</v>
      </c>
      <c r="AC109">
        <v>41.2</v>
      </c>
    </row>
    <row r="110" spans="1:94" x14ac:dyDescent="0.25">
      <c r="A110" s="48">
        <v>9150676</v>
      </c>
      <c r="BN110">
        <v>56</v>
      </c>
      <c r="CP110">
        <v>135</v>
      </c>
    </row>
    <row r="111" spans="1:94" x14ac:dyDescent="0.25">
      <c r="A111" s="48">
        <v>10010926</v>
      </c>
      <c r="AB111">
        <v>16.7</v>
      </c>
      <c r="AD111">
        <v>18.399999999999999</v>
      </c>
    </row>
    <row r="112" spans="1:94" x14ac:dyDescent="0.25">
      <c r="A112" s="48">
        <v>10016588</v>
      </c>
    </row>
    <row r="113" spans="1:80" x14ac:dyDescent="0.25">
      <c r="A113" s="48">
        <v>10030897</v>
      </c>
      <c r="L113">
        <v>24</v>
      </c>
      <c r="AB113">
        <v>224</v>
      </c>
      <c r="AG113">
        <v>118</v>
      </c>
      <c r="AO113">
        <v>68</v>
      </c>
      <c r="BE113">
        <v>136</v>
      </c>
      <c r="BK113">
        <v>36</v>
      </c>
    </row>
    <row r="114" spans="1:80" x14ac:dyDescent="0.25">
      <c r="A114" s="48">
        <v>324</v>
      </c>
      <c r="AB114">
        <v>33.5</v>
      </c>
      <c r="BC114">
        <v>14.5</v>
      </c>
    </row>
    <row r="115" spans="1:80" x14ac:dyDescent="0.25">
      <c r="A115" s="48">
        <v>3909</v>
      </c>
      <c r="AF115">
        <v>570</v>
      </c>
      <c r="CB115">
        <v>158</v>
      </c>
    </row>
    <row r="116" spans="1:80" x14ac:dyDescent="0.25">
      <c r="A116" s="48">
        <v>4663</v>
      </c>
      <c r="N116">
        <v>29.4</v>
      </c>
      <c r="AL116" s="48"/>
      <c r="AM116" s="48"/>
      <c r="AN116" s="48"/>
      <c r="AO116" s="48"/>
      <c r="AP116" s="48"/>
      <c r="AQ116" s="48"/>
    </row>
    <row r="117" spans="1:80" x14ac:dyDescent="0.25">
      <c r="A117" s="48">
        <v>1005522</v>
      </c>
      <c r="I117">
        <v>10</v>
      </c>
      <c r="M117">
        <v>13</v>
      </c>
      <c r="AB117">
        <v>63</v>
      </c>
      <c r="AP117">
        <v>13</v>
      </c>
    </row>
    <row r="118" spans="1:80" x14ac:dyDescent="0.25">
      <c r="A118" s="48">
        <v>1007631</v>
      </c>
      <c r="AC118">
        <v>50</v>
      </c>
      <c r="AJ118">
        <v>16</v>
      </c>
      <c r="AM118">
        <v>71</v>
      </c>
      <c r="BA118">
        <v>27</v>
      </c>
    </row>
    <row r="119" spans="1:80" x14ac:dyDescent="0.25">
      <c r="A119" s="48">
        <v>1009760</v>
      </c>
      <c r="AE119">
        <v>976.6</v>
      </c>
      <c r="AG119">
        <v>794.2</v>
      </c>
      <c r="AK119">
        <v>755.4</v>
      </c>
      <c r="AM119">
        <v>852.1</v>
      </c>
      <c r="AQ119">
        <v>623.29999999999995</v>
      </c>
    </row>
    <row r="120" spans="1:80" x14ac:dyDescent="0.25">
      <c r="A120" s="48">
        <v>2000646</v>
      </c>
      <c r="AB120">
        <v>203</v>
      </c>
      <c r="AC120">
        <v>293</v>
      </c>
      <c r="AJ120">
        <v>68</v>
      </c>
      <c r="AK120">
        <v>61</v>
      </c>
      <c r="AL120">
        <v>61</v>
      </c>
    </row>
    <row r="121" spans="1:80" x14ac:dyDescent="0.25">
      <c r="A121" s="48">
        <v>2003761</v>
      </c>
    </row>
    <row r="122" spans="1:80" x14ac:dyDescent="0.25">
      <c r="A122" s="48">
        <v>2004061</v>
      </c>
    </row>
    <row r="123" spans="1:80" x14ac:dyDescent="0.25">
      <c r="A123" s="48">
        <v>2006469</v>
      </c>
      <c r="AA123">
        <v>399</v>
      </c>
      <c r="AB123">
        <v>196</v>
      </c>
    </row>
    <row r="124" spans="1:80" x14ac:dyDescent="0.25">
      <c r="A124" s="48">
        <v>3005132</v>
      </c>
    </row>
    <row r="125" spans="1:80" x14ac:dyDescent="0.25">
      <c r="A125" s="48">
        <v>3009119</v>
      </c>
      <c r="AB125">
        <v>150</v>
      </c>
    </row>
    <row r="126" spans="1:80" x14ac:dyDescent="0.25">
      <c r="A126" s="48">
        <v>3009936</v>
      </c>
    </row>
    <row r="127" spans="1:80" x14ac:dyDescent="0.25">
      <c r="A127" s="48">
        <v>3011094</v>
      </c>
    </row>
    <row r="128" spans="1:80" x14ac:dyDescent="0.25">
      <c r="A128" s="48">
        <v>3014643</v>
      </c>
      <c r="AB128">
        <v>143</v>
      </c>
      <c r="AS128">
        <v>43</v>
      </c>
      <c r="BO128">
        <v>15.7</v>
      </c>
    </row>
    <row r="129" spans="1:90" x14ac:dyDescent="0.25">
      <c r="A129" s="48">
        <v>3016056</v>
      </c>
      <c r="AB129">
        <v>147</v>
      </c>
      <c r="CK129">
        <v>213</v>
      </c>
      <c r="CL129">
        <v>180</v>
      </c>
    </row>
    <row r="130" spans="1:90" x14ac:dyDescent="0.25">
      <c r="A130" s="48">
        <v>3900219</v>
      </c>
      <c r="R130">
        <v>19</v>
      </c>
      <c r="T130">
        <v>19</v>
      </c>
      <c r="AB130">
        <v>24</v>
      </c>
      <c r="AQ130">
        <v>28</v>
      </c>
    </row>
    <row r="131" spans="1:90" x14ac:dyDescent="0.25">
      <c r="A131" s="48">
        <v>4000158</v>
      </c>
      <c r="AC131">
        <v>83.4</v>
      </c>
      <c r="AD131">
        <v>76.8</v>
      </c>
      <c r="AL131">
        <v>24</v>
      </c>
    </row>
    <row r="132" spans="1:90" x14ac:dyDescent="0.25">
      <c r="A132" s="48">
        <v>4000304</v>
      </c>
      <c r="AB132">
        <v>1104</v>
      </c>
    </row>
    <row r="133" spans="1:90" x14ac:dyDescent="0.25">
      <c r="A133" s="48">
        <v>4001905</v>
      </c>
    </row>
    <row r="134" spans="1:90" x14ac:dyDescent="0.25">
      <c r="A134" s="48">
        <v>4002206</v>
      </c>
      <c r="AB134">
        <v>25.8</v>
      </c>
    </row>
    <row r="135" spans="1:90" x14ac:dyDescent="0.25">
      <c r="A135" s="48">
        <v>4002715</v>
      </c>
    </row>
    <row r="136" spans="1:90" x14ac:dyDescent="0.25">
      <c r="A136" s="48">
        <v>4003924</v>
      </c>
      <c r="AC136">
        <v>1276</v>
      </c>
    </row>
    <row r="137" spans="1:90" x14ac:dyDescent="0.25">
      <c r="A137" s="48">
        <v>4006051</v>
      </c>
    </row>
    <row r="138" spans="1:90" x14ac:dyDescent="0.25">
      <c r="A138" s="48">
        <v>4008140</v>
      </c>
      <c r="AA138">
        <v>291</v>
      </c>
    </row>
    <row r="139" spans="1:90" x14ac:dyDescent="0.25">
      <c r="A139" s="48">
        <v>4009906</v>
      </c>
      <c r="AC139">
        <v>32</v>
      </c>
      <c r="BD139">
        <v>26</v>
      </c>
      <c r="CC139">
        <v>24</v>
      </c>
      <c r="CJ139">
        <v>46</v>
      </c>
    </row>
    <row r="140" spans="1:90" x14ac:dyDescent="0.25">
      <c r="A140" s="48">
        <v>4011027</v>
      </c>
      <c r="AC140" s="3">
        <v>23.4</v>
      </c>
      <c r="AD140">
        <v>24</v>
      </c>
    </row>
    <row r="141" spans="1:90" x14ac:dyDescent="0.25">
      <c r="A141" s="48">
        <v>4011920</v>
      </c>
      <c r="AB141">
        <v>625</v>
      </c>
      <c r="AM141">
        <v>76</v>
      </c>
      <c r="AW141">
        <v>17</v>
      </c>
    </row>
    <row r="142" spans="1:90" x14ac:dyDescent="0.25">
      <c r="A142" s="48">
        <v>4012248</v>
      </c>
      <c r="AB142">
        <v>285</v>
      </c>
      <c r="AC142">
        <v>256</v>
      </c>
      <c r="AE142">
        <v>180</v>
      </c>
      <c r="AJ142">
        <v>171</v>
      </c>
      <c r="AO142">
        <v>86</v>
      </c>
      <c r="AV142">
        <v>45</v>
      </c>
      <c r="BF142">
        <v>33</v>
      </c>
    </row>
    <row r="143" spans="1:90" x14ac:dyDescent="0.25">
      <c r="A143" s="48">
        <v>4013603</v>
      </c>
      <c r="AB143">
        <v>120</v>
      </c>
    </row>
    <row r="144" spans="1:90" x14ac:dyDescent="0.25">
      <c r="A144" s="48">
        <v>5004654</v>
      </c>
      <c r="AC144">
        <v>2002</v>
      </c>
      <c r="AD144">
        <v>2444</v>
      </c>
      <c r="AE144">
        <v>2265</v>
      </c>
      <c r="AF144">
        <v>3468</v>
      </c>
      <c r="AG144">
        <v>2847</v>
      </c>
      <c r="AH144">
        <v>2301</v>
      </c>
      <c r="AJ144">
        <v>1462</v>
      </c>
      <c r="AL144">
        <v>764</v>
      </c>
      <c r="AP144">
        <v>294</v>
      </c>
      <c r="AR144">
        <v>181</v>
      </c>
    </row>
    <row r="145" spans="1:96" x14ac:dyDescent="0.25">
      <c r="A145" s="52"/>
    </row>
    <row r="146" spans="1:96" x14ac:dyDescent="0.25">
      <c r="A146" s="50" t="s">
        <v>109</v>
      </c>
    </row>
    <row r="147" spans="1:96" x14ac:dyDescent="0.25">
      <c r="A147" s="48">
        <v>4289</v>
      </c>
      <c r="AC147">
        <v>72</v>
      </c>
      <c r="AD147">
        <v>1242</v>
      </c>
    </row>
    <row r="148" spans="1:96" x14ac:dyDescent="0.25">
      <c r="A148" s="48">
        <v>500245</v>
      </c>
      <c r="AB148">
        <v>147</v>
      </c>
      <c r="AC148">
        <v>182</v>
      </c>
      <c r="AD148">
        <v>381.7</v>
      </c>
      <c r="AE148">
        <v>335.2</v>
      </c>
      <c r="AG148">
        <v>225.1</v>
      </c>
      <c r="AK148">
        <v>176.5</v>
      </c>
    </row>
    <row r="149" spans="1:96" x14ac:dyDescent="0.25">
      <c r="A149" s="48">
        <v>2002573</v>
      </c>
      <c r="AI149">
        <v>583</v>
      </c>
      <c r="AN149">
        <v>432</v>
      </c>
      <c r="AR149">
        <v>774</v>
      </c>
    </row>
    <row r="150" spans="1:96" x14ac:dyDescent="0.25">
      <c r="A150" s="48">
        <v>2003539</v>
      </c>
    </row>
    <row r="151" spans="1:96" x14ac:dyDescent="0.25">
      <c r="A151" s="48">
        <v>2003649</v>
      </c>
      <c r="E151">
        <v>65.400000000000006</v>
      </c>
      <c r="T151">
        <v>39</v>
      </c>
      <c r="AB151">
        <v>48.6</v>
      </c>
      <c r="AI151">
        <v>31.8</v>
      </c>
      <c r="AN151">
        <v>26.4</v>
      </c>
      <c r="AS151">
        <v>65.400000000000006</v>
      </c>
      <c r="CC151">
        <v>39</v>
      </c>
    </row>
    <row r="152" spans="1:96" x14ac:dyDescent="0.25">
      <c r="A152" s="48">
        <v>2005572</v>
      </c>
      <c r="AB152">
        <v>863</v>
      </c>
      <c r="AD152">
        <v>437</v>
      </c>
      <c r="AG152">
        <v>145</v>
      </c>
    </row>
    <row r="153" spans="1:96" x14ac:dyDescent="0.25">
      <c r="A153" s="48">
        <v>2013117</v>
      </c>
      <c r="AA153">
        <v>1280</v>
      </c>
    </row>
    <row r="154" spans="1:96" x14ac:dyDescent="0.25">
      <c r="A154" s="48">
        <v>3009633</v>
      </c>
      <c r="AP154">
        <v>1805.4</v>
      </c>
      <c r="AT154">
        <v>665.4</v>
      </c>
      <c r="AV154">
        <v>309</v>
      </c>
      <c r="AX154">
        <v>262.8</v>
      </c>
    </row>
    <row r="155" spans="1:96" x14ac:dyDescent="0.25">
      <c r="A155" s="48">
        <v>3010583</v>
      </c>
      <c r="AA155" s="14">
        <v>545</v>
      </c>
      <c r="AB155">
        <v>1004</v>
      </c>
      <c r="BE155">
        <v>1004</v>
      </c>
    </row>
    <row r="156" spans="1:96" x14ac:dyDescent="0.25">
      <c r="A156" s="23">
        <v>3011892</v>
      </c>
      <c r="AK156">
        <v>3062</v>
      </c>
      <c r="AT156">
        <v>526</v>
      </c>
      <c r="AY156">
        <v>248</v>
      </c>
    </row>
    <row r="157" spans="1:96" x14ac:dyDescent="0.25">
      <c r="A157">
        <v>4001382</v>
      </c>
      <c r="AB157">
        <v>916</v>
      </c>
      <c r="AP157" s="14">
        <v>138</v>
      </c>
      <c r="AQ157" s="14">
        <v>119.666</v>
      </c>
    </row>
    <row r="158" spans="1:96" x14ac:dyDescent="0.25">
      <c r="A158" s="48">
        <v>5018675</v>
      </c>
      <c r="AH158">
        <v>1701</v>
      </c>
    </row>
    <row r="159" spans="1:96" x14ac:dyDescent="0.25">
      <c r="A159" s="48">
        <v>6050168</v>
      </c>
      <c r="AA159" s="48"/>
    </row>
    <row r="160" spans="1:96" x14ac:dyDescent="0.25">
      <c r="A160" s="48">
        <v>5006592</v>
      </c>
      <c r="AB160">
        <v>175</v>
      </c>
      <c r="BU160">
        <v>68</v>
      </c>
      <c r="CP160">
        <v>143</v>
      </c>
      <c r="CR160">
        <v>37</v>
      </c>
    </row>
    <row r="161" spans="1:93" x14ac:dyDescent="0.25">
      <c r="A161" s="48">
        <v>5007274</v>
      </c>
      <c r="AB161">
        <v>1474</v>
      </c>
      <c r="AN161">
        <v>487</v>
      </c>
    </row>
    <row r="162" spans="1:93" x14ac:dyDescent="0.25">
      <c r="A162" s="48">
        <v>5015851</v>
      </c>
      <c r="AB162" s="3">
        <v>499.2</v>
      </c>
      <c r="BG162">
        <v>67.8</v>
      </c>
      <c r="BS162" s="3">
        <v>62.4</v>
      </c>
      <c r="BT162" s="3"/>
      <c r="CI162">
        <v>30.6</v>
      </c>
      <c r="CO162">
        <v>36</v>
      </c>
    </row>
    <row r="163" spans="1:93" x14ac:dyDescent="0.25">
      <c r="A163" s="48">
        <v>6015647</v>
      </c>
      <c r="AB163">
        <v>1451</v>
      </c>
      <c r="AC163">
        <v>1218</v>
      </c>
      <c r="AD163">
        <v>1157</v>
      </c>
      <c r="AE163">
        <v>870</v>
      </c>
      <c r="AF163">
        <v>736</v>
      </c>
      <c r="AH163">
        <v>736</v>
      </c>
      <c r="AI163">
        <v>730</v>
      </c>
      <c r="AK163">
        <v>596</v>
      </c>
      <c r="AP163">
        <v>391</v>
      </c>
      <c r="AZ163">
        <v>111</v>
      </c>
      <c r="CF163">
        <v>15</v>
      </c>
      <c r="CH163">
        <v>23</v>
      </c>
    </row>
    <row r="164" spans="1:93" x14ac:dyDescent="0.25">
      <c r="A164" s="48">
        <v>6056633</v>
      </c>
      <c r="Y164">
        <v>88</v>
      </c>
      <c r="AE164">
        <v>82</v>
      </c>
      <c r="AS164">
        <v>25</v>
      </c>
    </row>
    <row r="165" spans="1:93" x14ac:dyDescent="0.25">
      <c r="A165" s="48">
        <v>7086224</v>
      </c>
      <c r="AL165">
        <v>1855.8</v>
      </c>
      <c r="AQ165">
        <v>1438.8</v>
      </c>
      <c r="AY165">
        <v>338.4</v>
      </c>
      <c r="BD165">
        <v>187.8</v>
      </c>
    </row>
    <row r="166" spans="1:93" x14ac:dyDescent="0.25">
      <c r="A166" s="48">
        <v>8040959</v>
      </c>
      <c r="Z166">
        <v>1375</v>
      </c>
    </row>
    <row r="167" spans="1:93" x14ac:dyDescent="0.25">
      <c r="A167" s="48">
        <v>8107048</v>
      </c>
      <c r="AB167">
        <v>1012.2</v>
      </c>
      <c r="AL167" t="s">
        <v>1565</v>
      </c>
    </row>
    <row r="168" spans="1:93" x14ac:dyDescent="0.25">
      <c r="A168" s="48">
        <v>8124044</v>
      </c>
      <c r="AB168">
        <v>392</v>
      </c>
      <c r="AM168">
        <v>685</v>
      </c>
      <c r="AP168">
        <v>924</v>
      </c>
      <c r="AT168">
        <v>742</v>
      </c>
      <c r="AW168">
        <v>346</v>
      </c>
      <c r="BB168">
        <v>108</v>
      </c>
      <c r="BO168">
        <v>685</v>
      </c>
      <c r="BQ168">
        <v>924</v>
      </c>
      <c r="BR168">
        <v>826</v>
      </c>
      <c r="BS168">
        <v>913</v>
      </c>
      <c r="BT168">
        <v>742</v>
      </c>
      <c r="BV168">
        <v>346</v>
      </c>
      <c r="BY168">
        <v>244</v>
      </c>
    </row>
    <row r="169" spans="1:93" x14ac:dyDescent="0.25">
      <c r="A169" s="48">
        <v>8142949</v>
      </c>
      <c r="AK169">
        <v>592</v>
      </c>
      <c r="AM169">
        <v>710</v>
      </c>
      <c r="AQ169">
        <v>582</v>
      </c>
      <c r="AY169">
        <v>149</v>
      </c>
    </row>
    <row r="170" spans="1:93" x14ac:dyDescent="0.25">
      <c r="A170" s="48">
        <v>9023306</v>
      </c>
      <c r="AE170">
        <v>336</v>
      </c>
      <c r="AF170">
        <v>276</v>
      </c>
      <c r="AG170">
        <v>120</v>
      </c>
      <c r="AJ170">
        <v>91.8</v>
      </c>
    </row>
    <row r="171" spans="1:93" x14ac:dyDescent="0.25">
      <c r="A171" s="48">
        <v>9030615</v>
      </c>
      <c r="AE171">
        <v>121.2</v>
      </c>
      <c r="AK171">
        <v>256.8</v>
      </c>
      <c r="AQ171">
        <v>1052.4000000000001</v>
      </c>
      <c r="AS171">
        <v>626.4</v>
      </c>
    </row>
    <row r="172" spans="1:93" x14ac:dyDescent="0.25">
      <c r="A172" s="48">
        <v>9034464</v>
      </c>
    </row>
    <row r="173" spans="1:93" x14ac:dyDescent="0.25">
      <c r="A173" s="48">
        <v>9040167</v>
      </c>
    </row>
    <row r="174" spans="1:93" x14ac:dyDescent="0.25">
      <c r="A174" s="48">
        <v>9054567</v>
      </c>
      <c r="AA174">
        <v>1973</v>
      </c>
    </row>
    <row r="175" spans="1:93" x14ac:dyDescent="0.25">
      <c r="A175" s="48">
        <v>9083682</v>
      </c>
      <c r="AB175">
        <v>2410</v>
      </c>
      <c r="AC175">
        <v>2222</v>
      </c>
      <c r="AM175">
        <v>52</v>
      </c>
    </row>
    <row r="176" spans="1:93" x14ac:dyDescent="0.25">
      <c r="A176" s="48">
        <v>9102044</v>
      </c>
      <c r="AB176">
        <v>1668</v>
      </c>
      <c r="AE176">
        <v>1422</v>
      </c>
      <c r="AO176">
        <v>894</v>
      </c>
      <c r="CB176">
        <v>34</v>
      </c>
    </row>
    <row r="177" spans="1:97" x14ac:dyDescent="0.25">
      <c r="A177" s="48">
        <v>9119854</v>
      </c>
      <c r="U177">
        <v>17</v>
      </c>
      <c r="AF177">
        <v>571</v>
      </c>
      <c r="AH177">
        <v>331</v>
      </c>
      <c r="AI177">
        <v>267</v>
      </c>
      <c r="AM177">
        <v>343</v>
      </c>
      <c r="AO177">
        <v>449</v>
      </c>
      <c r="AU177">
        <v>360</v>
      </c>
      <c r="AW177">
        <v>305</v>
      </c>
      <c r="AZ177">
        <v>23</v>
      </c>
    </row>
    <row r="178" spans="1:97" x14ac:dyDescent="0.25">
      <c r="A178" s="48">
        <v>9125126</v>
      </c>
      <c r="AG178">
        <v>361</v>
      </c>
      <c r="AH178">
        <v>356</v>
      </c>
      <c r="AL178">
        <v>128</v>
      </c>
      <c r="BM178">
        <v>22</v>
      </c>
    </row>
    <row r="179" spans="1:97" x14ac:dyDescent="0.25">
      <c r="A179" s="48">
        <v>9174811</v>
      </c>
      <c r="AB179">
        <v>305</v>
      </c>
      <c r="AC179">
        <v>264</v>
      </c>
      <c r="AK179">
        <v>241</v>
      </c>
      <c r="BL179">
        <v>337</v>
      </c>
      <c r="CA179">
        <v>59</v>
      </c>
    </row>
    <row r="180" spans="1:97" x14ac:dyDescent="0.25">
      <c r="A180" s="48">
        <v>10002875</v>
      </c>
      <c r="AC180" s="3">
        <v>55.8</v>
      </c>
      <c r="AD180" s="3">
        <v>47.4</v>
      </c>
      <c r="AE180">
        <v>46.2</v>
      </c>
      <c r="AF180">
        <v>45</v>
      </c>
      <c r="AG180">
        <v>46.2</v>
      </c>
      <c r="AH180" s="14">
        <v>38.4</v>
      </c>
      <c r="AQ180">
        <v>41.6</v>
      </c>
      <c r="AX180">
        <v>46.5</v>
      </c>
      <c r="BC180">
        <v>49.8</v>
      </c>
    </row>
    <row r="181" spans="1:97" x14ac:dyDescent="0.25">
      <c r="A181" s="48">
        <v>10023080</v>
      </c>
      <c r="AB181">
        <v>306</v>
      </c>
      <c r="BE181">
        <v>38</v>
      </c>
    </row>
    <row r="182" spans="1:97" x14ac:dyDescent="0.25">
      <c r="A182" s="48">
        <v>10025212</v>
      </c>
      <c r="AR182">
        <v>599</v>
      </c>
      <c r="AS182">
        <v>1046</v>
      </c>
      <c r="AU182">
        <v>1584</v>
      </c>
      <c r="BE182">
        <v>943</v>
      </c>
      <c r="BP182">
        <v>79</v>
      </c>
    </row>
    <row r="183" spans="1:97" x14ac:dyDescent="0.25">
      <c r="A183" s="48">
        <v>10069407</v>
      </c>
      <c r="G183">
        <v>131</v>
      </c>
      <c r="AB183">
        <v>790</v>
      </c>
      <c r="AI183">
        <v>465</v>
      </c>
      <c r="BA183">
        <v>47</v>
      </c>
    </row>
    <row r="184" spans="1:97" x14ac:dyDescent="0.25">
      <c r="A184" s="48">
        <v>10071135</v>
      </c>
      <c r="AN184">
        <v>52.8</v>
      </c>
      <c r="AP184">
        <v>39</v>
      </c>
      <c r="AR184">
        <v>45</v>
      </c>
      <c r="AV184">
        <v>58.8</v>
      </c>
    </row>
    <row r="185" spans="1:97" x14ac:dyDescent="0.25">
      <c r="A185" s="48">
        <v>10083649</v>
      </c>
      <c r="AB185">
        <v>70</v>
      </c>
      <c r="AC185">
        <v>53</v>
      </c>
    </row>
    <row r="186" spans="1:97" x14ac:dyDescent="0.25">
      <c r="A186" s="48">
        <v>10102021</v>
      </c>
    </row>
    <row r="187" spans="1:97" x14ac:dyDescent="0.25">
      <c r="A187" s="48">
        <v>10123729</v>
      </c>
      <c r="AB187">
        <v>107</v>
      </c>
      <c r="AC187">
        <v>155</v>
      </c>
      <c r="AE187">
        <v>32</v>
      </c>
      <c r="AM187">
        <v>78.599999999999994</v>
      </c>
      <c r="CM187">
        <v>26</v>
      </c>
    </row>
    <row r="188" spans="1:97" x14ac:dyDescent="0.25">
      <c r="A188" s="48">
        <v>10144736</v>
      </c>
      <c r="K188">
        <v>11</v>
      </c>
      <c r="AB188">
        <v>85</v>
      </c>
      <c r="AC188">
        <v>214</v>
      </c>
      <c r="AE188">
        <v>96</v>
      </c>
    </row>
    <row r="189" spans="1:97" x14ac:dyDescent="0.25">
      <c r="A189" s="48">
        <v>10157275</v>
      </c>
      <c r="AB189">
        <v>401</v>
      </c>
      <c r="BJ189">
        <v>401</v>
      </c>
      <c r="CD189">
        <v>77</v>
      </c>
      <c r="CQ189">
        <v>67</v>
      </c>
      <c r="CS189">
        <v>18</v>
      </c>
    </row>
    <row r="190" spans="1:97" x14ac:dyDescent="0.25">
      <c r="A190" s="52"/>
    </row>
    <row r="191" spans="1:97" x14ac:dyDescent="0.25">
      <c r="A191" s="50" t="s">
        <v>83</v>
      </c>
    </row>
    <row r="192" spans="1:97" x14ac:dyDescent="0.25">
      <c r="A192" s="48">
        <v>5281</v>
      </c>
      <c r="AA192">
        <v>5300</v>
      </c>
      <c r="AI192">
        <v>849</v>
      </c>
    </row>
    <row r="193" spans="1:86" x14ac:dyDescent="0.25">
      <c r="A193" s="48">
        <v>200085</v>
      </c>
      <c r="O193">
        <v>27</v>
      </c>
      <c r="V193">
        <v>36</v>
      </c>
      <c r="W193">
        <v>58</v>
      </c>
      <c r="AA193">
        <v>343</v>
      </c>
      <c r="AB193">
        <v>110</v>
      </c>
      <c r="AC193">
        <v>205</v>
      </c>
      <c r="AD193">
        <v>277</v>
      </c>
      <c r="AE193">
        <v>343</v>
      </c>
      <c r="AF193">
        <v>302</v>
      </c>
      <c r="AG193">
        <v>278</v>
      </c>
      <c r="AH193">
        <v>241</v>
      </c>
      <c r="AI193">
        <v>195</v>
      </c>
      <c r="AK193">
        <v>145</v>
      </c>
      <c r="AM193">
        <v>102</v>
      </c>
      <c r="AQ193">
        <v>48</v>
      </c>
      <c r="AS193">
        <v>29</v>
      </c>
      <c r="AT193">
        <v>23</v>
      </c>
      <c r="AX193">
        <v>22</v>
      </c>
      <c r="BA193">
        <v>21</v>
      </c>
    </row>
    <row r="194" spans="1:86" x14ac:dyDescent="0.25">
      <c r="A194" s="48">
        <v>500129</v>
      </c>
      <c r="AG194">
        <v>24.6</v>
      </c>
      <c r="AI194">
        <v>8.6</v>
      </c>
      <c r="AK194">
        <v>4298</v>
      </c>
      <c r="AM194">
        <v>3607</v>
      </c>
      <c r="AN194">
        <v>2361</v>
      </c>
      <c r="AU194">
        <v>274</v>
      </c>
      <c r="BD194">
        <v>186</v>
      </c>
      <c r="BG194">
        <v>76</v>
      </c>
      <c r="CH194">
        <v>69</v>
      </c>
    </row>
    <row r="195" spans="1:86" x14ac:dyDescent="0.25">
      <c r="A195" s="51">
        <v>1002033</v>
      </c>
      <c r="M195">
        <v>34</v>
      </c>
      <c r="U195">
        <v>49</v>
      </c>
      <c r="AB195">
        <v>190</v>
      </c>
      <c r="AG195">
        <v>111</v>
      </c>
      <c r="AU195">
        <v>30</v>
      </c>
      <c r="BH195">
        <v>50</v>
      </c>
    </row>
    <row r="196" spans="1:86" x14ac:dyDescent="0.25">
      <c r="A196" s="48">
        <v>1003457</v>
      </c>
      <c r="AB196">
        <v>193</v>
      </c>
    </row>
    <row r="197" spans="1:86" x14ac:dyDescent="0.25">
      <c r="A197" s="48">
        <v>2005223</v>
      </c>
      <c r="AB197">
        <v>173.4</v>
      </c>
      <c r="AD197">
        <v>142.80000000000001</v>
      </c>
      <c r="AS197">
        <v>252</v>
      </c>
    </row>
    <row r="198" spans="1:86" x14ac:dyDescent="0.25">
      <c r="A198" s="48">
        <v>2006107</v>
      </c>
      <c r="AB198">
        <v>523</v>
      </c>
      <c r="AI198">
        <v>77</v>
      </c>
    </row>
    <row r="199" spans="1:86" x14ac:dyDescent="0.25">
      <c r="A199" s="48">
        <v>2012014</v>
      </c>
      <c r="Q199">
        <v>8</v>
      </c>
    </row>
    <row r="200" spans="1:86" x14ac:dyDescent="0.25">
      <c r="A200" s="48">
        <v>3000152</v>
      </c>
      <c r="AA200" s="14">
        <v>47.32</v>
      </c>
    </row>
    <row r="201" spans="1:86" x14ac:dyDescent="0.25">
      <c r="A201" s="48">
        <v>3014566</v>
      </c>
      <c r="AB201">
        <v>24</v>
      </c>
    </row>
    <row r="202" spans="1:86" x14ac:dyDescent="0.25">
      <c r="A202" s="48">
        <v>3015058</v>
      </c>
      <c r="Q202">
        <v>7</v>
      </c>
      <c r="AC202">
        <v>138</v>
      </c>
      <c r="AD202">
        <v>110</v>
      </c>
      <c r="AJ202">
        <v>47</v>
      </c>
    </row>
    <row r="203" spans="1:86" x14ac:dyDescent="0.25">
      <c r="A203" s="51">
        <v>4000996</v>
      </c>
      <c r="AC203">
        <v>142.80000000000001</v>
      </c>
      <c r="AD203">
        <v>129</v>
      </c>
      <c r="AE203">
        <v>112.2</v>
      </c>
      <c r="AI203">
        <v>7080</v>
      </c>
      <c r="AP203">
        <v>40.200000000000003</v>
      </c>
    </row>
    <row r="204" spans="1:86" x14ac:dyDescent="0.25">
      <c r="A204" s="48">
        <v>4003768</v>
      </c>
      <c r="V204">
        <v>12</v>
      </c>
      <c r="Y204">
        <v>14</v>
      </c>
      <c r="AB204">
        <v>390</v>
      </c>
      <c r="AC204">
        <v>3135</v>
      </c>
      <c r="AD204">
        <v>4112</v>
      </c>
      <c r="AE204">
        <v>2774</v>
      </c>
    </row>
    <row r="205" spans="1:86" x14ac:dyDescent="0.25">
      <c r="A205" s="48">
        <v>4006540</v>
      </c>
      <c r="AL205">
        <v>2376</v>
      </c>
      <c r="AM205">
        <v>2262</v>
      </c>
      <c r="AP205">
        <v>1722</v>
      </c>
      <c r="AS205">
        <v>1548</v>
      </c>
    </row>
    <row r="206" spans="1:86" x14ac:dyDescent="0.25">
      <c r="A206" s="48">
        <v>4007054</v>
      </c>
      <c r="AB206">
        <v>45.8</v>
      </c>
      <c r="AF206">
        <v>920</v>
      </c>
    </row>
    <row r="207" spans="1:86" x14ac:dyDescent="0.25">
      <c r="A207" s="48">
        <v>4011002</v>
      </c>
      <c r="AA207" s="48"/>
      <c r="AB207">
        <v>410.4</v>
      </c>
      <c r="AC207">
        <v>505.2</v>
      </c>
      <c r="AG207">
        <v>315</v>
      </c>
      <c r="AJ207" s="3">
        <v>502.8</v>
      </c>
    </row>
    <row r="208" spans="1:86" x14ac:dyDescent="0.25">
      <c r="A208" s="48">
        <v>4900268</v>
      </c>
      <c r="AA208" s="14">
        <v>9593.5</v>
      </c>
    </row>
    <row r="209" spans="1:46" x14ac:dyDescent="0.25">
      <c r="A209" s="48">
        <v>5001097</v>
      </c>
      <c r="T209">
        <v>23</v>
      </c>
      <c r="U209">
        <v>22</v>
      </c>
      <c r="AA209" s="48"/>
      <c r="AB209">
        <v>58</v>
      </c>
      <c r="AF209">
        <v>34</v>
      </c>
      <c r="AJ209">
        <v>33</v>
      </c>
    </row>
    <row r="210" spans="1:46" x14ac:dyDescent="0.25">
      <c r="A210" s="48">
        <v>5001098</v>
      </c>
      <c r="P210">
        <v>73</v>
      </c>
      <c r="S210">
        <v>69</v>
      </c>
      <c r="T210">
        <v>72</v>
      </c>
      <c r="W210">
        <v>82</v>
      </c>
      <c r="AB210">
        <v>86</v>
      </c>
    </row>
    <row r="211" spans="1:46" x14ac:dyDescent="0.25">
      <c r="A211" s="48">
        <v>5006152</v>
      </c>
      <c r="Y211">
        <v>27</v>
      </c>
      <c r="AC211">
        <v>4365</v>
      </c>
    </row>
    <row r="212" spans="1:46" x14ac:dyDescent="0.25">
      <c r="A212" s="48">
        <v>6012361</v>
      </c>
      <c r="AD212">
        <v>594</v>
      </c>
      <c r="AE212">
        <v>408</v>
      </c>
      <c r="AS212">
        <v>78</v>
      </c>
    </row>
    <row r="213" spans="1:46" x14ac:dyDescent="0.25">
      <c r="A213" s="48">
        <v>6015793</v>
      </c>
      <c r="AB213">
        <v>4937</v>
      </c>
      <c r="AC213">
        <v>3826</v>
      </c>
      <c r="AF213">
        <v>905</v>
      </c>
    </row>
    <row r="214" spans="1:46" x14ac:dyDescent="0.25">
      <c r="A214" s="48">
        <v>6043619</v>
      </c>
      <c r="AB214">
        <v>5887.2</v>
      </c>
    </row>
    <row r="215" spans="1:46" x14ac:dyDescent="0.25">
      <c r="A215" s="48">
        <v>7001097</v>
      </c>
      <c r="Y215">
        <v>12</v>
      </c>
      <c r="Z215">
        <v>30</v>
      </c>
      <c r="AB215">
        <v>29</v>
      </c>
      <c r="AC215">
        <v>39</v>
      </c>
      <c r="AD215">
        <v>57</v>
      </c>
      <c r="AE215">
        <v>37</v>
      </c>
      <c r="AF215">
        <v>28</v>
      </c>
      <c r="AG215">
        <v>35</v>
      </c>
      <c r="AI215">
        <v>125</v>
      </c>
      <c r="AJ215">
        <v>73</v>
      </c>
      <c r="AO215">
        <v>47</v>
      </c>
      <c r="AP215">
        <v>64</v>
      </c>
      <c r="AQ215">
        <v>59</v>
      </c>
    </row>
    <row r="216" spans="1:46" x14ac:dyDescent="0.25">
      <c r="A216" s="48">
        <v>7011435</v>
      </c>
      <c r="Y216">
        <v>24.2</v>
      </c>
      <c r="AB216">
        <v>437</v>
      </c>
      <c r="AD216">
        <v>367</v>
      </c>
      <c r="AH216">
        <v>257</v>
      </c>
    </row>
    <row r="217" spans="1:46" x14ac:dyDescent="0.25">
      <c r="A217" s="48">
        <v>7045811</v>
      </c>
      <c r="AF217" s="48">
        <v>12864</v>
      </c>
      <c r="AM217">
        <v>1533</v>
      </c>
    </row>
    <row r="218" spans="1:46" x14ac:dyDescent="0.25">
      <c r="A218" s="48">
        <v>7071198</v>
      </c>
    </row>
    <row r="219" spans="1:46" x14ac:dyDescent="0.25">
      <c r="A219" s="48">
        <v>7101143</v>
      </c>
      <c r="AB219">
        <v>1917.49</v>
      </c>
      <c r="AD219">
        <v>2074.65</v>
      </c>
      <c r="AE219">
        <v>1898.18</v>
      </c>
      <c r="AI219">
        <v>1436.2</v>
      </c>
      <c r="AL219">
        <v>961.74</v>
      </c>
      <c r="AN219">
        <v>689.06</v>
      </c>
    </row>
    <row r="220" spans="1:46" x14ac:dyDescent="0.25">
      <c r="A220" s="48">
        <v>8073350</v>
      </c>
    </row>
    <row r="221" spans="1:46" x14ac:dyDescent="0.25">
      <c r="A221" s="48">
        <v>8073645</v>
      </c>
      <c r="AC221">
        <v>1197.3333333333301</v>
      </c>
    </row>
    <row r="222" spans="1:46" x14ac:dyDescent="0.25">
      <c r="A222" s="51">
        <v>8089666</v>
      </c>
      <c r="X222">
        <v>63</v>
      </c>
      <c r="Y222">
        <v>18</v>
      </c>
      <c r="Z222">
        <v>15</v>
      </c>
      <c r="AB222" s="14">
        <v>1851.25</v>
      </c>
      <c r="AC222">
        <v>43</v>
      </c>
    </row>
    <row r="223" spans="1:46" x14ac:dyDescent="0.25">
      <c r="A223" s="48">
        <v>8103536</v>
      </c>
      <c r="AC223">
        <v>104</v>
      </c>
    </row>
    <row r="224" spans="1:46" x14ac:dyDescent="0.25">
      <c r="A224" s="48">
        <v>8124816</v>
      </c>
      <c r="AB224">
        <v>113</v>
      </c>
      <c r="AE224">
        <v>130</v>
      </c>
      <c r="AH224">
        <v>59</v>
      </c>
      <c r="AO224">
        <v>27</v>
      </c>
      <c r="AT224">
        <v>50</v>
      </c>
    </row>
    <row r="225" spans="1:76" x14ac:dyDescent="0.25">
      <c r="A225" s="48">
        <v>9003267</v>
      </c>
      <c r="AC225">
        <v>345</v>
      </c>
      <c r="AE225">
        <v>471.6</v>
      </c>
      <c r="BI225">
        <v>45.6</v>
      </c>
    </row>
    <row r="226" spans="1:76" x14ac:dyDescent="0.25">
      <c r="A226" s="48">
        <v>9036964</v>
      </c>
      <c r="C226">
        <v>43.8</v>
      </c>
      <c r="D226">
        <v>57.2</v>
      </c>
      <c r="I226">
        <v>43.8</v>
      </c>
      <c r="AB226">
        <v>210</v>
      </c>
      <c r="AC226">
        <v>242</v>
      </c>
      <c r="AD226">
        <v>273</v>
      </c>
      <c r="AH226">
        <v>170</v>
      </c>
    </row>
    <row r="227" spans="1:76" x14ac:dyDescent="0.25">
      <c r="A227" s="48">
        <v>9090287</v>
      </c>
      <c r="AD227">
        <v>9462</v>
      </c>
      <c r="AE227">
        <v>7114</v>
      </c>
      <c r="AF227">
        <v>4107</v>
      </c>
      <c r="AG227">
        <v>2881</v>
      </c>
      <c r="AH227">
        <v>1819</v>
      </c>
    </row>
    <row r="228" spans="1:76" x14ac:dyDescent="0.25">
      <c r="A228" s="48">
        <v>9095148</v>
      </c>
      <c r="AC228">
        <v>46</v>
      </c>
    </row>
    <row r="229" spans="1:76" x14ac:dyDescent="0.25">
      <c r="A229" s="48">
        <v>9104979</v>
      </c>
      <c r="AE229">
        <v>215</v>
      </c>
      <c r="AH229">
        <v>109</v>
      </c>
      <c r="AL229">
        <v>297</v>
      </c>
      <c r="AP229">
        <v>207</v>
      </c>
      <c r="BF229">
        <v>68</v>
      </c>
      <c r="BR229">
        <v>38</v>
      </c>
    </row>
    <row r="230" spans="1:76" x14ac:dyDescent="0.25">
      <c r="A230" s="48">
        <v>9139514</v>
      </c>
      <c r="AL230">
        <v>2988</v>
      </c>
      <c r="AQ230">
        <v>2666</v>
      </c>
      <c r="BC230">
        <v>940</v>
      </c>
      <c r="BS230">
        <v>209</v>
      </c>
      <c r="BX230">
        <v>190</v>
      </c>
    </row>
    <row r="231" spans="1:76" x14ac:dyDescent="0.25">
      <c r="A231" s="48">
        <v>10020659</v>
      </c>
      <c r="B231" s="3">
        <v>108.6</v>
      </c>
      <c r="H231">
        <v>120</v>
      </c>
      <c r="AB231">
        <v>288.60000000000002</v>
      </c>
      <c r="AC231">
        <v>208.8</v>
      </c>
      <c r="AE231">
        <v>157.80000000000001</v>
      </c>
      <c r="AJ231">
        <v>85.2</v>
      </c>
    </row>
    <row r="232" spans="1:76" x14ac:dyDescent="0.25">
      <c r="A232" s="48">
        <v>10025902</v>
      </c>
      <c r="AB232">
        <v>1413</v>
      </c>
      <c r="AC232">
        <v>1169.4000000000001</v>
      </c>
      <c r="AH232">
        <v>906</v>
      </c>
      <c r="AI232" s="3">
        <v>733.8</v>
      </c>
      <c r="AL232">
        <v>395.4</v>
      </c>
      <c r="AO232">
        <v>206.4</v>
      </c>
    </row>
    <row r="233" spans="1:76" x14ac:dyDescent="0.25">
      <c r="A233" s="48">
        <v>10027654</v>
      </c>
      <c r="J233">
        <v>61</v>
      </c>
      <c r="AB233">
        <v>168</v>
      </c>
      <c r="AC233">
        <v>122</v>
      </c>
      <c r="AD233">
        <v>85</v>
      </c>
      <c r="BD233">
        <v>38</v>
      </c>
    </row>
    <row r="234" spans="1:76" x14ac:dyDescent="0.25">
      <c r="A234" s="48">
        <v>10084485</v>
      </c>
      <c r="AB234">
        <v>40</v>
      </c>
    </row>
    <row r="235" spans="1:76" x14ac:dyDescent="0.25">
      <c r="A235" s="48">
        <v>10098420</v>
      </c>
      <c r="AB235">
        <v>6950</v>
      </c>
      <c r="AC235" s="14">
        <v>6450</v>
      </c>
      <c r="AE235">
        <v>3094</v>
      </c>
    </row>
    <row r="236" spans="1:76" x14ac:dyDescent="0.25">
      <c r="A236" s="48">
        <v>10129565</v>
      </c>
      <c r="AC236">
        <v>2796</v>
      </c>
      <c r="AD236">
        <v>1938</v>
      </c>
      <c r="AF236">
        <v>1104</v>
      </c>
      <c r="AM236">
        <v>214.8</v>
      </c>
    </row>
    <row r="237" spans="1:76" x14ac:dyDescent="0.25">
      <c r="A237" s="48">
        <v>10146828</v>
      </c>
      <c r="AB237">
        <v>469</v>
      </c>
      <c r="AC237">
        <v>240</v>
      </c>
      <c r="AG237">
        <v>81</v>
      </c>
      <c r="AO237">
        <v>19</v>
      </c>
    </row>
    <row r="238" spans="1:76" x14ac:dyDescent="0.25">
      <c r="A238">
        <v>10163776</v>
      </c>
      <c r="F238">
        <v>17</v>
      </c>
      <c r="AB238">
        <v>98</v>
      </c>
    </row>
    <row r="239" spans="1:76" x14ac:dyDescent="0.25">
      <c r="A239">
        <v>10173664</v>
      </c>
      <c r="AE239">
        <v>2065.1999999999998</v>
      </c>
      <c r="AG239">
        <v>1780.2</v>
      </c>
      <c r="AL239">
        <v>1845.6</v>
      </c>
    </row>
  </sheetData>
  <conditionalFormatting sqref="A19">
    <cfRule type="duplicateValues" dxfId="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68E9-E805-491E-B4B9-833B47213E00}">
  <dimension ref="A1:D167"/>
  <sheetViews>
    <sheetView topLeftCell="A4" workbookViewId="0">
      <selection sqref="A1:D167"/>
    </sheetView>
  </sheetViews>
  <sheetFormatPr baseColWidth="10" defaultRowHeight="15" x14ac:dyDescent="0.25"/>
  <cols>
    <col min="1" max="1" width="17.28515625" bestFit="1" customWidth="1"/>
    <col min="2" max="2" width="6.8554687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2145</v>
      </c>
      <c r="C1" s="62" t="s">
        <v>1914</v>
      </c>
      <c r="D1" s="62" t="s">
        <v>1873</v>
      </c>
    </row>
    <row r="2" spans="1:4" x14ac:dyDescent="0.25">
      <c r="A2" s="62">
        <v>7072184</v>
      </c>
      <c r="B2" s="62" t="s">
        <v>2145</v>
      </c>
      <c r="C2" s="62" t="s">
        <v>41</v>
      </c>
      <c r="D2" s="62">
        <v>1</v>
      </c>
    </row>
    <row r="3" spans="1:4" x14ac:dyDescent="0.25">
      <c r="A3" s="62">
        <v>95005911</v>
      </c>
      <c r="B3" s="62" t="s">
        <v>2145</v>
      </c>
      <c r="C3" s="62" t="s">
        <v>41</v>
      </c>
      <c r="D3" s="62">
        <v>1</v>
      </c>
    </row>
    <row r="4" spans="1:4" x14ac:dyDescent="0.25">
      <c r="A4" s="62">
        <v>99004067</v>
      </c>
      <c r="B4" s="62" t="s">
        <v>2145</v>
      </c>
      <c r="C4" s="62" t="s">
        <v>41</v>
      </c>
      <c r="D4" s="62">
        <v>1</v>
      </c>
    </row>
    <row r="5" spans="1:4" x14ac:dyDescent="0.25">
      <c r="A5" s="62">
        <v>97002136</v>
      </c>
      <c r="B5" s="62" t="s">
        <v>2145</v>
      </c>
      <c r="C5" s="62" t="s">
        <v>41</v>
      </c>
      <c r="D5" s="62">
        <v>1</v>
      </c>
    </row>
    <row r="6" spans="1:4" x14ac:dyDescent="0.25">
      <c r="A6" s="62">
        <v>1502</v>
      </c>
      <c r="B6" s="62" t="s">
        <v>2145</v>
      </c>
      <c r="C6" s="62" t="s">
        <v>21</v>
      </c>
      <c r="D6" s="62">
        <v>1</v>
      </c>
    </row>
    <row r="7" spans="1:4" x14ac:dyDescent="0.25">
      <c r="A7" s="62">
        <v>4003543</v>
      </c>
      <c r="B7" s="62" t="s">
        <v>2145</v>
      </c>
      <c r="C7" s="62" t="s">
        <v>2146</v>
      </c>
      <c r="D7" s="62">
        <v>2</v>
      </c>
    </row>
    <row r="8" spans="1:4" x14ac:dyDescent="0.25">
      <c r="A8" s="62">
        <v>14242856</v>
      </c>
      <c r="B8" s="62" t="s">
        <v>2145</v>
      </c>
      <c r="C8" s="62" t="s">
        <v>41</v>
      </c>
      <c r="D8" s="62">
        <v>1</v>
      </c>
    </row>
    <row r="9" spans="1:4" x14ac:dyDescent="0.25">
      <c r="A9" s="62">
        <v>99001183</v>
      </c>
      <c r="B9" s="62" t="s">
        <v>2145</v>
      </c>
      <c r="C9" s="62" t="s">
        <v>51</v>
      </c>
      <c r="D9" s="62">
        <v>1</v>
      </c>
    </row>
    <row r="10" spans="1:4" x14ac:dyDescent="0.25">
      <c r="A10" s="62">
        <v>3000983</v>
      </c>
      <c r="B10" s="62" t="s">
        <v>2145</v>
      </c>
      <c r="C10" s="62" t="s">
        <v>2147</v>
      </c>
      <c r="D10" s="62">
        <v>3</v>
      </c>
    </row>
    <row r="11" spans="1:4" x14ac:dyDescent="0.25">
      <c r="A11" s="62">
        <v>10064335</v>
      </c>
      <c r="B11" s="62" t="s">
        <v>2145</v>
      </c>
      <c r="C11" s="62" t="s">
        <v>2148</v>
      </c>
      <c r="D11" s="62">
        <v>5</v>
      </c>
    </row>
    <row r="12" spans="1:4" x14ac:dyDescent="0.25">
      <c r="A12" s="62">
        <v>1480</v>
      </c>
      <c r="B12" s="62" t="s">
        <v>2145</v>
      </c>
      <c r="C12" s="62" t="s">
        <v>2149</v>
      </c>
      <c r="D12" s="62">
        <v>2</v>
      </c>
    </row>
    <row r="13" spans="1:4" x14ac:dyDescent="0.25">
      <c r="A13" s="62">
        <v>1003215</v>
      </c>
      <c r="B13" s="62" t="s">
        <v>2145</v>
      </c>
      <c r="C13" s="62" t="s">
        <v>41</v>
      </c>
      <c r="D13" s="62">
        <v>1</v>
      </c>
    </row>
    <row r="14" spans="1:4" x14ac:dyDescent="0.25">
      <c r="A14" s="62">
        <v>99000802</v>
      </c>
      <c r="B14" s="62" t="s">
        <v>2145</v>
      </c>
      <c r="C14" s="62" t="s">
        <v>19</v>
      </c>
      <c r="D14" s="62">
        <v>1</v>
      </c>
    </row>
    <row r="15" spans="1:4" x14ac:dyDescent="0.25">
      <c r="A15" s="62">
        <v>99000892</v>
      </c>
      <c r="B15" s="62" t="s">
        <v>2145</v>
      </c>
      <c r="C15" s="62" t="s">
        <v>19</v>
      </c>
      <c r="D15" s="62">
        <v>1</v>
      </c>
    </row>
    <row r="16" spans="1:4" x14ac:dyDescent="0.25">
      <c r="A16" s="62">
        <v>1506</v>
      </c>
      <c r="B16" s="62" t="s">
        <v>2145</v>
      </c>
      <c r="C16" s="62" t="s">
        <v>22</v>
      </c>
      <c r="D16" s="62">
        <v>1</v>
      </c>
    </row>
    <row r="17" spans="1:4" x14ac:dyDescent="0.25">
      <c r="A17" s="62">
        <v>99000894</v>
      </c>
      <c r="B17" s="62" t="s">
        <v>2145</v>
      </c>
      <c r="C17" s="62" t="s">
        <v>18</v>
      </c>
      <c r="D17" s="62">
        <v>1</v>
      </c>
    </row>
    <row r="18" spans="1:4" x14ac:dyDescent="0.25">
      <c r="A18" s="62">
        <v>99000897</v>
      </c>
      <c r="B18" s="62" t="s">
        <v>2145</v>
      </c>
      <c r="C18" s="62" t="s">
        <v>41</v>
      </c>
      <c r="D18" s="62">
        <v>1</v>
      </c>
    </row>
    <row r="19" spans="1:4" x14ac:dyDescent="0.25">
      <c r="A19" s="62">
        <v>99001902</v>
      </c>
      <c r="B19" s="62" t="s">
        <v>2145</v>
      </c>
      <c r="C19" s="62" t="s">
        <v>21</v>
      </c>
      <c r="D19" s="62">
        <v>1</v>
      </c>
    </row>
    <row r="20" spans="1:4" x14ac:dyDescent="0.25">
      <c r="A20" s="62">
        <v>99001912</v>
      </c>
      <c r="B20" s="62" t="s">
        <v>2145</v>
      </c>
      <c r="C20" s="62" t="s">
        <v>22</v>
      </c>
      <c r="D20" s="62">
        <v>1</v>
      </c>
    </row>
    <row r="21" spans="1:4" x14ac:dyDescent="0.25">
      <c r="A21" s="62">
        <v>99001913</v>
      </c>
      <c r="B21" s="62" t="s">
        <v>2145</v>
      </c>
      <c r="C21" s="62" t="s">
        <v>21</v>
      </c>
      <c r="D21" s="62">
        <v>1</v>
      </c>
    </row>
    <row r="22" spans="1:4" x14ac:dyDescent="0.25">
      <c r="A22" s="62">
        <v>99001937</v>
      </c>
      <c r="B22" s="62" t="s">
        <v>2145</v>
      </c>
      <c r="C22" s="62" t="s">
        <v>51</v>
      </c>
      <c r="D22" s="62">
        <v>1</v>
      </c>
    </row>
    <row r="23" spans="1:4" x14ac:dyDescent="0.25">
      <c r="A23" s="62">
        <v>99001943</v>
      </c>
      <c r="B23" s="62" t="s">
        <v>2145</v>
      </c>
      <c r="C23" s="62" t="s">
        <v>1091</v>
      </c>
      <c r="D23" s="62">
        <v>1</v>
      </c>
    </row>
    <row r="24" spans="1:4" x14ac:dyDescent="0.25">
      <c r="A24" s="62">
        <v>99001927</v>
      </c>
      <c r="B24" s="62" t="s">
        <v>2145</v>
      </c>
      <c r="C24" s="62" t="s">
        <v>41</v>
      </c>
      <c r="D24" s="62">
        <v>1</v>
      </c>
    </row>
    <row r="25" spans="1:4" x14ac:dyDescent="0.25">
      <c r="A25" s="62">
        <v>1505</v>
      </c>
      <c r="B25" s="62" t="s">
        <v>2145</v>
      </c>
      <c r="C25" s="62" t="s">
        <v>1088</v>
      </c>
      <c r="D25" s="62">
        <v>1</v>
      </c>
    </row>
    <row r="26" spans="1:4" x14ac:dyDescent="0.25">
      <c r="A26" s="62">
        <v>1000197</v>
      </c>
      <c r="B26" s="62" t="s">
        <v>2145</v>
      </c>
      <c r="C26" s="62" t="s">
        <v>1088</v>
      </c>
      <c r="D26" s="62">
        <v>1</v>
      </c>
    </row>
    <row r="27" spans="1:4" x14ac:dyDescent="0.25">
      <c r="A27" s="62">
        <v>96018835</v>
      </c>
      <c r="B27" s="62" t="s">
        <v>2145</v>
      </c>
      <c r="C27" s="62" t="s">
        <v>2150</v>
      </c>
      <c r="D27" s="62">
        <v>6</v>
      </c>
    </row>
    <row r="28" spans="1:4" x14ac:dyDescent="0.25">
      <c r="A28" s="62">
        <v>99000717</v>
      </c>
      <c r="B28" s="62" t="s">
        <v>2145</v>
      </c>
      <c r="C28" s="62" t="s">
        <v>20</v>
      </c>
      <c r="D28" s="62">
        <v>1</v>
      </c>
    </row>
    <row r="29" spans="1:4" x14ac:dyDescent="0.25">
      <c r="A29" s="62">
        <v>6006917</v>
      </c>
      <c r="B29" s="62" t="s">
        <v>2145</v>
      </c>
      <c r="C29" s="62" t="s">
        <v>41</v>
      </c>
      <c r="D29" s="62">
        <v>1</v>
      </c>
    </row>
    <row r="30" spans="1:4" x14ac:dyDescent="0.25">
      <c r="A30" s="62">
        <v>8057159</v>
      </c>
      <c r="B30" s="62" t="s">
        <v>2145</v>
      </c>
      <c r="C30" s="62" t="s">
        <v>2151</v>
      </c>
      <c r="D30" s="62">
        <v>2</v>
      </c>
    </row>
    <row r="31" spans="1:4" x14ac:dyDescent="0.25">
      <c r="A31" s="62">
        <v>12088444</v>
      </c>
      <c r="B31" s="62" t="s">
        <v>2145</v>
      </c>
      <c r="C31" s="62" t="s">
        <v>2152</v>
      </c>
      <c r="D31" s="62">
        <v>3</v>
      </c>
    </row>
    <row r="32" spans="1:4" x14ac:dyDescent="0.25">
      <c r="A32" s="62">
        <v>98004910</v>
      </c>
      <c r="B32" s="62" t="s">
        <v>2145</v>
      </c>
      <c r="C32" s="62" t="s">
        <v>41</v>
      </c>
      <c r="D32" s="62">
        <v>1</v>
      </c>
    </row>
    <row r="33" spans="1:4" x14ac:dyDescent="0.25">
      <c r="A33" s="62">
        <v>11240728</v>
      </c>
      <c r="B33" s="62" t="s">
        <v>2145</v>
      </c>
      <c r="C33" s="62" t="s">
        <v>2153</v>
      </c>
      <c r="D33" s="62">
        <v>4</v>
      </c>
    </row>
    <row r="34" spans="1:4" x14ac:dyDescent="0.25">
      <c r="A34" s="62">
        <v>5015869</v>
      </c>
      <c r="B34" s="62" t="s">
        <v>2145</v>
      </c>
      <c r="C34" s="62" t="s">
        <v>2154</v>
      </c>
      <c r="D34" s="62">
        <v>2</v>
      </c>
    </row>
    <row r="35" spans="1:4" x14ac:dyDescent="0.25">
      <c r="A35" s="62">
        <v>7000458</v>
      </c>
      <c r="B35" s="62" t="s">
        <v>2145</v>
      </c>
      <c r="C35" s="62" t="s">
        <v>22</v>
      </c>
      <c r="D35" s="62">
        <v>1</v>
      </c>
    </row>
    <row r="36" spans="1:4" x14ac:dyDescent="0.25">
      <c r="A36" s="62">
        <v>7015502</v>
      </c>
      <c r="B36" s="62" t="s">
        <v>2145</v>
      </c>
      <c r="C36" s="62" t="s">
        <v>720</v>
      </c>
      <c r="D36" s="62">
        <v>1</v>
      </c>
    </row>
    <row r="37" spans="1:4" x14ac:dyDescent="0.25">
      <c r="A37" s="62">
        <v>7082707</v>
      </c>
      <c r="B37" s="62" t="s">
        <v>2145</v>
      </c>
      <c r="C37" s="62" t="s">
        <v>1090</v>
      </c>
      <c r="D37" s="62">
        <v>1</v>
      </c>
    </row>
    <row r="38" spans="1:4" x14ac:dyDescent="0.25">
      <c r="A38" s="62">
        <v>7083159</v>
      </c>
      <c r="B38" s="62" t="s">
        <v>2145</v>
      </c>
      <c r="C38" s="62" t="s">
        <v>712</v>
      </c>
      <c r="D38" s="62">
        <v>1</v>
      </c>
    </row>
    <row r="39" spans="1:4" x14ac:dyDescent="0.25">
      <c r="A39" s="62">
        <v>7084659</v>
      </c>
      <c r="B39" s="62" t="s">
        <v>2145</v>
      </c>
      <c r="C39" s="62" t="s">
        <v>720</v>
      </c>
      <c r="D39" s="62">
        <v>1</v>
      </c>
    </row>
    <row r="40" spans="1:4" x14ac:dyDescent="0.25">
      <c r="A40" s="62">
        <v>7089231</v>
      </c>
      <c r="B40" s="62" t="s">
        <v>2145</v>
      </c>
      <c r="C40" s="62" t="s">
        <v>41</v>
      </c>
      <c r="D40" s="62">
        <v>1</v>
      </c>
    </row>
    <row r="41" spans="1:4" x14ac:dyDescent="0.25">
      <c r="A41" s="62">
        <v>7116004</v>
      </c>
      <c r="B41" s="62" t="s">
        <v>2145</v>
      </c>
      <c r="C41" s="62" t="s">
        <v>720</v>
      </c>
      <c r="D41" s="62">
        <v>1</v>
      </c>
    </row>
    <row r="42" spans="1:4" x14ac:dyDescent="0.25">
      <c r="A42" s="62">
        <v>8003819</v>
      </c>
      <c r="B42" s="62" t="s">
        <v>2145</v>
      </c>
      <c r="C42" s="62" t="s">
        <v>41</v>
      </c>
      <c r="D42" s="62">
        <v>1</v>
      </c>
    </row>
    <row r="43" spans="1:4" x14ac:dyDescent="0.25">
      <c r="A43" s="62">
        <v>8112522</v>
      </c>
      <c r="B43" s="62" t="s">
        <v>2145</v>
      </c>
      <c r="C43" s="62" t="s">
        <v>2155</v>
      </c>
      <c r="D43" s="62">
        <v>3</v>
      </c>
    </row>
    <row r="44" spans="1:4" x14ac:dyDescent="0.25">
      <c r="A44" s="62">
        <v>8130998</v>
      </c>
      <c r="B44" s="62" t="s">
        <v>2145</v>
      </c>
      <c r="C44" s="62" t="s">
        <v>2156</v>
      </c>
      <c r="D44" s="62">
        <v>3</v>
      </c>
    </row>
    <row r="45" spans="1:4" x14ac:dyDescent="0.25">
      <c r="A45" s="62">
        <v>9003331</v>
      </c>
      <c r="B45" s="62" t="s">
        <v>2145</v>
      </c>
      <c r="C45" s="62" t="s">
        <v>2157</v>
      </c>
      <c r="D45" s="62">
        <v>2</v>
      </c>
    </row>
    <row r="46" spans="1:4" x14ac:dyDescent="0.25">
      <c r="A46" s="62">
        <v>9003370</v>
      </c>
      <c r="B46" s="62" t="s">
        <v>2145</v>
      </c>
      <c r="C46" s="62" t="s">
        <v>720</v>
      </c>
      <c r="D46" s="62">
        <v>1</v>
      </c>
    </row>
    <row r="47" spans="1:4" x14ac:dyDescent="0.25">
      <c r="A47" s="62">
        <v>9016278</v>
      </c>
      <c r="B47" s="62" t="s">
        <v>2145</v>
      </c>
      <c r="C47" s="62" t="s">
        <v>2158</v>
      </c>
      <c r="D47" s="62">
        <v>4</v>
      </c>
    </row>
    <row r="48" spans="1:4" x14ac:dyDescent="0.25">
      <c r="A48" s="62">
        <v>9030684</v>
      </c>
      <c r="B48" s="62" t="s">
        <v>2145</v>
      </c>
      <c r="C48" s="62" t="s">
        <v>20</v>
      </c>
      <c r="D48" s="62">
        <v>1</v>
      </c>
    </row>
    <row r="49" spans="1:4" x14ac:dyDescent="0.25">
      <c r="A49" s="62">
        <v>9031387</v>
      </c>
      <c r="B49" s="62" t="s">
        <v>2145</v>
      </c>
      <c r="C49" s="62" t="s">
        <v>723</v>
      </c>
      <c r="D49" s="62">
        <v>1</v>
      </c>
    </row>
    <row r="50" spans="1:4" x14ac:dyDescent="0.25">
      <c r="A50" s="62">
        <v>9038676</v>
      </c>
      <c r="B50" s="62" t="s">
        <v>2145</v>
      </c>
      <c r="C50" s="62" t="s">
        <v>720</v>
      </c>
      <c r="D50" s="62">
        <v>1</v>
      </c>
    </row>
    <row r="51" spans="1:4" x14ac:dyDescent="0.25">
      <c r="A51">
        <v>9039416</v>
      </c>
      <c r="B51" s="62" t="s">
        <v>2145</v>
      </c>
      <c r="C51" t="s">
        <v>1087</v>
      </c>
      <c r="D51">
        <v>1</v>
      </c>
    </row>
    <row r="52" spans="1:4" x14ac:dyDescent="0.25">
      <c r="A52">
        <v>9042861</v>
      </c>
      <c r="B52" s="62" t="s">
        <v>2145</v>
      </c>
      <c r="C52" t="s">
        <v>2159</v>
      </c>
      <c r="D52">
        <v>2</v>
      </c>
    </row>
    <row r="53" spans="1:4" x14ac:dyDescent="0.25">
      <c r="A53">
        <v>9044899</v>
      </c>
      <c r="B53" s="62" t="s">
        <v>2145</v>
      </c>
      <c r="C53" t="s">
        <v>2160</v>
      </c>
      <c r="D53">
        <v>4</v>
      </c>
    </row>
    <row r="54" spans="1:4" x14ac:dyDescent="0.25">
      <c r="A54">
        <v>9052398</v>
      </c>
      <c r="B54" s="62" t="s">
        <v>2145</v>
      </c>
      <c r="C54" t="s">
        <v>2161</v>
      </c>
      <c r="D54">
        <v>2</v>
      </c>
    </row>
    <row r="55" spans="1:4" x14ac:dyDescent="0.25">
      <c r="A55">
        <v>9085204</v>
      </c>
      <c r="B55" s="62" t="s">
        <v>2145</v>
      </c>
      <c r="C55" t="s">
        <v>2162</v>
      </c>
      <c r="D55">
        <v>2</v>
      </c>
    </row>
    <row r="56" spans="1:4" x14ac:dyDescent="0.25">
      <c r="A56">
        <v>9105492</v>
      </c>
      <c r="B56" s="62" t="s">
        <v>2145</v>
      </c>
      <c r="C56" t="s">
        <v>2163</v>
      </c>
      <c r="D56">
        <v>6</v>
      </c>
    </row>
    <row r="57" spans="1:4" x14ac:dyDescent="0.25">
      <c r="A57">
        <v>9138470</v>
      </c>
      <c r="B57" s="62" t="s">
        <v>2145</v>
      </c>
      <c r="C57" t="s">
        <v>19</v>
      </c>
      <c r="D57">
        <v>1</v>
      </c>
    </row>
    <row r="58" spans="1:4" x14ac:dyDescent="0.25">
      <c r="A58">
        <v>9150676</v>
      </c>
      <c r="B58" s="62" t="s">
        <v>2145</v>
      </c>
      <c r="C58" t="s">
        <v>2164</v>
      </c>
      <c r="D58">
        <v>2</v>
      </c>
    </row>
    <row r="59" spans="1:4" x14ac:dyDescent="0.25">
      <c r="A59">
        <v>10010926</v>
      </c>
      <c r="B59" s="62" t="s">
        <v>2145</v>
      </c>
      <c r="C59" t="s">
        <v>2161</v>
      </c>
      <c r="D59">
        <v>2</v>
      </c>
    </row>
    <row r="60" spans="1:4" x14ac:dyDescent="0.25">
      <c r="A60">
        <v>10030897</v>
      </c>
      <c r="B60" s="62" t="s">
        <v>2145</v>
      </c>
      <c r="C60" t="s">
        <v>2165</v>
      </c>
      <c r="D60">
        <v>6</v>
      </c>
    </row>
    <row r="61" spans="1:4" x14ac:dyDescent="0.25">
      <c r="A61">
        <v>324</v>
      </c>
      <c r="B61" s="62" t="s">
        <v>2145</v>
      </c>
      <c r="C61" t="s">
        <v>2166</v>
      </c>
      <c r="D61">
        <v>2</v>
      </c>
    </row>
    <row r="62" spans="1:4" x14ac:dyDescent="0.25">
      <c r="A62">
        <v>3909</v>
      </c>
      <c r="B62" s="62" t="s">
        <v>2145</v>
      </c>
      <c r="C62" t="s">
        <v>2167</v>
      </c>
      <c r="D62">
        <v>2</v>
      </c>
    </row>
    <row r="63" spans="1:4" x14ac:dyDescent="0.25">
      <c r="A63">
        <v>4663</v>
      </c>
      <c r="B63" s="62" t="s">
        <v>2145</v>
      </c>
      <c r="C63" t="s">
        <v>1084</v>
      </c>
      <c r="D63">
        <v>1</v>
      </c>
    </row>
    <row r="64" spans="1:4" x14ac:dyDescent="0.25">
      <c r="A64">
        <v>1005522</v>
      </c>
      <c r="B64" s="62" t="s">
        <v>2145</v>
      </c>
      <c r="C64" t="s">
        <v>2168</v>
      </c>
      <c r="D64">
        <v>4</v>
      </c>
    </row>
    <row r="65" spans="1:4" x14ac:dyDescent="0.25">
      <c r="A65">
        <v>1007631</v>
      </c>
      <c r="B65" s="62" t="s">
        <v>2145</v>
      </c>
      <c r="C65" t="s">
        <v>2169</v>
      </c>
      <c r="D65">
        <v>4</v>
      </c>
    </row>
    <row r="66" spans="1:4" x14ac:dyDescent="0.25">
      <c r="A66">
        <v>1009760</v>
      </c>
      <c r="B66" s="62" t="s">
        <v>2145</v>
      </c>
      <c r="C66" t="s">
        <v>2170</v>
      </c>
      <c r="D66">
        <v>5</v>
      </c>
    </row>
    <row r="67" spans="1:4" x14ac:dyDescent="0.25">
      <c r="A67">
        <v>2000646</v>
      </c>
      <c r="B67" s="62" t="s">
        <v>2145</v>
      </c>
      <c r="C67" t="s">
        <v>2171</v>
      </c>
      <c r="D67">
        <v>5</v>
      </c>
    </row>
    <row r="68" spans="1:4" x14ac:dyDescent="0.25">
      <c r="A68">
        <v>2006469</v>
      </c>
      <c r="B68" s="62" t="s">
        <v>2145</v>
      </c>
      <c r="C68" t="s">
        <v>2172</v>
      </c>
      <c r="D68">
        <v>2</v>
      </c>
    </row>
    <row r="69" spans="1:4" x14ac:dyDescent="0.25">
      <c r="A69">
        <v>3009119</v>
      </c>
      <c r="B69" s="62" t="s">
        <v>2145</v>
      </c>
      <c r="C69" t="s">
        <v>720</v>
      </c>
      <c r="D69">
        <v>1</v>
      </c>
    </row>
    <row r="70" spans="1:4" x14ac:dyDescent="0.25">
      <c r="A70">
        <v>3014643</v>
      </c>
      <c r="B70" s="62" t="s">
        <v>2145</v>
      </c>
      <c r="C70" t="s">
        <v>2173</v>
      </c>
      <c r="D70">
        <v>3</v>
      </c>
    </row>
    <row r="71" spans="1:4" x14ac:dyDescent="0.25">
      <c r="A71">
        <v>3016056</v>
      </c>
      <c r="B71" s="62" t="s">
        <v>2145</v>
      </c>
      <c r="C71" t="s">
        <v>2174</v>
      </c>
      <c r="D71">
        <v>3</v>
      </c>
    </row>
    <row r="72" spans="1:4" x14ac:dyDescent="0.25">
      <c r="A72">
        <v>3900219</v>
      </c>
      <c r="B72" s="62" t="s">
        <v>2145</v>
      </c>
      <c r="C72" t="s">
        <v>2175</v>
      </c>
      <c r="D72">
        <v>4</v>
      </c>
    </row>
    <row r="73" spans="1:4" x14ac:dyDescent="0.25">
      <c r="A73">
        <v>4000158</v>
      </c>
      <c r="B73" s="62" t="s">
        <v>2145</v>
      </c>
      <c r="C73" t="s">
        <v>2176</v>
      </c>
      <c r="D73">
        <v>3</v>
      </c>
    </row>
    <row r="74" spans="1:4" x14ac:dyDescent="0.25">
      <c r="A74">
        <v>4000304</v>
      </c>
      <c r="B74" s="62" t="s">
        <v>2145</v>
      </c>
      <c r="C74" t="s">
        <v>720</v>
      </c>
      <c r="D74">
        <v>1</v>
      </c>
    </row>
    <row r="75" spans="1:4" x14ac:dyDescent="0.25">
      <c r="A75">
        <v>4002206</v>
      </c>
      <c r="B75" s="62" t="s">
        <v>2145</v>
      </c>
      <c r="C75" t="s">
        <v>720</v>
      </c>
      <c r="D75">
        <v>1</v>
      </c>
    </row>
    <row r="76" spans="1:4" x14ac:dyDescent="0.25">
      <c r="A76">
        <v>4003924</v>
      </c>
      <c r="B76" s="62" t="s">
        <v>2145</v>
      </c>
      <c r="C76" t="s">
        <v>19</v>
      </c>
      <c r="D76">
        <v>1</v>
      </c>
    </row>
    <row r="77" spans="1:4" x14ac:dyDescent="0.25">
      <c r="A77">
        <v>4008140</v>
      </c>
      <c r="B77" s="62" t="s">
        <v>2145</v>
      </c>
      <c r="C77" t="s">
        <v>41</v>
      </c>
      <c r="D77">
        <v>1</v>
      </c>
    </row>
    <row r="78" spans="1:4" x14ac:dyDescent="0.25">
      <c r="A78">
        <v>4009906</v>
      </c>
      <c r="B78" s="62" t="s">
        <v>2145</v>
      </c>
      <c r="C78" t="s">
        <v>2177</v>
      </c>
      <c r="D78">
        <v>4</v>
      </c>
    </row>
    <row r="79" spans="1:4" x14ac:dyDescent="0.25">
      <c r="A79">
        <v>4011027</v>
      </c>
      <c r="B79" s="62" t="s">
        <v>2145</v>
      </c>
      <c r="C79" t="s">
        <v>2178</v>
      </c>
      <c r="D79">
        <v>2</v>
      </c>
    </row>
    <row r="80" spans="1:4" x14ac:dyDescent="0.25">
      <c r="A80">
        <v>4011920</v>
      </c>
      <c r="B80" s="62" t="s">
        <v>2145</v>
      </c>
      <c r="C80" t="s">
        <v>2179</v>
      </c>
      <c r="D80">
        <v>3</v>
      </c>
    </row>
    <row r="81" spans="1:4" x14ac:dyDescent="0.25">
      <c r="A81">
        <v>4012248</v>
      </c>
      <c r="B81" s="62" t="s">
        <v>2145</v>
      </c>
      <c r="C81" t="s">
        <v>2180</v>
      </c>
      <c r="D81">
        <v>7</v>
      </c>
    </row>
    <row r="82" spans="1:4" x14ac:dyDescent="0.25">
      <c r="A82">
        <v>4013603</v>
      </c>
      <c r="B82" s="62" t="s">
        <v>2145</v>
      </c>
      <c r="C82" t="s">
        <v>720</v>
      </c>
      <c r="D82">
        <v>1</v>
      </c>
    </row>
    <row r="83" spans="1:4" x14ac:dyDescent="0.25">
      <c r="A83">
        <v>5004654</v>
      </c>
      <c r="B83" s="62" t="s">
        <v>2145</v>
      </c>
      <c r="C83" t="s">
        <v>2181</v>
      </c>
      <c r="D83">
        <v>10</v>
      </c>
    </row>
    <row r="84" spans="1:4" x14ac:dyDescent="0.25">
      <c r="A84">
        <v>4289</v>
      </c>
      <c r="B84" s="62" t="s">
        <v>2145</v>
      </c>
      <c r="C84" t="s">
        <v>2178</v>
      </c>
      <c r="D84">
        <v>2</v>
      </c>
    </row>
    <row r="85" spans="1:4" x14ac:dyDescent="0.25">
      <c r="A85">
        <v>500245</v>
      </c>
      <c r="B85" s="62" t="s">
        <v>2145</v>
      </c>
      <c r="C85" t="s">
        <v>2182</v>
      </c>
      <c r="D85">
        <v>6</v>
      </c>
    </row>
    <row r="86" spans="1:4" x14ac:dyDescent="0.25">
      <c r="A86">
        <v>2002573</v>
      </c>
      <c r="B86" s="62" t="s">
        <v>2145</v>
      </c>
      <c r="C86" t="s">
        <v>2183</v>
      </c>
      <c r="D86">
        <v>3</v>
      </c>
    </row>
    <row r="87" spans="1:4" x14ac:dyDescent="0.25">
      <c r="A87">
        <v>2003649</v>
      </c>
      <c r="B87" s="62" t="s">
        <v>2145</v>
      </c>
      <c r="C87" t="s">
        <v>2184</v>
      </c>
      <c r="D87">
        <v>7</v>
      </c>
    </row>
    <row r="88" spans="1:4" x14ac:dyDescent="0.25">
      <c r="A88">
        <v>2005572</v>
      </c>
      <c r="B88" s="62" t="s">
        <v>2145</v>
      </c>
      <c r="C88" t="s">
        <v>2185</v>
      </c>
      <c r="D88">
        <v>3</v>
      </c>
    </row>
    <row r="89" spans="1:4" x14ac:dyDescent="0.25">
      <c r="A89">
        <v>2013117</v>
      </c>
      <c r="B89" s="62" t="s">
        <v>2145</v>
      </c>
      <c r="C89" t="s">
        <v>41</v>
      </c>
      <c r="D89">
        <v>1</v>
      </c>
    </row>
    <row r="90" spans="1:4" x14ac:dyDescent="0.25">
      <c r="A90">
        <v>3009633</v>
      </c>
      <c r="B90" s="62" t="s">
        <v>2145</v>
      </c>
      <c r="C90" t="s">
        <v>2186</v>
      </c>
      <c r="D90">
        <v>4</v>
      </c>
    </row>
    <row r="91" spans="1:4" x14ac:dyDescent="0.25">
      <c r="A91">
        <v>3010583</v>
      </c>
      <c r="B91" s="62" t="s">
        <v>2145</v>
      </c>
      <c r="C91" t="s">
        <v>2187</v>
      </c>
      <c r="D91">
        <v>3</v>
      </c>
    </row>
    <row r="92" spans="1:4" x14ac:dyDescent="0.25">
      <c r="A92">
        <v>3011892</v>
      </c>
      <c r="B92" s="62" t="s">
        <v>2145</v>
      </c>
      <c r="C92" t="s">
        <v>2188</v>
      </c>
      <c r="D92">
        <v>3</v>
      </c>
    </row>
    <row r="93" spans="1:4" x14ac:dyDescent="0.25">
      <c r="A93">
        <v>4001382</v>
      </c>
      <c r="B93" s="62" t="s">
        <v>2145</v>
      </c>
      <c r="C93" t="s">
        <v>2189</v>
      </c>
      <c r="D93">
        <v>3</v>
      </c>
    </row>
    <row r="94" spans="1:4" x14ac:dyDescent="0.25">
      <c r="A94">
        <v>5018675</v>
      </c>
      <c r="B94" s="62" t="s">
        <v>2145</v>
      </c>
      <c r="C94" t="s">
        <v>1088</v>
      </c>
      <c r="D94">
        <v>1</v>
      </c>
    </row>
    <row r="95" spans="1:4" x14ac:dyDescent="0.25">
      <c r="A95">
        <v>5006592</v>
      </c>
      <c r="B95" s="62" t="s">
        <v>2145</v>
      </c>
      <c r="C95" t="s">
        <v>2190</v>
      </c>
      <c r="D95">
        <v>4</v>
      </c>
    </row>
    <row r="96" spans="1:4" x14ac:dyDescent="0.25">
      <c r="A96">
        <v>5007274</v>
      </c>
      <c r="B96" s="62" t="s">
        <v>2145</v>
      </c>
      <c r="C96" t="s">
        <v>2191</v>
      </c>
      <c r="D96">
        <v>2</v>
      </c>
    </row>
    <row r="97" spans="1:4" x14ac:dyDescent="0.25">
      <c r="A97">
        <v>5015851</v>
      </c>
      <c r="B97" s="62" t="s">
        <v>2145</v>
      </c>
      <c r="C97" t="s">
        <v>2192</v>
      </c>
      <c r="D97">
        <v>5</v>
      </c>
    </row>
    <row r="98" spans="1:4" x14ac:dyDescent="0.25">
      <c r="A98">
        <v>6015647</v>
      </c>
      <c r="B98" s="62" t="s">
        <v>2145</v>
      </c>
      <c r="C98" t="s">
        <v>2193</v>
      </c>
      <c r="D98">
        <v>12</v>
      </c>
    </row>
    <row r="99" spans="1:4" x14ac:dyDescent="0.25">
      <c r="A99">
        <v>6056633</v>
      </c>
      <c r="B99" s="62" t="s">
        <v>2145</v>
      </c>
      <c r="C99" t="s">
        <v>2194</v>
      </c>
      <c r="D99">
        <v>3</v>
      </c>
    </row>
    <row r="100" spans="1:4" x14ac:dyDescent="0.25">
      <c r="A100">
        <v>7086224</v>
      </c>
      <c r="B100" s="62" t="s">
        <v>2145</v>
      </c>
      <c r="C100" t="s">
        <v>2195</v>
      </c>
      <c r="D100">
        <v>4</v>
      </c>
    </row>
    <row r="101" spans="1:4" x14ac:dyDescent="0.25">
      <c r="A101">
        <v>8040959</v>
      </c>
      <c r="B101" s="62" t="s">
        <v>2145</v>
      </c>
      <c r="C101" t="s">
        <v>1563</v>
      </c>
      <c r="D101">
        <v>1</v>
      </c>
    </row>
    <row r="102" spans="1:4" x14ac:dyDescent="0.25">
      <c r="A102">
        <v>8107048</v>
      </c>
      <c r="B102" s="62" t="s">
        <v>2145</v>
      </c>
      <c r="C102" t="s">
        <v>2196</v>
      </c>
      <c r="D102">
        <v>2</v>
      </c>
    </row>
    <row r="103" spans="1:4" x14ac:dyDescent="0.25">
      <c r="A103">
        <v>8124044</v>
      </c>
      <c r="B103" s="62" t="s">
        <v>2145</v>
      </c>
      <c r="C103" t="s">
        <v>2197</v>
      </c>
      <c r="D103">
        <v>13</v>
      </c>
    </row>
    <row r="104" spans="1:4" x14ac:dyDescent="0.25">
      <c r="A104">
        <v>8142949</v>
      </c>
      <c r="B104" s="62" t="s">
        <v>2145</v>
      </c>
      <c r="C104" t="s">
        <v>2198</v>
      </c>
      <c r="D104">
        <v>4</v>
      </c>
    </row>
    <row r="105" spans="1:4" x14ac:dyDescent="0.25">
      <c r="A105">
        <v>9023306</v>
      </c>
      <c r="B105" s="62" t="s">
        <v>2145</v>
      </c>
      <c r="C105" t="s">
        <v>2199</v>
      </c>
      <c r="D105">
        <v>4</v>
      </c>
    </row>
    <row r="106" spans="1:4" x14ac:dyDescent="0.25">
      <c r="A106">
        <v>9030615</v>
      </c>
      <c r="B106" s="62" t="s">
        <v>2145</v>
      </c>
      <c r="C106" t="s">
        <v>2200</v>
      </c>
      <c r="D106">
        <v>4</v>
      </c>
    </row>
    <row r="107" spans="1:4" x14ac:dyDescent="0.25">
      <c r="A107">
        <v>9054567</v>
      </c>
      <c r="B107" s="62" t="s">
        <v>2145</v>
      </c>
      <c r="C107" t="s">
        <v>41</v>
      </c>
      <c r="D107">
        <v>1</v>
      </c>
    </row>
    <row r="108" spans="1:4" x14ac:dyDescent="0.25">
      <c r="A108">
        <v>9083682</v>
      </c>
      <c r="B108" s="62" t="s">
        <v>2145</v>
      </c>
      <c r="C108" t="s">
        <v>2201</v>
      </c>
      <c r="D108">
        <v>3</v>
      </c>
    </row>
    <row r="109" spans="1:4" x14ac:dyDescent="0.25">
      <c r="A109">
        <v>9102044</v>
      </c>
      <c r="B109" s="62" t="s">
        <v>2145</v>
      </c>
      <c r="C109" t="s">
        <v>2202</v>
      </c>
      <c r="D109">
        <v>4</v>
      </c>
    </row>
    <row r="110" spans="1:4" x14ac:dyDescent="0.25">
      <c r="A110">
        <v>9119854</v>
      </c>
      <c r="B110" s="62" t="s">
        <v>2145</v>
      </c>
      <c r="C110" t="s">
        <v>2203</v>
      </c>
      <c r="D110">
        <v>9</v>
      </c>
    </row>
    <row r="111" spans="1:4" x14ac:dyDescent="0.25">
      <c r="A111">
        <v>9125126</v>
      </c>
      <c r="B111" s="62" t="s">
        <v>2145</v>
      </c>
      <c r="C111" t="s">
        <v>2204</v>
      </c>
      <c r="D111">
        <v>4</v>
      </c>
    </row>
    <row r="112" spans="1:4" x14ac:dyDescent="0.25">
      <c r="A112">
        <v>9174811</v>
      </c>
      <c r="B112" s="62" t="s">
        <v>2145</v>
      </c>
      <c r="C112" t="s">
        <v>2205</v>
      </c>
      <c r="D112">
        <v>5</v>
      </c>
    </row>
    <row r="113" spans="1:4" x14ac:dyDescent="0.25">
      <c r="A113">
        <v>10002875</v>
      </c>
      <c r="B113" s="62" t="s">
        <v>2145</v>
      </c>
      <c r="C113" t="s">
        <v>2206</v>
      </c>
      <c r="D113">
        <v>9</v>
      </c>
    </row>
    <row r="114" spans="1:4" x14ac:dyDescent="0.25">
      <c r="A114">
        <v>10023080</v>
      </c>
      <c r="B114" s="62" t="s">
        <v>2145</v>
      </c>
      <c r="C114" t="s">
        <v>2207</v>
      </c>
      <c r="D114">
        <v>2</v>
      </c>
    </row>
    <row r="115" spans="1:4" x14ac:dyDescent="0.25">
      <c r="A115">
        <v>10025212</v>
      </c>
      <c r="B115" s="62" t="s">
        <v>2145</v>
      </c>
      <c r="C115" t="s">
        <v>2208</v>
      </c>
      <c r="D115">
        <v>5</v>
      </c>
    </row>
    <row r="116" spans="1:4" x14ac:dyDescent="0.25">
      <c r="A116">
        <v>10069407</v>
      </c>
      <c r="B116" s="62" t="s">
        <v>2145</v>
      </c>
      <c r="C116" t="s">
        <v>2209</v>
      </c>
      <c r="D116">
        <v>4</v>
      </c>
    </row>
    <row r="117" spans="1:4" x14ac:dyDescent="0.25">
      <c r="A117">
        <v>10071135</v>
      </c>
      <c r="B117" s="62" t="s">
        <v>2145</v>
      </c>
      <c r="C117" t="s">
        <v>2210</v>
      </c>
      <c r="D117">
        <v>4</v>
      </c>
    </row>
    <row r="118" spans="1:4" x14ac:dyDescent="0.25">
      <c r="A118">
        <v>10083649</v>
      </c>
      <c r="B118" s="62" t="s">
        <v>2145</v>
      </c>
      <c r="C118" t="s">
        <v>2211</v>
      </c>
      <c r="D118">
        <v>2</v>
      </c>
    </row>
    <row r="119" spans="1:4" x14ac:dyDescent="0.25">
      <c r="A119">
        <v>10123729</v>
      </c>
      <c r="B119" s="62" t="s">
        <v>2145</v>
      </c>
      <c r="C119" t="s">
        <v>2212</v>
      </c>
      <c r="D119">
        <v>5</v>
      </c>
    </row>
    <row r="120" spans="1:4" x14ac:dyDescent="0.25">
      <c r="A120">
        <v>10144736</v>
      </c>
      <c r="B120" s="62" t="s">
        <v>2145</v>
      </c>
      <c r="C120" t="s">
        <v>2213</v>
      </c>
      <c r="D120">
        <v>4</v>
      </c>
    </row>
    <row r="121" spans="1:4" x14ac:dyDescent="0.25">
      <c r="A121">
        <v>10157275</v>
      </c>
      <c r="B121" s="62" t="s">
        <v>2145</v>
      </c>
      <c r="C121" t="s">
        <v>2214</v>
      </c>
      <c r="D121">
        <v>5</v>
      </c>
    </row>
    <row r="122" spans="1:4" x14ac:dyDescent="0.25">
      <c r="A122">
        <v>5281</v>
      </c>
      <c r="B122" s="62" t="s">
        <v>2145</v>
      </c>
      <c r="C122" t="s">
        <v>2215</v>
      </c>
      <c r="D122">
        <v>2</v>
      </c>
    </row>
    <row r="123" spans="1:4" x14ac:dyDescent="0.25">
      <c r="A123">
        <v>200085</v>
      </c>
      <c r="B123" s="62" t="s">
        <v>2145</v>
      </c>
      <c r="C123" t="s">
        <v>2216</v>
      </c>
      <c r="D123">
        <v>19</v>
      </c>
    </row>
    <row r="124" spans="1:4" x14ac:dyDescent="0.25">
      <c r="A124">
        <v>500129</v>
      </c>
      <c r="B124" s="62" t="s">
        <v>2145</v>
      </c>
      <c r="C124" t="s">
        <v>2217</v>
      </c>
      <c r="D124">
        <v>9</v>
      </c>
    </row>
    <row r="125" spans="1:4" x14ac:dyDescent="0.25">
      <c r="A125">
        <v>1002033</v>
      </c>
      <c r="B125" s="62" t="s">
        <v>2145</v>
      </c>
      <c r="C125" t="s">
        <v>2218</v>
      </c>
      <c r="D125">
        <v>6</v>
      </c>
    </row>
    <row r="126" spans="1:4" x14ac:dyDescent="0.25">
      <c r="A126">
        <v>1003457</v>
      </c>
      <c r="B126" s="62" t="s">
        <v>2145</v>
      </c>
      <c r="C126" t="s">
        <v>720</v>
      </c>
      <c r="D126">
        <v>1</v>
      </c>
    </row>
    <row r="127" spans="1:4" x14ac:dyDescent="0.25">
      <c r="A127">
        <v>2005223</v>
      </c>
      <c r="B127" s="62" t="s">
        <v>2145</v>
      </c>
      <c r="C127" t="s">
        <v>2219</v>
      </c>
      <c r="D127">
        <v>3</v>
      </c>
    </row>
    <row r="128" spans="1:4" x14ac:dyDescent="0.25">
      <c r="A128">
        <v>2006107</v>
      </c>
      <c r="B128" s="62" t="s">
        <v>2145</v>
      </c>
      <c r="C128" t="s">
        <v>2220</v>
      </c>
      <c r="D128">
        <v>2</v>
      </c>
    </row>
    <row r="129" spans="1:4" x14ac:dyDescent="0.25">
      <c r="A129">
        <v>2012014</v>
      </c>
      <c r="B129" s="62" t="s">
        <v>2145</v>
      </c>
      <c r="C129" t="s">
        <v>1379</v>
      </c>
      <c r="D129">
        <v>1</v>
      </c>
    </row>
    <row r="130" spans="1:4" x14ac:dyDescent="0.25">
      <c r="A130">
        <v>3000152</v>
      </c>
      <c r="B130" s="62" t="s">
        <v>2145</v>
      </c>
      <c r="C130" t="s">
        <v>41</v>
      </c>
      <c r="D130">
        <v>1</v>
      </c>
    </row>
    <row r="131" spans="1:4" x14ac:dyDescent="0.25">
      <c r="A131">
        <v>3014566</v>
      </c>
      <c r="B131" s="62" t="s">
        <v>2145</v>
      </c>
      <c r="C131" t="s">
        <v>720</v>
      </c>
      <c r="D131">
        <v>1</v>
      </c>
    </row>
    <row r="132" spans="1:4" x14ac:dyDescent="0.25">
      <c r="A132">
        <v>3015058</v>
      </c>
      <c r="B132" s="62" t="s">
        <v>2145</v>
      </c>
      <c r="C132" t="s">
        <v>2221</v>
      </c>
      <c r="D132">
        <v>4</v>
      </c>
    </row>
    <row r="133" spans="1:4" x14ac:dyDescent="0.25">
      <c r="A133">
        <v>4000996</v>
      </c>
      <c r="B133" s="62" t="s">
        <v>2145</v>
      </c>
      <c r="C133" t="s">
        <v>2222</v>
      </c>
      <c r="D133">
        <v>5</v>
      </c>
    </row>
    <row r="134" spans="1:4" x14ac:dyDescent="0.25">
      <c r="A134">
        <v>4003768</v>
      </c>
      <c r="B134" s="62" t="s">
        <v>2145</v>
      </c>
      <c r="C134" t="s">
        <v>2223</v>
      </c>
      <c r="D134">
        <v>6</v>
      </c>
    </row>
    <row r="135" spans="1:4" x14ac:dyDescent="0.25">
      <c r="A135">
        <v>4006540</v>
      </c>
      <c r="B135" s="62" t="s">
        <v>2145</v>
      </c>
      <c r="C135" t="s">
        <v>2224</v>
      </c>
      <c r="D135">
        <v>4</v>
      </c>
    </row>
    <row r="136" spans="1:4" x14ac:dyDescent="0.25">
      <c r="A136">
        <v>4007054</v>
      </c>
      <c r="B136" s="62" t="s">
        <v>2145</v>
      </c>
      <c r="C136" t="s">
        <v>2225</v>
      </c>
      <c r="D136">
        <v>2</v>
      </c>
    </row>
    <row r="137" spans="1:4" x14ac:dyDescent="0.25">
      <c r="A137">
        <v>4011002</v>
      </c>
      <c r="B137" s="62" t="s">
        <v>2145</v>
      </c>
      <c r="C137" t="s">
        <v>2226</v>
      </c>
      <c r="D137">
        <v>4</v>
      </c>
    </row>
    <row r="138" spans="1:4" x14ac:dyDescent="0.25">
      <c r="A138">
        <v>4900268</v>
      </c>
      <c r="B138" s="62" t="s">
        <v>2145</v>
      </c>
      <c r="C138" t="s">
        <v>41</v>
      </c>
      <c r="D138">
        <v>1</v>
      </c>
    </row>
    <row r="139" spans="1:4" x14ac:dyDescent="0.25">
      <c r="A139">
        <v>5001097</v>
      </c>
      <c r="B139" s="62" t="s">
        <v>2145</v>
      </c>
      <c r="C139" t="s">
        <v>2227</v>
      </c>
      <c r="D139">
        <v>5</v>
      </c>
    </row>
    <row r="140" spans="1:4" x14ac:dyDescent="0.25">
      <c r="A140">
        <v>5001098</v>
      </c>
      <c r="B140" s="62" t="s">
        <v>2145</v>
      </c>
      <c r="C140" t="s">
        <v>2228</v>
      </c>
      <c r="D140">
        <v>5</v>
      </c>
    </row>
    <row r="141" spans="1:4" x14ac:dyDescent="0.25">
      <c r="A141">
        <v>5006152</v>
      </c>
      <c r="B141" s="62" t="s">
        <v>2145</v>
      </c>
      <c r="C141" t="s">
        <v>2229</v>
      </c>
      <c r="D141">
        <v>2</v>
      </c>
    </row>
    <row r="142" spans="1:4" x14ac:dyDescent="0.25">
      <c r="A142">
        <v>6012361</v>
      </c>
      <c r="B142" s="62" t="s">
        <v>2145</v>
      </c>
      <c r="C142" t="s">
        <v>2230</v>
      </c>
      <c r="D142">
        <v>3</v>
      </c>
    </row>
    <row r="143" spans="1:4" x14ac:dyDescent="0.25">
      <c r="A143">
        <v>6015793</v>
      </c>
      <c r="B143" s="62" t="s">
        <v>2145</v>
      </c>
      <c r="C143" t="s">
        <v>2231</v>
      </c>
      <c r="D143">
        <v>3</v>
      </c>
    </row>
    <row r="144" spans="1:4" x14ac:dyDescent="0.25">
      <c r="A144">
        <v>6043619</v>
      </c>
      <c r="B144" s="62" t="s">
        <v>2145</v>
      </c>
      <c r="C144" t="s">
        <v>720</v>
      </c>
      <c r="D144">
        <v>1</v>
      </c>
    </row>
    <row r="145" spans="1:4" x14ac:dyDescent="0.25">
      <c r="A145">
        <v>7001097</v>
      </c>
      <c r="B145" s="62" t="s">
        <v>2145</v>
      </c>
      <c r="C145" t="s">
        <v>2232</v>
      </c>
      <c r="D145">
        <v>13</v>
      </c>
    </row>
    <row r="146" spans="1:4" x14ac:dyDescent="0.25">
      <c r="A146">
        <v>7011435</v>
      </c>
      <c r="B146" s="62" t="s">
        <v>2145</v>
      </c>
      <c r="C146" t="s">
        <v>2233</v>
      </c>
      <c r="D146">
        <v>4</v>
      </c>
    </row>
    <row r="147" spans="1:4" x14ac:dyDescent="0.25">
      <c r="A147">
        <v>7045811</v>
      </c>
      <c r="B147" s="62" t="s">
        <v>2145</v>
      </c>
      <c r="C147" t="s">
        <v>2234</v>
      </c>
      <c r="D147">
        <v>2</v>
      </c>
    </row>
    <row r="148" spans="1:4" x14ac:dyDescent="0.25">
      <c r="A148">
        <v>7101143</v>
      </c>
      <c r="B148" s="62" t="s">
        <v>2145</v>
      </c>
      <c r="C148" t="s">
        <v>2235</v>
      </c>
      <c r="D148">
        <v>6</v>
      </c>
    </row>
    <row r="149" spans="1:4" x14ac:dyDescent="0.25">
      <c r="A149">
        <v>8073645</v>
      </c>
      <c r="B149" s="62" t="s">
        <v>2145</v>
      </c>
      <c r="C149" t="s">
        <v>19</v>
      </c>
      <c r="D149">
        <v>1</v>
      </c>
    </row>
    <row r="150" spans="1:4" x14ac:dyDescent="0.25">
      <c r="A150">
        <v>8089666</v>
      </c>
      <c r="B150" s="62" t="s">
        <v>2145</v>
      </c>
      <c r="C150" t="s">
        <v>2236</v>
      </c>
      <c r="D150">
        <v>5</v>
      </c>
    </row>
    <row r="151" spans="1:4" x14ac:dyDescent="0.25">
      <c r="A151">
        <v>8103536</v>
      </c>
      <c r="B151" s="62" t="s">
        <v>2145</v>
      </c>
      <c r="C151" t="s">
        <v>19</v>
      </c>
      <c r="D151">
        <v>1</v>
      </c>
    </row>
    <row r="152" spans="1:4" x14ac:dyDescent="0.25">
      <c r="A152">
        <v>8124816</v>
      </c>
      <c r="B152" s="62" t="s">
        <v>2145</v>
      </c>
      <c r="C152" t="s">
        <v>2237</v>
      </c>
      <c r="D152">
        <v>5</v>
      </c>
    </row>
    <row r="153" spans="1:4" x14ac:dyDescent="0.25">
      <c r="A153">
        <v>9003267</v>
      </c>
      <c r="B153" s="62" t="s">
        <v>2145</v>
      </c>
      <c r="C153" t="s">
        <v>2238</v>
      </c>
      <c r="D153">
        <v>3</v>
      </c>
    </row>
    <row r="154" spans="1:4" x14ac:dyDescent="0.25">
      <c r="A154">
        <v>9036964</v>
      </c>
      <c r="B154" s="62" t="s">
        <v>2145</v>
      </c>
      <c r="C154" t="s">
        <v>2239</v>
      </c>
      <c r="D154">
        <v>7</v>
      </c>
    </row>
    <row r="155" spans="1:4" x14ac:dyDescent="0.25">
      <c r="A155">
        <v>9090287</v>
      </c>
      <c r="B155" s="62" t="s">
        <v>2145</v>
      </c>
      <c r="C155" t="s">
        <v>2240</v>
      </c>
      <c r="D155">
        <v>5</v>
      </c>
    </row>
    <row r="156" spans="1:4" x14ac:dyDescent="0.25">
      <c r="A156">
        <v>9095148</v>
      </c>
      <c r="B156" s="62" t="s">
        <v>2145</v>
      </c>
      <c r="C156" t="s">
        <v>19</v>
      </c>
      <c r="D156">
        <v>1</v>
      </c>
    </row>
    <row r="157" spans="1:4" x14ac:dyDescent="0.25">
      <c r="A157">
        <v>9104979</v>
      </c>
      <c r="B157" s="62" t="s">
        <v>2145</v>
      </c>
      <c r="C157" t="s">
        <v>2241</v>
      </c>
      <c r="D157">
        <v>6</v>
      </c>
    </row>
    <row r="158" spans="1:4" x14ac:dyDescent="0.25">
      <c r="A158">
        <v>9139514</v>
      </c>
      <c r="B158" s="62" t="s">
        <v>2145</v>
      </c>
      <c r="C158" t="s">
        <v>2242</v>
      </c>
      <c r="D158">
        <v>5</v>
      </c>
    </row>
    <row r="159" spans="1:4" x14ac:dyDescent="0.25">
      <c r="A159">
        <v>10020659</v>
      </c>
      <c r="B159" s="62" t="s">
        <v>2145</v>
      </c>
      <c r="C159" t="s">
        <v>2243</v>
      </c>
      <c r="D159">
        <v>6</v>
      </c>
    </row>
    <row r="160" spans="1:4" x14ac:dyDescent="0.25">
      <c r="A160">
        <v>10025902</v>
      </c>
      <c r="B160" s="62" t="s">
        <v>2145</v>
      </c>
      <c r="C160" t="s">
        <v>2244</v>
      </c>
      <c r="D160">
        <v>6</v>
      </c>
    </row>
    <row r="161" spans="1:4" x14ac:dyDescent="0.25">
      <c r="A161">
        <v>10027654</v>
      </c>
      <c r="B161" s="62" t="s">
        <v>2145</v>
      </c>
      <c r="C161" t="s">
        <v>2245</v>
      </c>
      <c r="D161">
        <v>5</v>
      </c>
    </row>
    <row r="162" spans="1:4" x14ac:dyDescent="0.25">
      <c r="A162">
        <v>10084485</v>
      </c>
      <c r="B162" s="62" t="s">
        <v>2145</v>
      </c>
      <c r="C162" t="s">
        <v>720</v>
      </c>
      <c r="D162">
        <v>1</v>
      </c>
    </row>
    <row r="163" spans="1:4" x14ac:dyDescent="0.25">
      <c r="A163">
        <v>10098420</v>
      </c>
      <c r="B163" s="62" t="s">
        <v>2145</v>
      </c>
      <c r="C163" t="s">
        <v>2156</v>
      </c>
      <c r="D163">
        <v>3</v>
      </c>
    </row>
    <row r="164" spans="1:4" x14ac:dyDescent="0.25">
      <c r="A164">
        <v>10129565</v>
      </c>
      <c r="B164" s="62" t="s">
        <v>2145</v>
      </c>
      <c r="C164" t="s">
        <v>2246</v>
      </c>
      <c r="D164">
        <v>4</v>
      </c>
    </row>
    <row r="165" spans="1:4" x14ac:dyDescent="0.25">
      <c r="A165">
        <v>10146828</v>
      </c>
      <c r="B165" s="62" t="s">
        <v>2145</v>
      </c>
      <c r="C165" t="s">
        <v>2247</v>
      </c>
      <c r="D165">
        <v>4</v>
      </c>
    </row>
    <row r="166" spans="1:4" x14ac:dyDescent="0.25">
      <c r="A166">
        <v>10163776</v>
      </c>
      <c r="B166" s="62" t="s">
        <v>2145</v>
      </c>
      <c r="C166" t="s">
        <v>2248</v>
      </c>
      <c r="D166">
        <v>2</v>
      </c>
    </row>
    <row r="167" spans="1:4" x14ac:dyDescent="0.25">
      <c r="A167">
        <v>10173664</v>
      </c>
      <c r="B167" s="62" t="s">
        <v>2145</v>
      </c>
      <c r="C167" t="s">
        <v>2249</v>
      </c>
      <c r="D167">
        <v>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CDEA-A5AA-4125-BF98-C9BB76350B47}">
  <dimension ref="A1:CC239"/>
  <sheetViews>
    <sheetView workbookViewId="0">
      <selection activeCell="C18" sqref="C18"/>
    </sheetView>
  </sheetViews>
  <sheetFormatPr baseColWidth="10" defaultRowHeight="15" x14ac:dyDescent="0.25"/>
  <cols>
    <col min="1" max="1" width="17.140625" customWidth="1"/>
    <col min="2" max="4" width="39" customWidth="1"/>
    <col min="5" max="8" width="33.5703125" customWidth="1"/>
    <col min="9" max="9" width="38" customWidth="1"/>
    <col min="10" max="13" width="33.5703125" customWidth="1"/>
    <col min="14" max="14" width="32.5703125" customWidth="1"/>
    <col min="15" max="15" width="37" customWidth="1"/>
    <col min="16" max="20" width="32.5703125" customWidth="1"/>
    <col min="21" max="21" width="37" customWidth="1"/>
    <col min="22" max="22" width="31.42578125" customWidth="1"/>
    <col min="23" max="23" width="28" customWidth="1"/>
    <col min="24" max="24" width="14.28515625" customWidth="1"/>
    <col min="28" max="28" width="14.7109375" customWidth="1"/>
    <col min="31" max="31" width="17.28515625" customWidth="1"/>
    <col min="32" max="34" width="12.42578125" customWidth="1"/>
    <col min="35" max="35" width="17.28515625" customWidth="1"/>
    <col min="36" max="38" width="12.42578125" customWidth="1"/>
    <col min="39" max="39" width="17.28515625" customWidth="1"/>
    <col min="40" max="42" width="12.42578125" customWidth="1"/>
    <col min="43" max="43" width="17.28515625" customWidth="1"/>
    <col min="44" max="47" width="12.42578125" customWidth="1"/>
    <col min="48" max="48" width="17.28515625" customWidth="1"/>
    <col min="49" max="49" width="12.42578125" customWidth="1"/>
    <col min="50" max="51" width="15.140625" customWidth="1"/>
    <col min="52" max="53" width="20" customWidth="1"/>
    <col min="54" max="59" width="15.140625" customWidth="1"/>
    <col min="60" max="67" width="20" customWidth="1"/>
    <col min="68" max="75" width="15.140625" customWidth="1"/>
    <col min="76" max="76" width="20" customWidth="1"/>
    <col min="77" max="78" width="15.140625" customWidth="1"/>
    <col min="79" max="81" width="20" customWidth="1"/>
  </cols>
  <sheetData>
    <row r="1" spans="1:81" ht="75" x14ac:dyDescent="0.25">
      <c r="A1" s="57" t="s">
        <v>43</v>
      </c>
      <c r="B1" s="58" t="s">
        <v>1792</v>
      </c>
      <c r="C1" s="58" t="s">
        <v>1779</v>
      </c>
      <c r="D1" s="58" t="s">
        <v>1106</v>
      </c>
      <c r="E1" s="58" t="s">
        <v>1013</v>
      </c>
      <c r="F1" s="58" t="s">
        <v>1797</v>
      </c>
      <c r="G1" s="58" t="s">
        <v>1793</v>
      </c>
      <c r="H1" s="58" t="s">
        <v>904</v>
      </c>
      <c r="I1" s="58" t="s">
        <v>1107</v>
      </c>
      <c r="J1" s="58" t="s">
        <v>905</v>
      </c>
      <c r="K1" s="58" t="s">
        <v>890</v>
      </c>
      <c r="L1" s="58" t="s">
        <v>1322</v>
      </c>
      <c r="M1" s="58" t="s">
        <v>1380</v>
      </c>
      <c r="N1" s="58" t="s">
        <v>1357</v>
      </c>
      <c r="O1" s="58" t="s">
        <v>1108</v>
      </c>
      <c r="P1" s="58" t="s">
        <v>75</v>
      </c>
      <c r="Q1" s="58" t="s">
        <v>1321</v>
      </c>
      <c r="R1" s="58" t="s">
        <v>1320</v>
      </c>
      <c r="S1" s="58" t="s">
        <v>1438</v>
      </c>
      <c r="T1" s="58" t="s">
        <v>996</v>
      </c>
      <c r="U1" s="58" t="s">
        <v>1109</v>
      </c>
      <c r="V1" s="58" t="s">
        <v>123</v>
      </c>
      <c r="W1" s="58" t="s">
        <v>1110</v>
      </c>
      <c r="X1" s="59" t="s">
        <v>585</v>
      </c>
      <c r="Y1" s="58" t="s">
        <v>586</v>
      </c>
      <c r="Z1" s="58" t="s">
        <v>24</v>
      </c>
      <c r="AA1" s="58" t="s">
        <v>25</v>
      </c>
      <c r="AB1" s="58" t="s">
        <v>1111</v>
      </c>
      <c r="AC1" s="58" t="s">
        <v>26</v>
      </c>
      <c r="AD1" s="58" t="s">
        <v>518</v>
      </c>
      <c r="AE1" s="58" t="s">
        <v>1112</v>
      </c>
      <c r="AF1" s="58" t="s">
        <v>59</v>
      </c>
      <c r="AG1" s="58" t="s">
        <v>911</v>
      </c>
      <c r="AH1" s="58" t="s">
        <v>48</v>
      </c>
      <c r="AI1" s="58" t="s">
        <v>1113</v>
      </c>
      <c r="AJ1" s="58" t="s">
        <v>79</v>
      </c>
      <c r="AK1" s="58" t="s">
        <v>126</v>
      </c>
      <c r="AL1" s="58" t="s">
        <v>23</v>
      </c>
      <c r="AM1" s="58" t="s">
        <v>1114</v>
      </c>
      <c r="AN1" s="58" t="s">
        <v>40</v>
      </c>
      <c r="AO1" s="58" t="s">
        <v>713</v>
      </c>
      <c r="AP1" s="58" t="s">
        <v>711</v>
      </c>
      <c r="AQ1" s="58" t="s">
        <v>1115</v>
      </c>
      <c r="AR1" s="58" t="s">
        <v>875</v>
      </c>
      <c r="AS1" s="58" t="s">
        <v>725</v>
      </c>
      <c r="AT1" s="58" t="s">
        <v>1017</v>
      </c>
      <c r="AU1" s="58" t="s">
        <v>1559</v>
      </c>
      <c r="AV1" s="58" t="s">
        <v>1116</v>
      </c>
      <c r="AW1" s="58" t="s">
        <v>882</v>
      </c>
      <c r="AX1" s="58" t="s">
        <v>960</v>
      </c>
      <c r="AY1" s="58" t="s">
        <v>955</v>
      </c>
      <c r="AZ1" s="58" t="s">
        <v>1117</v>
      </c>
      <c r="BA1" s="58" t="s">
        <v>1121</v>
      </c>
      <c r="BB1" s="58" t="s">
        <v>1344</v>
      </c>
      <c r="BC1" s="58" t="s">
        <v>1122</v>
      </c>
      <c r="BD1" s="58" t="s">
        <v>1771</v>
      </c>
      <c r="BE1" s="58" t="s">
        <v>1600</v>
      </c>
      <c r="BF1" s="58" t="s">
        <v>792</v>
      </c>
      <c r="BG1" s="58" t="s">
        <v>931</v>
      </c>
      <c r="BH1" s="58" t="s">
        <v>1604</v>
      </c>
      <c r="BI1" s="58" t="s">
        <v>1573</v>
      </c>
      <c r="BJ1" s="58" t="s">
        <v>1551</v>
      </c>
      <c r="BK1" s="58" t="s">
        <v>1530</v>
      </c>
      <c r="BL1" s="58" t="s">
        <v>1118</v>
      </c>
      <c r="BM1" s="58" t="s">
        <v>1712</v>
      </c>
      <c r="BN1" s="58" t="s">
        <v>1713</v>
      </c>
      <c r="BO1" s="58" t="s">
        <v>1574</v>
      </c>
      <c r="BP1" s="58" t="s">
        <v>1714</v>
      </c>
      <c r="BQ1" s="58" t="s">
        <v>1599</v>
      </c>
      <c r="BR1" s="58" t="s">
        <v>886</v>
      </c>
      <c r="BS1" s="58" t="s">
        <v>961</v>
      </c>
      <c r="BT1" s="58" t="s">
        <v>1728</v>
      </c>
      <c r="BU1" s="58" t="s">
        <v>1552</v>
      </c>
      <c r="BV1" s="58" t="s">
        <v>793</v>
      </c>
      <c r="BW1" s="58" t="s">
        <v>1531</v>
      </c>
      <c r="BX1" s="58" t="s">
        <v>1119</v>
      </c>
      <c r="BY1" s="58" t="s">
        <v>940</v>
      </c>
      <c r="BZ1" s="58" t="s">
        <v>941</v>
      </c>
      <c r="CA1" s="58" t="s">
        <v>1120</v>
      </c>
      <c r="CB1" s="58" t="s">
        <v>1532</v>
      </c>
      <c r="CC1" s="58" t="s">
        <v>1615</v>
      </c>
    </row>
    <row r="2" spans="1:81" x14ac:dyDescent="0.25">
      <c r="A2" s="40" t="s">
        <v>512</v>
      </c>
    </row>
    <row r="3" spans="1:81" x14ac:dyDescent="0.25">
      <c r="A3" s="10" t="s">
        <v>1868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</row>
    <row r="4" spans="1:81" x14ac:dyDescent="0.25">
      <c r="A4" s="48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</row>
    <row r="5" spans="1:81" x14ac:dyDescent="0.25">
      <c r="A5" s="48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</row>
    <row r="6" spans="1:81" x14ac:dyDescent="0.25">
      <c r="A6" s="48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</row>
    <row r="7" spans="1:81" x14ac:dyDescent="0.25">
      <c r="A7" s="48">
        <v>95005911</v>
      </c>
      <c r="W7">
        <v>70</v>
      </c>
    </row>
    <row r="8" spans="1:81" x14ac:dyDescent="0.25">
      <c r="A8" s="48">
        <v>99001908</v>
      </c>
      <c r="W8">
        <v>25</v>
      </c>
    </row>
    <row r="9" spans="1:81" x14ac:dyDescent="0.25">
      <c r="A9" s="48">
        <v>99004067</v>
      </c>
      <c r="W9">
        <v>106</v>
      </c>
    </row>
    <row r="10" spans="1:81" x14ac:dyDescent="0.25">
      <c r="A10" s="48">
        <v>97002136</v>
      </c>
      <c r="W10">
        <v>440</v>
      </c>
    </row>
    <row r="11" spans="1:81" x14ac:dyDescent="0.25">
      <c r="A11" s="48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>
        <v>112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</row>
    <row r="12" spans="1:81" x14ac:dyDescent="0.25">
      <c r="A12" s="48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</row>
    <row r="13" spans="1:81" x14ac:dyDescent="0.25">
      <c r="A13" s="48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</row>
    <row r="14" spans="1:81" x14ac:dyDescent="0.25">
      <c r="A14" s="48"/>
    </row>
    <row r="15" spans="1:81" x14ac:dyDescent="0.25">
      <c r="A15" s="50" t="s">
        <v>1869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</row>
    <row r="16" spans="1:81" x14ac:dyDescent="0.25">
      <c r="A16" s="48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</row>
    <row r="17" spans="1:81" x14ac:dyDescent="0.25">
      <c r="A17" s="48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56</v>
      </c>
      <c r="AF17" s="6"/>
      <c r="AG17" s="6"/>
      <c r="AH17" s="6"/>
      <c r="AI17" s="6"/>
      <c r="AJ17" s="6"/>
      <c r="AK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</row>
    <row r="18" spans="1:81" x14ac:dyDescent="0.25">
      <c r="A18" s="48">
        <v>3000983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>
        <v>22</v>
      </c>
      <c r="AC18">
        <v>943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>
        <v>847</v>
      </c>
    </row>
    <row r="19" spans="1:81" x14ac:dyDescent="0.25">
      <c r="A19" s="48">
        <v>10064335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>
        <v>126</v>
      </c>
      <c r="AL19">
        <v>140</v>
      </c>
      <c r="AN19">
        <v>171</v>
      </c>
      <c r="AX19">
        <v>183</v>
      </c>
    </row>
    <row r="20" spans="1:81" x14ac:dyDescent="0.25">
      <c r="A20" s="49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</row>
    <row r="21" spans="1:81" x14ac:dyDescent="0.25">
      <c r="A21" s="50" t="s">
        <v>1870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</row>
    <row r="22" spans="1:81" x14ac:dyDescent="0.25">
      <c r="A22" s="48">
        <v>1480</v>
      </c>
      <c r="AC22">
        <v>49</v>
      </c>
    </row>
    <row r="23" spans="1:81" x14ac:dyDescent="0.25">
      <c r="A23" s="48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</row>
    <row r="24" spans="1:81" x14ac:dyDescent="0.25">
      <c r="A24" s="48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</row>
    <row r="25" spans="1:81" x14ac:dyDescent="0.25">
      <c r="A25" s="48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>
        <v>27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</row>
    <row r="26" spans="1:81" x14ac:dyDescent="0.25">
      <c r="A26" s="48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>
        <v>6.93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</row>
    <row r="27" spans="1:81" x14ac:dyDescent="0.25">
      <c r="A27" s="48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>
        <v>240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</row>
    <row r="28" spans="1:81" x14ac:dyDescent="0.25">
      <c r="A28" s="4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>
        <v>45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</row>
    <row r="29" spans="1:81" x14ac:dyDescent="0.25">
      <c r="A29" s="48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W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>
        <v>72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</row>
    <row r="30" spans="1:81" x14ac:dyDescent="0.25">
      <c r="A30" s="48">
        <v>99000897</v>
      </c>
    </row>
    <row r="31" spans="1:81" x14ac:dyDescent="0.25">
      <c r="A31" s="48">
        <v>99001245</v>
      </c>
    </row>
    <row r="32" spans="1:81" x14ac:dyDescent="0.25">
      <c r="A32" s="48">
        <v>99001902</v>
      </c>
      <c r="Z32">
        <v>18</v>
      </c>
    </row>
    <row r="33" spans="1:81" x14ac:dyDescent="0.25">
      <c r="A33" s="48">
        <v>99001912</v>
      </c>
      <c r="AC33">
        <v>139</v>
      </c>
    </row>
    <row r="34" spans="1:81" x14ac:dyDescent="0.25">
      <c r="A34" s="48">
        <v>99001913</v>
      </c>
      <c r="Z34">
        <v>22</v>
      </c>
    </row>
    <row r="35" spans="1:81" x14ac:dyDescent="0.25">
      <c r="A35" s="48">
        <v>99001937</v>
      </c>
      <c r="AE35">
        <v>53</v>
      </c>
    </row>
    <row r="36" spans="1:81" x14ac:dyDescent="0.25">
      <c r="A36" s="48">
        <v>99001943</v>
      </c>
      <c r="AN36">
        <v>162</v>
      </c>
    </row>
    <row r="37" spans="1:81" x14ac:dyDescent="0.25">
      <c r="A37" s="48">
        <v>99001927</v>
      </c>
      <c r="W37">
        <v>167</v>
      </c>
    </row>
    <row r="38" spans="1:81" x14ac:dyDescent="0.25">
      <c r="A38" s="4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</row>
    <row r="39" spans="1:81" x14ac:dyDescent="0.25">
      <c r="A39" s="48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E39" s="6"/>
      <c r="AF39">
        <v>51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</row>
    <row r="40" spans="1:81" x14ac:dyDescent="0.25">
      <c r="A40" s="48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246</v>
      </c>
      <c r="W40" s="6"/>
      <c r="X40" s="6"/>
      <c r="Y40">
        <v>201</v>
      </c>
      <c r="Z40">
        <v>180</v>
      </c>
      <c r="AA40">
        <v>177</v>
      </c>
      <c r="AB40" s="6"/>
      <c r="AC40">
        <v>246</v>
      </c>
      <c r="AE40" s="6"/>
      <c r="AH40" s="6"/>
      <c r="AI40">
        <v>41</v>
      </c>
      <c r="AK40">
        <v>70</v>
      </c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</row>
    <row r="41" spans="1:81" x14ac:dyDescent="0.25">
      <c r="A41" s="48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>
        <v>27</v>
      </c>
      <c r="W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</row>
    <row r="42" spans="1:81" x14ac:dyDescent="0.25">
      <c r="A42" s="48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W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>
        <v>75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</row>
    <row r="43" spans="1:81" x14ac:dyDescent="0.25">
      <c r="A43" s="4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W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</row>
    <row r="44" spans="1:81" x14ac:dyDescent="0.25">
      <c r="A44" s="25" t="s">
        <v>129</v>
      </c>
    </row>
    <row r="45" spans="1:81" x14ac:dyDescent="0.25">
      <c r="A45" s="50" t="s">
        <v>106</v>
      </c>
    </row>
    <row r="46" spans="1:81" x14ac:dyDescent="0.25">
      <c r="A46" s="48">
        <v>6016435</v>
      </c>
    </row>
    <row r="47" spans="1:81" x14ac:dyDescent="0.25">
      <c r="A47" s="48">
        <v>8045149</v>
      </c>
    </row>
    <row r="48" spans="1:81" x14ac:dyDescent="0.25">
      <c r="A48" s="48">
        <v>10023001</v>
      </c>
    </row>
    <row r="49" spans="1:32" x14ac:dyDescent="0.25">
      <c r="A49" s="48">
        <v>10027526</v>
      </c>
    </row>
    <row r="50" spans="1:32" x14ac:dyDescent="0.25">
      <c r="A50" s="48">
        <v>14222171</v>
      </c>
    </row>
    <row r="51" spans="1:32" x14ac:dyDescent="0.25">
      <c r="A51" s="48">
        <v>1006143</v>
      </c>
      <c r="W51">
        <v>20</v>
      </c>
    </row>
    <row r="52" spans="1:32" x14ac:dyDescent="0.25">
      <c r="A52" s="48">
        <v>6006917</v>
      </c>
      <c r="W52">
        <v>81</v>
      </c>
    </row>
    <row r="53" spans="1:32" x14ac:dyDescent="0.25">
      <c r="A53" s="48"/>
    </row>
    <row r="54" spans="1:32" x14ac:dyDescent="0.25">
      <c r="A54" s="50" t="s">
        <v>109</v>
      </c>
    </row>
    <row r="55" spans="1:32" x14ac:dyDescent="0.25">
      <c r="A55" s="48">
        <v>8057159</v>
      </c>
      <c r="AD55">
        <v>68</v>
      </c>
      <c r="AF55">
        <v>71</v>
      </c>
    </row>
    <row r="56" spans="1:32" x14ac:dyDescent="0.25">
      <c r="A56" s="48">
        <v>9140312</v>
      </c>
    </row>
    <row r="57" spans="1:32" x14ac:dyDescent="0.25">
      <c r="A57" s="48">
        <v>12008230</v>
      </c>
    </row>
    <row r="58" spans="1:32" x14ac:dyDescent="0.25">
      <c r="A58" s="48">
        <v>12088444</v>
      </c>
    </row>
    <row r="59" spans="1:32" x14ac:dyDescent="0.25">
      <c r="A59" s="48">
        <v>13118872</v>
      </c>
    </row>
    <row r="60" spans="1:32" x14ac:dyDescent="0.25">
      <c r="A60" s="48">
        <v>12012030</v>
      </c>
    </row>
    <row r="61" spans="1:32" x14ac:dyDescent="0.25">
      <c r="A61" s="48"/>
    </row>
    <row r="62" spans="1:32" x14ac:dyDescent="0.25">
      <c r="A62" s="50" t="s">
        <v>83</v>
      </c>
    </row>
    <row r="63" spans="1:32" x14ac:dyDescent="0.25">
      <c r="A63" s="48">
        <v>9074418</v>
      </c>
    </row>
    <row r="64" spans="1:32" x14ac:dyDescent="0.25">
      <c r="A64" s="48">
        <v>1263</v>
      </c>
    </row>
    <row r="65" spans="1:81" x14ac:dyDescent="0.25">
      <c r="A65" s="48">
        <v>98004910</v>
      </c>
      <c r="W65">
        <v>225</v>
      </c>
    </row>
    <row r="66" spans="1:81" x14ac:dyDescent="0.25">
      <c r="A66" s="48">
        <v>7103068</v>
      </c>
      <c r="W66">
        <v>163.80000000000001</v>
      </c>
      <c r="AL66">
        <v>75</v>
      </c>
    </row>
    <row r="67" spans="1:81" x14ac:dyDescent="0.25">
      <c r="A67" s="48">
        <v>11240728</v>
      </c>
      <c r="X67">
        <v>336</v>
      </c>
      <c r="Y67">
        <v>325.2</v>
      </c>
      <c r="AA67">
        <v>424.2</v>
      </c>
      <c r="AD67">
        <v>268.2</v>
      </c>
    </row>
    <row r="68" spans="1:81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W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</row>
    <row r="69" spans="1:81" x14ac:dyDescent="0.25">
      <c r="A69" s="26" t="s">
        <v>130</v>
      </c>
    </row>
    <row r="70" spans="1:81" x14ac:dyDescent="0.25">
      <c r="A70" s="10" t="s">
        <v>106</v>
      </c>
    </row>
    <row r="71" spans="1:81" x14ac:dyDescent="0.25">
      <c r="A71" s="48">
        <v>5015869</v>
      </c>
      <c r="X71">
        <v>113</v>
      </c>
      <c r="AC71">
        <v>443</v>
      </c>
    </row>
    <row r="72" spans="1:81" x14ac:dyDescent="0.25">
      <c r="A72" s="48">
        <v>5016969</v>
      </c>
    </row>
    <row r="73" spans="1:81" x14ac:dyDescent="0.25">
      <c r="A73" s="48">
        <v>6023231</v>
      </c>
    </row>
    <row r="74" spans="1:81" x14ac:dyDescent="0.25">
      <c r="A74" s="48">
        <v>6010712</v>
      </c>
    </row>
    <row r="75" spans="1:81" x14ac:dyDescent="0.25">
      <c r="A75" s="48">
        <v>6011198</v>
      </c>
    </row>
    <row r="76" spans="1:81" x14ac:dyDescent="0.25">
      <c r="A76" s="48">
        <v>6012681</v>
      </c>
    </row>
    <row r="77" spans="1:81" x14ac:dyDescent="0.25">
      <c r="A77" s="48">
        <v>6014511</v>
      </c>
    </row>
    <row r="78" spans="1:81" x14ac:dyDescent="0.25">
      <c r="A78" s="48">
        <v>6045127</v>
      </c>
    </row>
    <row r="79" spans="1:81" x14ac:dyDescent="0.25">
      <c r="A79" s="48">
        <v>7000458</v>
      </c>
      <c r="AC79">
        <v>166</v>
      </c>
    </row>
    <row r="80" spans="1:81" x14ac:dyDescent="0.25">
      <c r="A80" s="48">
        <v>7015502</v>
      </c>
      <c r="X80">
        <v>263</v>
      </c>
    </row>
    <row r="81" spans="1:58" x14ac:dyDescent="0.25">
      <c r="A81" s="48">
        <v>7025847</v>
      </c>
    </row>
    <row r="82" spans="1:58" x14ac:dyDescent="0.25">
      <c r="A82" s="48">
        <v>7082707</v>
      </c>
      <c r="AP82">
        <v>492.6</v>
      </c>
    </row>
    <row r="83" spans="1:58" x14ac:dyDescent="0.25">
      <c r="A83" s="48">
        <v>7083159</v>
      </c>
      <c r="AO83">
        <v>380.4</v>
      </c>
    </row>
    <row r="84" spans="1:58" x14ac:dyDescent="0.25">
      <c r="A84" s="48">
        <v>7084659</v>
      </c>
    </row>
    <row r="85" spans="1:58" x14ac:dyDescent="0.25">
      <c r="A85" s="48">
        <v>7076814</v>
      </c>
    </row>
    <row r="86" spans="1:58" x14ac:dyDescent="0.25">
      <c r="A86" s="48">
        <v>7076815</v>
      </c>
    </row>
    <row r="87" spans="1:58" x14ac:dyDescent="0.25">
      <c r="A87" s="48">
        <v>7089231</v>
      </c>
      <c r="O87" s="48"/>
      <c r="P87" s="48"/>
      <c r="Q87" s="48"/>
      <c r="R87" s="48"/>
      <c r="S87" s="48"/>
      <c r="T87" s="48"/>
      <c r="U87" s="48"/>
      <c r="V87" s="48"/>
      <c r="W87" s="48">
        <v>131</v>
      </c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</row>
    <row r="88" spans="1:58" x14ac:dyDescent="0.25">
      <c r="A88" s="48">
        <v>7116004</v>
      </c>
      <c r="O88" s="48"/>
      <c r="P88" s="48"/>
      <c r="Q88" s="48"/>
      <c r="R88" s="48"/>
      <c r="S88" s="48"/>
      <c r="T88" s="48"/>
      <c r="U88" s="48"/>
      <c r="V88" s="48"/>
      <c r="W88" s="48">
        <v>11</v>
      </c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</row>
    <row r="89" spans="1:58" x14ac:dyDescent="0.25">
      <c r="A89" s="48">
        <v>8003819</v>
      </c>
      <c r="O89" s="48"/>
      <c r="P89" s="48"/>
      <c r="Q89" s="48"/>
      <c r="R89" s="48"/>
      <c r="S89" s="48"/>
      <c r="T89" s="48"/>
      <c r="U89" s="48"/>
      <c r="V89" s="48"/>
      <c r="W89" s="48">
        <v>300</v>
      </c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</row>
    <row r="90" spans="1:58" x14ac:dyDescent="0.25">
      <c r="A90" s="48">
        <v>8091779</v>
      </c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</row>
    <row r="91" spans="1:58" x14ac:dyDescent="0.25">
      <c r="A91" s="48">
        <v>8097989</v>
      </c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</row>
    <row r="92" spans="1:58" x14ac:dyDescent="0.25">
      <c r="A92" s="48">
        <v>8112522</v>
      </c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</row>
    <row r="93" spans="1:58" x14ac:dyDescent="0.25">
      <c r="A93" s="48">
        <v>8127397</v>
      </c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</row>
    <row r="94" spans="1:58" x14ac:dyDescent="0.25">
      <c r="A94" s="48">
        <v>8130998</v>
      </c>
      <c r="O94" s="48"/>
      <c r="P94" s="48"/>
      <c r="Q94" s="48"/>
      <c r="R94" s="48"/>
      <c r="S94" s="48"/>
      <c r="T94" s="48"/>
      <c r="U94" s="48"/>
      <c r="V94" s="48"/>
      <c r="W94" s="48"/>
      <c r="X94" s="48">
        <v>74</v>
      </c>
      <c r="Y94" s="48">
        <v>104</v>
      </c>
      <c r="Z94" s="48"/>
      <c r="AA94" s="48">
        <v>90</v>
      </c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</row>
    <row r="95" spans="1:58" x14ac:dyDescent="0.25">
      <c r="A95" s="48">
        <v>9002836</v>
      </c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</row>
    <row r="96" spans="1:58" x14ac:dyDescent="0.25">
      <c r="A96" s="48">
        <v>9003331</v>
      </c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53"/>
      <c r="AT96" s="53"/>
      <c r="AU96" s="53"/>
      <c r="AV96" s="53"/>
      <c r="AW96" s="53"/>
      <c r="AX96" s="48"/>
      <c r="AY96" s="48"/>
      <c r="AZ96" s="48"/>
      <c r="BA96" s="48"/>
      <c r="BB96" s="48"/>
      <c r="BC96" s="48"/>
      <c r="BD96" s="48"/>
      <c r="BE96" s="48"/>
      <c r="BF96" s="48"/>
    </row>
    <row r="97" spans="1:79" x14ac:dyDescent="0.25">
      <c r="A97" s="48">
        <v>9003370</v>
      </c>
      <c r="O97" s="48"/>
      <c r="P97" s="48"/>
      <c r="Q97" s="48"/>
      <c r="R97" s="48"/>
      <c r="S97" s="48"/>
      <c r="T97" s="48"/>
      <c r="U97" s="48"/>
      <c r="V97" s="48"/>
      <c r="W97" s="48"/>
      <c r="X97" s="48">
        <v>43.2</v>
      </c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</row>
    <row r="98" spans="1:79" x14ac:dyDescent="0.25">
      <c r="A98" s="48">
        <v>9016278</v>
      </c>
      <c r="O98" s="48"/>
      <c r="P98" s="48">
        <v>775.8</v>
      </c>
      <c r="Q98" s="48"/>
      <c r="R98" s="48"/>
      <c r="S98" s="48"/>
      <c r="T98" s="48"/>
      <c r="U98" s="48">
        <v>364.8</v>
      </c>
      <c r="V98" s="48"/>
      <c r="W98" s="48"/>
      <c r="X98" s="48"/>
      <c r="Y98" s="48"/>
      <c r="Z98" s="48">
        <v>196.8</v>
      </c>
      <c r="AA98" s="48"/>
      <c r="AB98" s="48"/>
      <c r="AC98" s="48"/>
      <c r="AD98" s="54">
        <v>178.2</v>
      </c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</row>
    <row r="99" spans="1:79" x14ac:dyDescent="0.25">
      <c r="A99" s="48">
        <v>9030684</v>
      </c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>
        <v>15</v>
      </c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</row>
    <row r="100" spans="1:79" x14ac:dyDescent="0.25">
      <c r="A100" s="48">
        <v>9031387</v>
      </c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>
        <v>37.799999999999997</v>
      </c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</row>
    <row r="101" spans="1:79" x14ac:dyDescent="0.25">
      <c r="A101" s="48">
        <v>9038676</v>
      </c>
      <c r="O101" s="48"/>
      <c r="P101" s="48"/>
      <c r="Q101" s="48"/>
      <c r="R101" s="48"/>
      <c r="S101" s="48"/>
      <c r="T101" s="48"/>
      <c r="U101" s="48"/>
      <c r="V101" s="48"/>
      <c r="W101" s="48"/>
      <c r="X101" s="48">
        <v>78</v>
      </c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</row>
    <row r="102" spans="1:79" x14ac:dyDescent="0.25">
      <c r="A102" s="48">
        <v>9039416</v>
      </c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>
        <v>87</v>
      </c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</row>
    <row r="103" spans="1:79" x14ac:dyDescent="0.25">
      <c r="A103" s="48">
        <v>9042861</v>
      </c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>
        <v>123</v>
      </c>
      <c r="AO103" s="48"/>
      <c r="AP103" s="48"/>
      <c r="AQ103" s="48">
        <v>105.6</v>
      </c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</row>
    <row r="104" spans="1:79" x14ac:dyDescent="0.25">
      <c r="A104" s="48">
        <v>9044899</v>
      </c>
      <c r="O104" s="48">
        <v>365</v>
      </c>
      <c r="P104" s="48"/>
      <c r="Q104" s="48"/>
      <c r="R104" s="48"/>
      <c r="S104" s="48"/>
      <c r="T104" s="48"/>
      <c r="U104" s="48"/>
      <c r="V104" s="48">
        <v>235</v>
      </c>
      <c r="W104" s="48"/>
      <c r="X104" s="48">
        <v>327</v>
      </c>
      <c r="Y104" s="48"/>
      <c r="Z104" s="48">
        <v>362</v>
      </c>
      <c r="AA104" s="48"/>
      <c r="AB104" s="48"/>
      <c r="AC104" s="48">
        <v>318</v>
      </c>
      <c r="AD104" s="48"/>
      <c r="AE104" s="48"/>
      <c r="AF104" s="48">
        <v>288</v>
      </c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</row>
    <row r="105" spans="1:79" x14ac:dyDescent="0.25">
      <c r="A105" s="48">
        <v>9052398</v>
      </c>
      <c r="O105" s="48"/>
      <c r="P105" s="48"/>
      <c r="Q105" s="48"/>
      <c r="R105" s="48"/>
      <c r="S105" s="48"/>
      <c r="T105" s="48"/>
      <c r="U105" s="48"/>
      <c r="V105" s="48"/>
      <c r="W105" s="48"/>
      <c r="X105" s="48">
        <v>1198.2</v>
      </c>
      <c r="Y105" s="48"/>
      <c r="Z105" s="48">
        <v>1001.4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</row>
    <row r="106" spans="1:79" x14ac:dyDescent="0.25">
      <c r="A106" s="48">
        <v>9085204</v>
      </c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>
        <v>283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>
        <v>98</v>
      </c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</row>
    <row r="107" spans="1:79" x14ac:dyDescent="0.25">
      <c r="A107" s="48">
        <v>9090323</v>
      </c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</row>
    <row r="108" spans="1:79" x14ac:dyDescent="0.25">
      <c r="A108" s="48">
        <v>9105492</v>
      </c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</row>
    <row r="109" spans="1:79" x14ac:dyDescent="0.25">
      <c r="A109" s="48">
        <v>9138470</v>
      </c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</row>
    <row r="110" spans="1:79" x14ac:dyDescent="0.25">
      <c r="A110" s="48">
        <v>9150676</v>
      </c>
      <c r="O110" s="48"/>
      <c r="P110" s="48"/>
      <c r="Q110" s="48"/>
      <c r="R110" s="48"/>
      <c r="S110" s="48"/>
      <c r="T110" s="48"/>
      <c r="U110" s="48"/>
      <c r="V110" s="48"/>
      <c r="W110" s="48"/>
      <c r="X110" s="48">
        <v>47</v>
      </c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>
        <v>75</v>
      </c>
      <c r="BV110">
        <v>170</v>
      </c>
      <c r="CA110">
        <v>410</v>
      </c>
    </row>
    <row r="111" spans="1:79" x14ac:dyDescent="0.25">
      <c r="A111" s="48">
        <v>10010926</v>
      </c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</row>
    <row r="112" spans="1:79" x14ac:dyDescent="0.25">
      <c r="A112" s="48">
        <v>10016588</v>
      </c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</row>
    <row r="113" spans="1:70" x14ac:dyDescent="0.25">
      <c r="A113" s="48">
        <v>10030897</v>
      </c>
      <c r="I113">
        <v>282</v>
      </c>
      <c r="O113" s="48"/>
      <c r="P113" s="48"/>
      <c r="Q113" s="48"/>
      <c r="R113" s="48"/>
      <c r="S113" s="48"/>
      <c r="T113" s="48"/>
      <c r="U113" s="48"/>
      <c r="V113" s="48"/>
      <c r="W113" s="48"/>
      <c r="X113" s="48">
        <v>869</v>
      </c>
      <c r="Y113" s="48"/>
      <c r="Z113" s="48"/>
      <c r="AA113" s="48"/>
      <c r="AB113" s="48"/>
      <c r="AC113" s="48">
        <v>1016</v>
      </c>
      <c r="AD113" s="48"/>
      <c r="AE113" s="48"/>
      <c r="AF113" s="48"/>
      <c r="AG113" s="48"/>
      <c r="AH113" s="48"/>
      <c r="AI113" s="48"/>
      <c r="AJ113" s="48"/>
      <c r="AK113" s="48">
        <v>606</v>
      </c>
      <c r="AL113" s="48"/>
      <c r="AM113" s="48"/>
      <c r="AN113" s="48"/>
      <c r="AO113" s="48"/>
      <c r="AP113" s="48"/>
      <c r="AQ113" s="48"/>
      <c r="AR113" s="48">
        <v>344</v>
      </c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>
        <v>193</v>
      </c>
      <c r="BD113" s="48"/>
      <c r="BE113" s="48"/>
      <c r="BF113" s="48"/>
    </row>
    <row r="114" spans="1:70" x14ac:dyDescent="0.25">
      <c r="A114" s="48">
        <v>324</v>
      </c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>
        <v>10.3</v>
      </c>
      <c r="AX114" s="48"/>
      <c r="AY114" s="48"/>
      <c r="AZ114" s="48"/>
      <c r="BA114" s="48"/>
      <c r="BB114" s="48"/>
      <c r="BC114" s="48"/>
      <c r="BD114" s="48"/>
      <c r="BE114" s="48"/>
      <c r="BF114" s="48"/>
    </row>
    <row r="115" spans="1:70" x14ac:dyDescent="0.25">
      <c r="A115" s="48">
        <v>3909</v>
      </c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R115">
        <v>90</v>
      </c>
    </row>
    <row r="116" spans="1:70" x14ac:dyDescent="0.25">
      <c r="A116" s="48">
        <v>4663</v>
      </c>
      <c r="K116">
        <v>36</v>
      </c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</row>
    <row r="117" spans="1:70" x14ac:dyDescent="0.25">
      <c r="A117" s="48">
        <v>1005522</v>
      </c>
      <c r="H117">
        <v>18</v>
      </c>
      <c r="J117">
        <v>21</v>
      </c>
      <c r="O117" s="48"/>
      <c r="P117" s="48"/>
      <c r="Q117" s="48"/>
      <c r="R117" s="48"/>
      <c r="S117" s="48"/>
      <c r="T117" s="48"/>
      <c r="U117" s="48"/>
      <c r="V117" s="48"/>
      <c r="W117" s="48"/>
      <c r="X117" s="48">
        <v>244</v>
      </c>
      <c r="Y117" s="48"/>
      <c r="Z117" s="48"/>
      <c r="AA117" s="48"/>
      <c r="AB117" s="48"/>
      <c r="AC117" s="48"/>
      <c r="AD117" s="48"/>
      <c r="AE117" s="48"/>
      <c r="AF117" s="48">
        <v>100</v>
      </c>
      <c r="AG117" s="48"/>
      <c r="AH117" s="48"/>
      <c r="AI117" s="48"/>
      <c r="AJ117" s="48"/>
      <c r="AK117" s="48"/>
      <c r="AL117" s="48">
        <v>57</v>
      </c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</row>
    <row r="118" spans="1:70" x14ac:dyDescent="0.25">
      <c r="A118" s="48">
        <v>1007631</v>
      </c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>
        <v>125</v>
      </c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>
        <v>30</v>
      </c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</row>
    <row r="119" spans="1:70" x14ac:dyDescent="0.25">
      <c r="A119" s="48">
        <v>1009760</v>
      </c>
      <c r="AA119">
        <v>68.099999999999994</v>
      </c>
      <c r="AC119">
        <v>66.2</v>
      </c>
      <c r="AG119">
        <v>69.8</v>
      </c>
      <c r="AI119">
        <v>83.9</v>
      </c>
      <c r="AM119">
        <v>78.8</v>
      </c>
    </row>
    <row r="120" spans="1:70" x14ac:dyDescent="0.25">
      <c r="A120" s="48">
        <v>2000646</v>
      </c>
    </row>
    <row r="121" spans="1:70" x14ac:dyDescent="0.25">
      <c r="A121" s="48">
        <v>2003761</v>
      </c>
    </row>
    <row r="122" spans="1:70" x14ac:dyDescent="0.25">
      <c r="A122" s="48">
        <v>2004061</v>
      </c>
    </row>
    <row r="123" spans="1:70" x14ac:dyDescent="0.25">
      <c r="A123" s="48">
        <v>2006469</v>
      </c>
    </row>
    <row r="124" spans="1:70" x14ac:dyDescent="0.25">
      <c r="A124" s="48">
        <v>3005132</v>
      </c>
      <c r="X124">
        <v>209</v>
      </c>
    </row>
    <row r="125" spans="1:70" x14ac:dyDescent="0.25">
      <c r="A125" s="48">
        <v>3009119</v>
      </c>
    </row>
    <row r="126" spans="1:70" x14ac:dyDescent="0.25">
      <c r="A126" s="48">
        <v>3009936</v>
      </c>
    </row>
    <row r="127" spans="1:70" x14ac:dyDescent="0.25">
      <c r="A127" s="48">
        <v>3011094</v>
      </c>
    </row>
    <row r="128" spans="1:70" x14ac:dyDescent="0.25">
      <c r="A128" s="48">
        <v>3014643</v>
      </c>
      <c r="X128">
        <v>499</v>
      </c>
      <c r="AN128">
        <v>255</v>
      </c>
      <c r="BG128">
        <v>72.7</v>
      </c>
    </row>
    <row r="129" spans="1:78" x14ac:dyDescent="0.25">
      <c r="A129" s="48">
        <v>3016056</v>
      </c>
      <c r="X129">
        <v>284</v>
      </c>
      <c r="BY129">
        <v>405</v>
      </c>
      <c r="BZ129">
        <v>406</v>
      </c>
    </row>
    <row r="130" spans="1:78" x14ac:dyDescent="0.25">
      <c r="A130" s="48">
        <v>3900219</v>
      </c>
      <c r="P130">
        <v>73</v>
      </c>
      <c r="X130">
        <v>116</v>
      </c>
      <c r="AM130">
        <v>244</v>
      </c>
    </row>
    <row r="131" spans="1:78" x14ac:dyDescent="0.25">
      <c r="A131" s="48">
        <v>4000158</v>
      </c>
      <c r="Y131" s="3">
        <v>79.8</v>
      </c>
    </row>
    <row r="132" spans="1:78" x14ac:dyDescent="0.25">
      <c r="A132" s="48">
        <v>4000304</v>
      </c>
      <c r="X132">
        <v>1026</v>
      </c>
    </row>
    <row r="133" spans="1:78" x14ac:dyDescent="0.25">
      <c r="A133" s="48">
        <v>4001905</v>
      </c>
    </row>
    <row r="134" spans="1:78" x14ac:dyDescent="0.25">
      <c r="A134" s="48">
        <v>4002206</v>
      </c>
      <c r="X134">
        <v>180.6</v>
      </c>
    </row>
    <row r="135" spans="1:78" x14ac:dyDescent="0.25">
      <c r="A135" s="48">
        <v>4002715</v>
      </c>
      <c r="AH135">
        <v>57</v>
      </c>
      <c r="AQ135">
        <v>54</v>
      </c>
      <c r="AY135">
        <v>27</v>
      </c>
    </row>
    <row r="136" spans="1:78" x14ac:dyDescent="0.25">
      <c r="A136" s="48">
        <v>4003924</v>
      </c>
      <c r="Y136">
        <v>220</v>
      </c>
    </row>
    <row r="137" spans="1:78" x14ac:dyDescent="0.25">
      <c r="A137" s="48">
        <v>4006051</v>
      </c>
    </row>
    <row r="138" spans="1:78" x14ac:dyDescent="0.25">
      <c r="A138" s="48">
        <v>4008140</v>
      </c>
      <c r="W138">
        <v>88</v>
      </c>
    </row>
    <row r="139" spans="1:78" x14ac:dyDescent="0.25">
      <c r="A139" s="48">
        <v>4009906</v>
      </c>
      <c r="Y139">
        <v>57</v>
      </c>
      <c r="AX139">
        <v>51</v>
      </c>
      <c r="BS139">
        <v>83</v>
      </c>
      <c r="BX139">
        <v>81</v>
      </c>
    </row>
    <row r="140" spans="1:78" x14ac:dyDescent="0.25">
      <c r="A140" s="48">
        <v>4011027</v>
      </c>
    </row>
    <row r="141" spans="1:78" x14ac:dyDescent="0.25">
      <c r="A141" s="48">
        <v>4011920</v>
      </c>
      <c r="X141">
        <v>473</v>
      </c>
      <c r="AI141">
        <v>234</v>
      </c>
      <c r="AS141">
        <v>16</v>
      </c>
    </row>
    <row r="142" spans="1:78" x14ac:dyDescent="0.25">
      <c r="A142" s="48">
        <v>4012248</v>
      </c>
      <c r="X142">
        <v>380</v>
      </c>
      <c r="Y142">
        <v>392</v>
      </c>
      <c r="AA142">
        <v>390</v>
      </c>
      <c r="AF142">
        <v>417</v>
      </c>
      <c r="AK142">
        <v>403</v>
      </c>
      <c r="AR142">
        <v>331</v>
      </c>
      <c r="BA142">
        <v>220</v>
      </c>
    </row>
    <row r="143" spans="1:78" x14ac:dyDescent="0.25">
      <c r="A143" s="48">
        <v>4013603</v>
      </c>
      <c r="X143">
        <v>558</v>
      </c>
    </row>
    <row r="144" spans="1:78" x14ac:dyDescent="0.25">
      <c r="A144" s="48">
        <v>5004654</v>
      </c>
      <c r="Y144">
        <v>317</v>
      </c>
      <c r="Z144">
        <v>441</v>
      </c>
      <c r="AA144">
        <v>411</v>
      </c>
      <c r="AB144">
        <v>439</v>
      </c>
      <c r="AC144">
        <v>529</v>
      </c>
      <c r="AD144">
        <v>547</v>
      </c>
      <c r="AF144">
        <v>672</v>
      </c>
      <c r="AH144">
        <v>634</v>
      </c>
      <c r="AL144">
        <v>607</v>
      </c>
      <c r="AN144">
        <v>546</v>
      </c>
    </row>
    <row r="145" spans="1:71" x14ac:dyDescent="0.25">
      <c r="A145" s="52"/>
    </row>
    <row r="146" spans="1:71" x14ac:dyDescent="0.25">
      <c r="A146" s="50" t="s">
        <v>109</v>
      </c>
    </row>
    <row r="147" spans="1:71" x14ac:dyDescent="0.25">
      <c r="A147" s="48">
        <v>4289</v>
      </c>
    </row>
    <row r="148" spans="1:71" x14ac:dyDescent="0.25">
      <c r="A148" s="48">
        <v>500245</v>
      </c>
      <c r="X148">
        <v>170</v>
      </c>
      <c r="Y148">
        <v>148</v>
      </c>
      <c r="Z148">
        <v>194.5</v>
      </c>
      <c r="AA148">
        <v>240.6</v>
      </c>
      <c r="AC148">
        <v>202.4</v>
      </c>
      <c r="AG148">
        <v>160.30000000000001</v>
      </c>
    </row>
    <row r="149" spans="1:71" x14ac:dyDescent="0.25">
      <c r="A149" s="48">
        <v>2002573</v>
      </c>
      <c r="AE149">
        <v>204</v>
      </c>
      <c r="AJ149">
        <v>201</v>
      </c>
      <c r="AN149">
        <v>142</v>
      </c>
    </row>
    <row r="150" spans="1:71" x14ac:dyDescent="0.25">
      <c r="A150" s="48">
        <v>2003539</v>
      </c>
      <c r="AE150">
        <v>277</v>
      </c>
    </row>
    <row r="151" spans="1:71" x14ac:dyDescent="0.25">
      <c r="A151" s="48">
        <v>2003649</v>
      </c>
      <c r="D151">
        <v>426.6</v>
      </c>
      <c r="E151">
        <v>1188</v>
      </c>
      <c r="P151">
        <v>264.60000000000002</v>
      </c>
      <c r="X151" s="48">
        <v>2326.1999999999998</v>
      </c>
      <c r="AE151">
        <v>1108.8</v>
      </c>
      <c r="AJ151">
        <v>709.8</v>
      </c>
      <c r="BL151">
        <v>426.6</v>
      </c>
      <c r="BS151">
        <v>264.60000000000002</v>
      </c>
    </row>
    <row r="152" spans="1:71" x14ac:dyDescent="0.25">
      <c r="A152" s="48">
        <v>2005572</v>
      </c>
      <c r="X152">
        <v>155</v>
      </c>
      <c r="Z152">
        <v>106</v>
      </c>
      <c r="AC152">
        <v>73</v>
      </c>
    </row>
    <row r="153" spans="1:71" x14ac:dyDescent="0.25">
      <c r="A153" s="48">
        <v>2013117</v>
      </c>
      <c r="W153">
        <v>176</v>
      </c>
    </row>
    <row r="154" spans="1:71" x14ac:dyDescent="0.25">
      <c r="A154" s="48">
        <v>3009633</v>
      </c>
      <c r="AL154">
        <v>229.8</v>
      </c>
      <c r="AP154">
        <v>161.4</v>
      </c>
      <c r="AR154">
        <v>132</v>
      </c>
      <c r="AT154">
        <v>126</v>
      </c>
    </row>
    <row r="155" spans="1:71" x14ac:dyDescent="0.25">
      <c r="A155" s="48">
        <v>3010583</v>
      </c>
      <c r="W155" s="14">
        <v>547</v>
      </c>
      <c r="X155">
        <v>599</v>
      </c>
      <c r="AZ155">
        <v>599</v>
      </c>
    </row>
    <row r="156" spans="1:71" x14ac:dyDescent="0.25">
      <c r="A156" s="23">
        <v>3011892</v>
      </c>
    </row>
    <row r="157" spans="1:71" x14ac:dyDescent="0.25">
      <c r="A157">
        <v>4001382</v>
      </c>
      <c r="AL157" s="14">
        <v>35</v>
      </c>
      <c r="AM157" s="14">
        <v>41.5</v>
      </c>
    </row>
    <row r="158" spans="1:71" x14ac:dyDescent="0.25">
      <c r="A158" s="48">
        <v>5018675</v>
      </c>
      <c r="AD158">
        <v>120</v>
      </c>
    </row>
    <row r="159" spans="1:71" x14ac:dyDescent="0.25">
      <c r="A159" s="48">
        <v>6050168</v>
      </c>
      <c r="W159" s="48"/>
    </row>
    <row r="160" spans="1:71" x14ac:dyDescent="0.25">
      <c r="A160" s="48">
        <v>5006592</v>
      </c>
    </row>
    <row r="161" spans="1:80" x14ac:dyDescent="0.25">
      <c r="A161" s="48">
        <v>5007274</v>
      </c>
    </row>
    <row r="162" spans="1:80" x14ac:dyDescent="0.25">
      <c r="A162" s="48">
        <v>5015851</v>
      </c>
      <c r="X162" s="14">
        <v>113.7</v>
      </c>
      <c r="BB162">
        <v>16.8</v>
      </c>
      <c r="BK162">
        <v>15</v>
      </c>
      <c r="BW162" s="3">
        <v>10.199999999999999</v>
      </c>
      <c r="CB162">
        <v>11.4</v>
      </c>
    </row>
    <row r="163" spans="1:80" x14ac:dyDescent="0.25">
      <c r="A163" s="48">
        <v>6015647</v>
      </c>
      <c r="X163">
        <v>142</v>
      </c>
      <c r="Y163">
        <v>123</v>
      </c>
      <c r="Z163">
        <v>126</v>
      </c>
      <c r="AA163">
        <v>122</v>
      </c>
      <c r="AB163">
        <v>128</v>
      </c>
      <c r="AD163">
        <v>131</v>
      </c>
      <c r="AG163">
        <v>122</v>
      </c>
      <c r="AL163">
        <v>121</v>
      </c>
      <c r="AN163">
        <v>134</v>
      </c>
      <c r="AZ163">
        <v>85</v>
      </c>
      <c r="BJ163">
        <v>44</v>
      </c>
    </row>
    <row r="164" spans="1:80" x14ac:dyDescent="0.25">
      <c r="A164" s="48">
        <v>6056633</v>
      </c>
      <c r="U164">
        <v>211</v>
      </c>
      <c r="AA164">
        <v>271</v>
      </c>
      <c r="AO164">
        <v>40.5</v>
      </c>
    </row>
    <row r="165" spans="1:80" x14ac:dyDescent="0.25">
      <c r="A165" s="48">
        <v>7086224</v>
      </c>
      <c r="AH165">
        <v>378.6</v>
      </c>
      <c r="AM165" s="3">
        <v>454.2</v>
      </c>
      <c r="AU165" s="3">
        <v>247.2</v>
      </c>
      <c r="AX165">
        <v>181.2</v>
      </c>
    </row>
    <row r="166" spans="1:80" x14ac:dyDescent="0.25">
      <c r="A166" s="48">
        <v>8040959</v>
      </c>
      <c r="V166">
        <v>778.1</v>
      </c>
    </row>
    <row r="167" spans="1:80" x14ac:dyDescent="0.25">
      <c r="A167" s="48">
        <v>8107048</v>
      </c>
      <c r="X167">
        <v>312</v>
      </c>
      <c r="AH167">
        <v>271.2</v>
      </c>
    </row>
    <row r="168" spans="1:80" x14ac:dyDescent="0.25">
      <c r="A168" s="48">
        <v>8124044</v>
      </c>
      <c r="BI168">
        <v>766</v>
      </c>
      <c r="BK168">
        <v>741</v>
      </c>
      <c r="BO168">
        <v>390</v>
      </c>
    </row>
    <row r="169" spans="1:80" x14ac:dyDescent="0.25">
      <c r="A169" s="48">
        <v>8142949</v>
      </c>
    </row>
    <row r="170" spans="1:80" x14ac:dyDescent="0.25">
      <c r="A170" s="48">
        <v>9023306</v>
      </c>
      <c r="AA170">
        <v>402</v>
      </c>
      <c r="AB170">
        <v>318</v>
      </c>
      <c r="AC170">
        <v>258</v>
      </c>
      <c r="AF170">
        <v>239.4</v>
      </c>
    </row>
    <row r="171" spans="1:80" x14ac:dyDescent="0.25">
      <c r="A171" s="48">
        <v>9030615</v>
      </c>
      <c r="AA171">
        <v>80.400000000000006</v>
      </c>
      <c r="AG171">
        <v>55.2</v>
      </c>
      <c r="AM171">
        <v>105.6</v>
      </c>
      <c r="AO171" s="3">
        <v>124.8</v>
      </c>
    </row>
    <row r="172" spans="1:80" x14ac:dyDescent="0.25">
      <c r="A172" s="48">
        <v>9034464</v>
      </c>
    </row>
    <row r="173" spans="1:80" x14ac:dyDescent="0.25">
      <c r="A173" s="48">
        <v>9040167</v>
      </c>
    </row>
    <row r="174" spans="1:80" x14ac:dyDescent="0.25">
      <c r="A174" s="48">
        <v>9054567</v>
      </c>
      <c r="W174">
        <v>407</v>
      </c>
    </row>
    <row r="175" spans="1:80" x14ac:dyDescent="0.25">
      <c r="A175" s="48">
        <v>9083682</v>
      </c>
      <c r="X175">
        <v>422</v>
      </c>
      <c r="AA175">
        <v>335</v>
      </c>
      <c r="AI175">
        <v>124</v>
      </c>
    </row>
    <row r="176" spans="1:80" x14ac:dyDescent="0.25">
      <c r="A176" s="48">
        <v>9102044</v>
      </c>
    </row>
    <row r="177" spans="1:81" x14ac:dyDescent="0.25">
      <c r="A177" s="48">
        <v>9119854</v>
      </c>
    </row>
    <row r="178" spans="1:81" x14ac:dyDescent="0.25">
      <c r="A178" s="48">
        <v>9125126</v>
      </c>
    </row>
    <row r="179" spans="1:81" x14ac:dyDescent="0.25">
      <c r="A179" s="48">
        <v>9174811</v>
      </c>
      <c r="X179">
        <v>63</v>
      </c>
      <c r="BE179">
        <v>44</v>
      </c>
      <c r="BQ179">
        <v>30</v>
      </c>
    </row>
    <row r="180" spans="1:81" x14ac:dyDescent="0.25">
      <c r="A180" s="48">
        <v>10002875</v>
      </c>
      <c r="Y180">
        <v>699.6</v>
      </c>
      <c r="Z180" s="3">
        <v>583.79999999999995</v>
      </c>
      <c r="AC180">
        <v>363.6</v>
      </c>
      <c r="AD180" s="14">
        <v>370</v>
      </c>
      <c r="AL180">
        <v>243</v>
      </c>
      <c r="AT180">
        <v>268</v>
      </c>
      <c r="AW180">
        <v>272</v>
      </c>
    </row>
    <row r="181" spans="1:81" x14ac:dyDescent="0.25">
      <c r="A181" s="48">
        <v>10023080</v>
      </c>
      <c r="W181">
        <v>357</v>
      </c>
      <c r="AZ181">
        <v>62</v>
      </c>
    </row>
    <row r="182" spans="1:81" x14ac:dyDescent="0.25">
      <c r="A182" s="48">
        <v>10025212</v>
      </c>
      <c r="AN182">
        <v>85</v>
      </c>
      <c r="BH182">
        <v>85</v>
      </c>
    </row>
    <row r="183" spans="1:81" x14ac:dyDescent="0.25">
      <c r="A183" s="48">
        <v>10069407</v>
      </c>
    </row>
    <row r="184" spans="1:81" x14ac:dyDescent="0.25">
      <c r="A184" s="48">
        <v>10071135</v>
      </c>
      <c r="AJ184">
        <v>277.2</v>
      </c>
      <c r="AL184">
        <v>235.2</v>
      </c>
      <c r="AN184" s="3">
        <v>232.2</v>
      </c>
      <c r="AR184">
        <v>188.4</v>
      </c>
    </row>
    <row r="185" spans="1:81" x14ac:dyDescent="0.25">
      <c r="A185" s="48">
        <v>10083649</v>
      </c>
      <c r="X185">
        <v>178</v>
      </c>
      <c r="Y185">
        <v>139</v>
      </c>
    </row>
    <row r="186" spans="1:81" x14ac:dyDescent="0.25">
      <c r="A186" s="48">
        <v>10102021</v>
      </c>
    </row>
    <row r="187" spans="1:81" x14ac:dyDescent="0.25">
      <c r="A187" s="48">
        <v>10123729</v>
      </c>
    </row>
    <row r="188" spans="1:81" x14ac:dyDescent="0.25">
      <c r="A188" s="48">
        <v>10144736</v>
      </c>
    </row>
    <row r="189" spans="1:81" x14ac:dyDescent="0.25">
      <c r="A189" s="48">
        <v>10157275</v>
      </c>
      <c r="W189">
        <v>168</v>
      </c>
      <c r="AE189">
        <v>173</v>
      </c>
      <c r="CC189">
        <v>53</v>
      </c>
    </row>
    <row r="190" spans="1:81" x14ac:dyDescent="0.25">
      <c r="A190" s="52"/>
    </row>
    <row r="191" spans="1:81" x14ac:dyDescent="0.25">
      <c r="A191" s="50" t="s">
        <v>83</v>
      </c>
    </row>
    <row r="192" spans="1:81" x14ac:dyDescent="0.25">
      <c r="A192" s="48">
        <v>5281</v>
      </c>
    </row>
    <row r="193" spans="1:55" x14ac:dyDescent="0.25">
      <c r="A193" s="48">
        <v>200085</v>
      </c>
      <c r="L193">
        <v>42</v>
      </c>
      <c r="Q193">
        <v>38</v>
      </c>
      <c r="R193">
        <v>33</v>
      </c>
      <c r="W193">
        <v>240</v>
      </c>
      <c r="X193">
        <v>82</v>
      </c>
      <c r="Y193">
        <v>174</v>
      </c>
      <c r="Z193">
        <v>216</v>
      </c>
      <c r="AA193">
        <v>242</v>
      </c>
      <c r="AB193">
        <v>221</v>
      </c>
      <c r="AC193">
        <v>215</v>
      </c>
      <c r="AD193">
        <v>216</v>
      </c>
      <c r="AE193">
        <v>191</v>
      </c>
      <c r="AG193">
        <v>192</v>
      </c>
      <c r="AI193">
        <v>168</v>
      </c>
      <c r="AM193">
        <v>135</v>
      </c>
      <c r="AO193">
        <v>98</v>
      </c>
      <c r="AT193">
        <v>78</v>
      </c>
      <c r="AV193">
        <v>56</v>
      </c>
    </row>
    <row r="194" spans="1:55" x14ac:dyDescent="0.25">
      <c r="A194" s="48">
        <v>500129</v>
      </c>
      <c r="AC194">
        <v>10.73</v>
      </c>
      <c r="AE194">
        <v>9.1199999999999992</v>
      </c>
      <c r="AG194">
        <v>526</v>
      </c>
      <c r="AI194">
        <v>399</v>
      </c>
      <c r="AJ194">
        <v>362</v>
      </c>
      <c r="AQ194">
        <v>399</v>
      </c>
      <c r="BA194">
        <v>619</v>
      </c>
      <c r="BB194">
        <v>900</v>
      </c>
    </row>
    <row r="195" spans="1:55" x14ac:dyDescent="0.25">
      <c r="A195" s="51">
        <v>1002033</v>
      </c>
      <c r="J195">
        <v>17</v>
      </c>
      <c r="N195">
        <v>20</v>
      </c>
      <c r="X195">
        <v>57</v>
      </c>
      <c r="Y195" s="48"/>
      <c r="Z195" s="48"/>
      <c r="AA195" s="48"/>
      <c r="AB195" s="48"/>
      <c r="AC195" s="48">
        <v>45</v>
      </c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>
        <v>20</v>
      </c>
      <c r="AR195" s="48"/>
      <c r="AS195" s="48"/>
      <c r="BC195">
        <v>30</v>
      </c>
    </row>
    <row r="196" spans="1:55" x14ac:dyDescent="0.25">
      <c r="A196" s="48">
        <v>1003457</v>
      </c>
      <c r="Y196" s="48"/>
      <c r="Z196" s="48">
        <v>158</v>
      </c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</row>
    <row r="197" spans="1:55" x14ac:dyDescent="0.25">
      <c r="A197" s="48">
        <v>2005223</v>
      </c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</row>
    <row r="198" spans="1:55" x14ac:dyDescent="0.25">
      <c r="A198" s="48">
        <v>2006107</v>
      </c>
      <c r="X198">
        <v>128</v>
      </c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</row>
    <row r="199" spans="1:55" x14ac:dyDescent="0.25">
      <c r="A199" s="48">
        <v>2012014</v>
      </c>
      <c r="M199">
        <v>5</v>
      </c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</row>
    <row r="200" spans="1:55" x14ac:dyDescent="0.25">
      <c r="A200" s="48">
        <v>3000152</v>
      </c>
      <c r="W200" s="14">
        <v>9</v>
      </c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</row>
    <row r="201" spans="1:55" x14ac:dyDescent="0.25">
      <c r="A201" s="48">
        <v>3014566</v>
      </c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</row>
    <row r="202" spans="1:55" x14ac:dyDescent="0.25">
      <c r="A202" s="48">
        <v>3015058</v>
      </c>
      <c r="M202">
        <v>17</v>
      </c>
      <c r="Y202" s="48">
        <v>269</v>
      </c>
      <c r="Z202" s="48">
        <v>269</v>
      </c>
      <c r="AA202" s="48"/>
      <c r="AB202" s="48"/>
      <c r="AC202" s="48"/>
      <c r="AD202" s="48"/>
      <c r="AE202" s="48"/>
      <c r="AF202" s="48">
        <v>153</v>
      </c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</row>
    <row r="203" spans="1:55" x14ac:dyDescent="0.25">
      <c r="A203" s="51">
        <v>4000996</v>
      </c>
      <c r="Y203" s="48">
        <v>69</v>
      </c>
      <c r="Z203" s="48">
        <v>67.8</v>
      </c>
      <c r="AA203" s="48">
        <v>75</v>
      </c>
      <c r="AB203" s="48"/>
      <c r="AC203" s="48"/>
      <c r="AD203" s="48"/>
      <c r="AE203" s="48">
        <v>121.2</v>
      </c>
      <c r="AF203" s="48"/>
      <c r="AG203" s="48"/>
      <c r="AH203" s="48"/>
      <c r="AI203" s="48"/>
      <c r="AJ203" s="48"/>
      <c r="AK203" s="48"/>
      <c r="AL203" s="48">
        <v>83.4</v>
      </c>
      <c r="AM203" s="48"/>
      <c r="AN203" s="48"/>
      <c r="AO203" s="48"/>
      <c r="AP203" s="48"/>
      <c r="AQ203" s="48"/>
      <c r="AR203" s="48"/>
      <c r="AS203" s="48"/>
    </row>
    <row r="204" spans="1:55" x14ac:dyDescent="0.25">
      <c r="A204" s="48">
        <v>4003768</v>
      </c>
      <c r="R204">
        <v>12</v>
      </c>
      <c r="U204">
        <v>7</v>
      </c>
      <c r="X204">
        <v>23</v>
      </c>
      <c r="Y204" s="48">
        <v>47</v>
      </c>
      <c r="Z204" s="48">
        <v>55</v>
      </c>
      <c r="AA204" s="48">
        <v>82</v>
      </c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</row>
    <row r="205" spans="1:55" x14ac:dyDescent="0.25">
      <c r="A205" s="48">
        <v>4006540</v>
      </c>
      <c r="Y205" s="48"/>
      <c r="Z205" s="48"/>
      <c r="AA205" s="48"/>
      <c r="AB205" s="48"/>
      <c r="AC205" s="48"/>
      <c r="AD205" s="48"/>
      <c r="AE205" s="48"/>
      <c r="AF205" s="48"/>
      <c r="AG205" s="48"/>
      <c r="AH205" s="48">
        <v>243</v>
      </c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</row>
    <row r="206" spans="1:55" x14ac:dyDescent="0.25">
      <c r="A206" s="48">
        <v>4007054</v>
      </c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</row>
    <row r="207" spans="1:55" x14ac:dyDescent="0.25">
      <c r="A207" s="48">
        <v>4011002</v>
      </c>
      <c r="X207" s="3">
        <v>109.8</v>
      </c>
      <c r="Y207" s="54">
        <v>109.8</v>
      </c>
      <c r="Z207" s="48"/>
      <c r="AA207" s="48"/>
      <c r="AB207" s="48"/>
      <c r="AC207" s="48">
        <v>205.8</v>
      </c>
      <c r="AD207" s="48"/>
      <c r="AE207" s="48"/>
      <c r="AF207" s="48">
        <v>218.4</v>
      </c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</row>
    <row r="208" spans="1:55" x14ac:dyDescent="0.25">
      <c r="A208" s="48">
        <v>4900268</v>
      </c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</row>
    <row r="209" spans="1:45" x14ac:dyDescent="0.25">
      <c r="A209" s="48">
        <v>5001097</v>
      </c>
      <c r="P209">
        <v>95</v>
      </c>
      <c r="Q209">
        <v>90</v>
      </c>
      <c r="T209">
        <v>91</v>
      </c>
      <c r="X209">
        <v>159</v>
      </c>
      <c r="Y209" s="48"/>
      <c r="Z209" s="48"/>
      <c r="AA209" s="48"/>
      <c r="AB209" s="48"/>
      <c r="AC209" s="48"/>
      <c r="AD209" s="48">
        <v>136</v>
      </c>
      <c r="AE209" s="48"/>
      <c r="AF209" s="48">
        <v>116</v>
      </c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</row>
    <row r="210" spans="1:45" x14ac:dyDescent="0.25">
      <c r="A210" s="48">
        <v>5001098</v>
      </c>
      <c r="L210">
        <v>224</v>
      </c>
      <c r="O210">
        <v>231</v>
      </c>
      <c r="P210">
        <v>249</v>
      </c>
      <c r="S210">
        <v>301</v>
      </c>
      <c r="X210">
        <v>378</v>
      </c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</row>
    <row r="211" spans="1:45" x14ac:dyDescent="0.25">
      <c r="A211" s="48">
        <v>5006152</v>
      </c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</row>
    <row r="212" spans="1:45" x14ac:dyDescent="0.25">
      <c r="A212" s="48">
        <v>6012361</v>
      </c>
      <c r="Y212" s="48"/>
      <c r="Z212" s="48">
        <v>1051.2</v>
      </c>
      <c r="AA212" s="48">
        <v>936.6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>
        <v>96</v>
      </c>
      <c r="AP212" s="48"/>
      <c r="AQ212" s="48"/>
      <c r="AR212" s="48"/>
      <c r="AS212" s="48"/>
    </row>
    <row r="213" spans="1:45" x14ac:dyDescent="0.25">
      <c r="A213" s="48">
        <v>6015793</v>
      </c>
      <c r="X213">
        <v>363</v>
      </c>
      <c r="Y213" s="48">
        <v>415</v>
      </c>
      <c r="Z213" s="48"/>
      <c r="AA213" s="48"/>
      <c r="AB213" s="48">
        <v>438</v>
      </c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</row>
    <row r="214" spans="1:45" x14ac:dyDescent="0.25">
      <c r="A214" s="48">
        <v>6043619</v>
      </c>
      <c r="X214">
        <v>274.8</v>
      </c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</row>
    <row r="215" spans="1:45" x14ac:dyDescent="0.25">
      <c r="A215" s="48">
        <v>7001097</v>
      </c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</row>
    <row r="216" spans="1:45" x14ac:dyDescent="0.25">
      <c r="A216" s="48">
        <v>7011435</v>
      </c>
      <c r="X216">
        <v>533</v>
      </c>
      <c r="Y216" s="48"/>
      <c r="Z216" s="48">
        <v>651</v>
      </c>
      <c r="AA216" s="48"/>
      <c r="AB216" s="48"/>
      <c r="AC216" s="48"/>
      <c r="AD216" s="48">
        <v>666</v>
      </c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</row>
    <row r="217" spans="1:45" x14ac:dyDescent="0.25">
      <c r="A217" s="48">
        <v>7045811</v>
      </c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>
        <v>225</v>
      </c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</row>
    <row r="218" spans="1:45" x14ac:dyDescent="0.25">
      <c r="A218" s="48">
        <v>7071198</v>
      </c>
    </row>
    <row r="219" spans="1:45" x14ac:dyDescent="0.25">
      <c r="A219" s="48">
        <v>7101143</v>
      </c>
      <c r="X219">
        <v>21.44</v>
      </c>
      <c r="Z219">
        <v>21.63</v>
      </c>
      <c r="AA219">
        <v>24.25</v>
      </c>
      <c r="AE219">
        <v>22.4</v>
      </c>
      <c r="AH219">
        <v>23.58</v>
      </c>
      <c r="AJ219">
        <v>24.02</v>
      </c>
    </row>
    <row r="220" spans="1:45" x14ac:dyDescent="0.25">
      <c r="A220" s="48">
        <v>8073350</v>
      </c>
    </row>
    <row r="221" spans="1:45" x14ac:dyDescent="0.25">
      <c r="A221" s="48">
        <v>8073645</v>
      </c>
    </row>
    <row r="222" spans="1:45" x14ac:dyDescent="0.25">
      <c r="A222" s="51">
        <v>8089666</v>
      </c>
      <c r="T222">
        <v>118</v>
      </c>
      <c r="U222">
        <v>26</v>
      </c>
      <c r="V222">
        <v>24</v>
      </c>
      <c r="X222" s="14">
        <v>31</v>
      </c>
      <c r="Y222">
        <v>43</v>
      </c>
    </row>
    <row r="223" spans="1:45" x14ac:dyDescent="0.25">
      <c r="A223" s="48">
        <v>8103536</v>
      </c>
    </row>
    <row r="224" spans="1:45" x14ac:dyDescent="0.25">
      <c r="A224" s="48">
        <v>8124816</v>
      </c>
      <c r="X224">
        <v>207</v>
      </c>
      <c r="AA224">
        <v>317</v>
      </c>
      <c r="AE224">
        <v>257</v>
      </c>
      <c r="AK224">
        <v>141</v>
      </c>
    </row>
    <row r="225" spans="1:56" x14ac:dyDescent="0.25">
      <c r="A225" s="48">
        <v>9003267</v>
      </c>
      <c r="Y225">
        <v>272.39999999999998</v>
      </c>
      <c r="AD225">
        <v>352.2</v>
      </c>
      <c r="AH225">
        <v>258</v>
      </c>
      <c r="AI225" s="3">
        <v>266.39999999999998</v>
      </c>
      <c r="BD225">
        <v>40.200000000000003</v>
      </c>
    </row>
    <row r="226" spans="1:56" x14ac:dyDescent="0.25">
      <c r="A226" s="48">
        <v>9036964</v>
      </c>
      <c r="C226">
        <v>120.6</v>
      </c>
      <c r="X226">
        <v>317</v>
      </c>
      <c r="Y226">
        <v>281</v>
      </c>
    </row>
    <row r="227" spans="1:56" x14ac:dyDescent="0.25">
      <c r="A227" s="48">
        <v>9090287</v>
      </c>
      <c r="AA227">
        <v>207</v>
      </c>
    </row>
    <row r="228" spans="1:56" x14ac:dyDescent="0.25">
      <c r="A228" s="48">
        <v>9095148</v>
      </c>
      <c r="W228" s="48"/>
      <c r="X228" s="48"/>
      <c r="Y228" s="48">
        <v>213</v>
      </c>
      <c r="Z228" s="48"/>
      <c r="AA228" s="48"/>
      <c r="AB228" s="48"/>
      <c r="AC228" s="48"/>
    </row>
    <row r="229" spans="1:56" x14ac:dyDescent="0.25">
      <c r="A229" s="48">
        <v>9104979</v>
      </c>
      <c r="W229" s="48"/>
      <c r="X229" s="48"/>
      <c r="Y229" s="48"/>
      <c r="Z229" s="48"/>
      <c r="AA229" s="48"/>
      <c r="AB229" s="48"/>
      <c r="AC229" s="48"/>
    </row>
    <row r="230" spans="1:56" x14ac:dyDescent="0.25">
      <c r="A230" s="48">
        <v>9139514</v>
      </c>
      <c r="W230" s="48"/>
      <c r="X230" s="48"/>
      <c r="Y230" s="48"/>
      <c r="Z230" s="48"/>
      <c r="AA230" s="48"/>
      <c r="AB230" s="48"/>
      <c r="AC230" s="48"/>
    </row>
    <row r="231" spans="1:56" x14ac:dyDescent="0.25">
      <c r="A231" s="48">
        <v>10020659</v>
      </c>
      <c r="B231">
        <v>183.6</v>
      </c>
      <c r="G231">
        <v>322.8</v>
      </c>
      <c r="W231" s="48"/>
      <c r="X231" s="48">
        <v>1350</v>
      </c>
      <c r="Y231" s="48">
        <v>1064.4000000000001</v>
      </c>
      <c r="Z231" s="48"/>
      <c r="AA231" s="48">
        <v>1000.8</v>
      </c>
      <c r="AB231" s="48"/>
      <c r="AC231" s="48"/>
      <c r="AF231">
        <v>447</v>
      </c>
    </row>
    <row r="232" spans="1:56" x14ac:dyDescent="0.25">
      <c r="A232" s="48">
        <v>10025902</v>
      </c>
      <c r="W232" s="48"/>
      <c r="X232" s="48">
        <v>678</v>
      </c>
      <c r="Y232" s="48">
        <v>546.6</v>
      </c>
      <c r="Z232" s="48"/>
      <c r="AA232" s="48"/>
      <c r="AB232" s="48"/>
      <c r="AC232" s="48"/>
      <c r="AD232">
        <v>414.6</v>
      </c>
      <c r="AE232">
        <v>362.4</v>
      </c>
      <c r="AH232">
        <v>285</v>
      </c>
      <c r="AK232">
        <v>233.4</v>
      </c>
      <c r="AQ232">
        <v>351</v>
      </c>
    </row>
    <row r="233" spans="1:56" x14ac:dyDescent="0.25">
      <c r="A233" s="48">
        <v>10027654</v>
      </c>
    </row>
    <row r="234" spans="1:56" x14ac:dyDescent="0.25">
      <c r="A234" s="48">
        <v>10084485</v>
      </c>
      <c r="X234">
        <v>110</v>
      </c>
    </row>
    <row r="235" spans="1:56" x14ac:dyDescent="0.25">
      <c r="A235" s="48">
        <v>10098420</v>
      </c>
      <c r="X235">
        <v>73</v>
      </c>
      <c r="Y235">
        <v>75</v>
      </c>
      <c r="Z235">
        <v>84</v>
      </c>
      <c r="AA235">
        <v>111</v>
      </c>
    </row>
    <row r="236" spans="1:56" x14ac:dyDescent="0.25">
      <c r="A236" s="48">
        <v>10129565</v>
      </c>
      <c r="Y236">
        <v>435.6</v>
      </c>
      <c r="AB236" s="3">
        <v>503.4</v>
      </c>
      <c r="AI236">
        <v>201.6</v>
      </c>
    </row>
    <row r="237" spans="1:56" x14ac:dyDescent="0.25">
      <c r="A237" s="48">
        <v>10146828</v>
      </c>
    </row>
    <row r="238" spans="1:56" x14ac:dyDescent="0.25">
      <c r="A238">
        <v>10163776</v>
      </c>
      <c r="F238">
        <v>66</v>
      </c>
      <c r="X238">
        <v>1027</v>
      </c>
    </row>
    <row r="239" spans="1:56" x14ac:dyDescent="0.25">
      <c r="A239">
        <v>10173664</v>
      </c>
      <c r="AA239">
        <v>193.8</v>
      </c>
      <c r="AC239">
        <v>191.4</v>
      </c>
      <c r="AH239">
        <v>227.4</v>
      </c>
    </row>
  </sheetData>
  <conditionalFormatting sqref="A19">
    <cfRule type="duplicateValues" dxfId="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DF8D-A60D-420B-9AF8-70B02B024844}">
  <dimension ref="A1:D134"/>
  <sheetViews>
    <sheetView workbookViewId="0">
      <selection activeCell="G23" sqref="G23"/>
    </sheetView>
  </sheetViews>
  <sheetFormatPr baseColWidth="10" defaultRowHeight="15" x14ac:dyDescent="0.25"/>
  <cols>
    <col min="1" max="1" width="17.28515625" bestFit="1" customWidth="1"/>
    <col min="2" max="2" width="7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2250</v>
      </c>
      <c r="C1" s="62" t="s">
        <v>1914</v>
      </c>
      <c r="D1" s="62" t="s">
        <v>1873</v>
      </c>
    </row>
    <row r="2" spans="1:4" x14ac:dyDescent="0.25">
      <c r="A2" s="62">
        <v>95005911</v>
      </c>
      <c r="B2" s="62" t="s">
        <v>2250</v>
      </c>
      <c r="C2" s="62" t="s">
        <v>1110</v>
      </c>
      <c r="D2" s="62">
        <v>1</v>
      </c>
    </row>
    <row r="3" spans="1:4" x14ac:dyDescent="0.25">
      <c r="A3" s="62">
        <v>99001908</v>
      </c>
      <c r="B3" s="62" t="s">
        <v>2250</v>
      </c>
      <c r="C3" s="62" t="s">
        <v>1110</v>
      </c>
      <c r="D3" s="62">
        <v>1</v>
      </c>
    </row>
    <row r="4" spans="1:4" x14ac:dyDescent="0.25">
      <c r="A4" s="62">
        <v>99004067</v>
      </c>
      <c r="B4" s="62" t="s">
        <v>2250</v>
      </c>
      <c r="C4" s="62" t="s">
        <v>1110</v>
      </c>
      <c r="D4" s="62">
        <v>1</v>
      </c>
    </row>
    <row r="5" spans="1:4" x14ac:dyDescent="0.25">
      <c r="A5" s="62">
        <v>97002136</v>
      </c>
      <c r="B5" s="62" t="s">
        <v>2250</v>
      </c>
      <c r="C5" s="62" t="s">
        <v>1110</v>
      </c>
      <c r="D5" s="62">
        <v>1</v>
      </c>
    </row>
    <row r="6" spans="1:4" x14ac:dyDescent="0.25">
      <c r="A6" s="62">
        <v>1502</v>
      </c>
      <c r="B6" s="62" t="s">
        <v>2250</v>
      </c>
      <c r="C6" s="62" t="s">
        <v>1111</v>
      </c>
      <c r="D6" s="62">
        <v>1</v>
      </c>
    </row>
    <row r="7" spans="1:4" x14ac:dyDescent="0.25">
      <c r="A7" s="62">
        <v>99001183</v>
      </c>
      <c r="B7" s="62" t="s">
        <v>2250</v>
      </c>
      <c r="C7" s="62" t="s">
        <v>1112</v>
      </c>
      <c r="D7" s="62">
        <v>1</v>
      </c>
    </row>
    <row r="8" spans="1:4" x14ac:dyDescent="0.25">
      <c r="A8" s="62">
        <v>3000983</v>
      </c>
      <c r="B8" s="62" t="s">
        <v>2250</v>
      </c>
      <c r="C8" s="62" t="s">
        <v>2251</v>
      </c>
      <c r="D8" s="62">
        <v>3</v>
      </c>
    </row>
    <row r="9" spans="1:4" x14ac:dyDescent="0.25">
      <c r="A9" s="62">
        <v>10064335</v>
      </c>
      <c r="B9" s="62" t="s">
        <v>2250</v>
      </c>
      <c r="C9" s="62" t="s">
        <v>2252</v>
      </c>
      <c r="D9" s="62">
        <v>4</v>
      </c>
    </row>
    <row r="10" spans="1:4" x14ac:dyDescent="0.25">
      <c r="A10" s="62">
        <v>1480</v>
      </c>
      <c r="B10" s="62" t="s">
        <v>2250</v>
      </c>
      <c r="C10" s="62" t="s">
        <v>26</v>
      </c>
      <c r="D10" s="62">
        <v>1</v>
      </c>
    </row>
    <row r="11" spans="1:4" x14ac:dyDescent="0.25">
      <c r="A11" s="62">
        <v>99000802</v>
      </c>
      <c r="B11" s="62" t="s">
        <v>2250</v>
      </c>
      <c r="C11" s="62" t="s">
        <v>586</v>
      </c>
      <c r="D11" s="62">
        <v>1</v>
      </c>
    </row>
    <row r="12" spans="1:4" x14ac:dyDescent="0.25">
      <c r="A12" s="62">
        <v>99000892</v>
      </c>
      <c r="B12" s="62" t="s">
        <v>2250</v>
      </c>
      <c r="C12" s="62" t="s">
        <v>586</v>
      </c>
      <c r="D12" s="62">
        <v>1</v>
      </c>
    </row>
    <row r="13" spans="1:4" x14ac:dyDescent="0.25">
      <c r="A13" s="62">
        <v>1000192</v>
      </c>
      <c r="B13" s="62" t="s">
        <v>2250</v>
      </c>
      <c r="C13" s="62" t="s">
        <v>25</v>
      </c>
      <c r="D13" s="62">
        <v>1</v>
      </c>
    </row>
    <row r="14" spans="1:4" x14ac:dyDescent="0.25">
      <c r="A14" s="62">
        <v>1506</v>
      </c>
      <c r="B14" s="62" t="s">
        <v>2250</v>
      </c>
      <c r="C14" s="62" t="s">
        <v>26</v>
      </c>
      <c r="D14" s="62">
        <v>1</v>
      </c>
    </row>
    <row r="15" spans="1:4" x14ac:dyDescent="0.25">
      <c r="A15" s="62">
        <v>99000894</v>
      </c>
      <c r="B15" s="62" t="s">
        <v>2250</v>
      </c>
      <c r="C15" s="62" t="s">
        <v>23</v>
      </c>
      <c r="D15" s="62">
        <v>1</v>
      </c>
    </row>
    <row r="16" spans="1:4" x14ac:dyDescent="0.25">
      <c r="A16" s="62">
        <v>99001902</v>
      </c>
      <c r="B16" s="62" t="s">
        <v>2250</v>
      </c>
      <c r="C16" s="62" t="s">
        <v>24</v>
      </c>
      <c r="D16" s="62">
        <v>1</v>
      </c>
    </row>
    <row r="17" spans="1:4" x14ac:dyDescent="0.25">
      <c r="A17" s="62">
        <v>99001912</v>
      </c>
      <c r="B17" s="62" t="s">
        <v>2250</v>
      </c>
      <c r="C17" s="62" t="s">
        <v>26</v>
      </c>
      <c r="D17" s="62">
        <v>1</v>
      </c>
    </row>
    <row r="18" spans="1:4" x14ac:dyDescent="0.25">
      <c r="A18" s="62">
        <v>99001913</v>
      </c>
      <c r="B18" s="62" t="s">
        <v>2250</v>
      </c>
      <c r="C18" s="62" t="s">
        <v>24</v>
      </c>
      <c r="D18" s="62">
        <v>1</v>
      </c>
    </row>
    <row r="19" spans="1:4" x14ac:dyDescent="0.25">
      <c r="A19" s="62">
        <v>99001937</v>
      </c>
      <c r="B19" s="62" t="s">
        <v>2250</v>
      </c>
      <c r="C19" s="62" t="s">
        <v>1112</v>
      </c>
      <c r="D19" s="62">
        <v>1</v>
      </c>
    </row>
    <row r="20" spans="1:4" x14ac:dyDescent="0.25">
      <c r="A20" s="62">
        <v>99001943</v>
      </c>
      <c r="B20" s="62" t="s">
        <v>2250</v>
      </c>
      <c r="C20" s="62" t="s">
        <v>40</v>
      </c>
      <c r="D20" s="62">
        <v>1</v>
      </c>
    </row>
    <row r="21" spans="1:4" x14ac:dyDescent="0.25">
      <c r="A21" s="62">
        <v>99001927</v>
      </c>
      <c r="B21" s="62" t="s">
        <v>2250</v>
      </c>
      <c r="C21" s="62" t="s">
        <v>1110</v>
      </c>
      <c r="D21" s="62">
        <v>1</v>
      </c>
    </row>
    <row r="22" spans="1:4" x14ac:dyDescent="0.25">
      <c r="A22" s="62">
        <v>1000197</v>
      </c>
      <c r="B22" s="62" t="s">
        <v>2250</v>
      </c>
      <c r="C22" s="62" t="s">
        <v>59</v>
      </c>
      <c r="D22" s="62">
        <v>1</v>
      </c>
    </row>
    <row r="23" spans="1:4" x14ac:dyDescent="0.25">
      <c r="A23" s="62">
        <v>96018835</v>
      </c>
      <c r="B23" s="62" t="s">
        <v>2250</v>
      </c>
      <c r="C23" s="62" t="s">
        <v>2253</v>
      </c>
      <c r="D23" s="62">
        <v>7</v>
      </c>
    </row>
    <row r="24" spans="1:4" x14ac:dyDescent="0.25">
      <c r="A24" s="62">
        <v>98008326</v>
      </c>
      <c r="B24" s="62" t="s">
        <v>2250</v>
      </c>
      <c r="C24" s="62" t="s">
        <v>75</v>
      </c>
      <c r="D24" s="62">
        <v>1</v>
      </c>
    </row>
    <row r="25" spans="1:4" x14ac:dyDescent="0.25">
      <c r="A25" s="62">
        <v>99000717</v>
      </c>
      <c r="B25" s="62" t="s">
        <v>2250</v>
      </c>
      <c r="C25" s="62" t="s">
        <v>79</v>
      </c>
      <c r="D25" s="62">
        <v>1</v>
      </c>
    </row>
    <row r="26" spans="1:4" x14ac:dyDescent="0.25">
      <c r="A26" s="62">
        <v>1006143</v>
      </c>
      <c r="B26" s="62" t="s">
        <v>2250</v>
      </c>
      <c r="C26" s="62" t="s">
        <v>1110</v>
      </c>
      <c r="D26" s="62">
        <v>1</v>
      </c>
    </row>
    <row r="27" spans="1:4" x14ac:dyDescent="0.25">
      <c r="A27" s="62">
        <v>6006917</v>
      </c>
      <c r="B27" s="62" t="s">
        <v>2250</v>
      </c>
      <c r="C27" s="62" t="s">
        <v>1110</v>
      </c>
      <c r="D27" s="62">
        <v>1</v>
      </c>
    </row>
    <row r="28" spans="1:4" x14ac:dyDescent="0.25">
      <c r="A28" s="62">
        <v>8057159</v>
      </c>
      <c r="B28" s="62" t="s">
        <v>2250</v>
      </c>
      <c r="C28" s="62" t="s">
        <v>2254</v>
      </c>
      <c r="D28" s="62">
        <v>2</v>
      </c>
    </row>
    <row r="29" spans="1:4" x14ac:dyDescent="0.25">
      <c r="A29" s="62">
        <v>98004910</v>
      </c>
      <c r="B29" s="62" t="s">
        <v>2250</v>
      </c>
      <c r="C29" s="62" t="s">
        <v>1110</v>
      </c>
      <c r="D29" s="62">
        <v>1</v>
      </c>
    </row>
    <row r="30" spans="1:4" x14ac:dyDescent="0.25">
      <c r="A30" s="62">
        <v>7103068</v>
      </c>
      <c r="B30" s="62" t="s">
        <v>2250</v>
      </c>
      <c r="C30" s="62" t="s">
        <v>2255</v>
      </c>
      <c r="D30" s="62">
        <v>2</v>
      </c>
    </row>
    <row r="31" spans="1:4" x14ac:dyDescent="0.25">
      <c r="A31" s="62">
        <v>11240728</v>
      </c>
      <c r="B31" s="62" t="s">
        <v>2250</v>
      </c>
      <c r="C31" s="62" t="s">
        <v>2256</v>
      </c>
      <c r="D31" s="62">
        <v>4</v>
      </c>
    </row>
    <row r="32" spans="1:4" x14ac:dyDescent="0.25">
      <c r="A32" s="62">
        <v>5015869</v>
      </c>
      <c r="B32" s="62" t="s">
        <v>2250</v>
      </c>
      <c r="C32" s="62" t="s">
        <v>2257</v>
      </c>
      <c r="D32" s="62">
        <v>2</v>
      </c>
    </row>
    <row r="33" spans="1:4" x14ac:dyDescent="0.25">
      <c r="A33" s="62">
        <v>7000458</v>
      </c>
      <c r="B33" s="62" t="s">
        <v>2250</v>
      </c>
      <c r="C33" s="62" t="s">
        <v>26</v>
      </c>
      <c r="D33" s="62">
        <v>1</v>
      </c>
    </row>
    <row r="34" spans="1:4" x14ac:dyDescent="0.25">
      <c r="A34" s="62">
        <v>7015502</v>
      </c>
      <c r="B34" s="62" t="s">
        <v>2250</v>
      </c>
      <c r="C34" s="62" t="s">
        <v>585</v>
      </c>
      <c r="D34" s="62">
        <v>1</v>
      </c>
    </row>
    <row r="35" spans="1:4" x14ac:dyDescent="0.25">
      <c r="A35" s="62">
        <v>7082707</v>
      </c>
      <c r="B35" s="62" t="s">
        <v>2250</v>
      </c>
      <c r="C35" s="62" t="s">
        <v>711</v>
      </c>
      <c r="D35" s="62">
        <v>1</v>
      </c>
    </row>
    <row r="36" spans="1:4" x14ac:dyDescent="0.25">
      <c r="A36" s="62">
        <v>7083159</v>
      </c>
      <c r="B36" s="62" t="s">
        <v>2250</v>
      </c>
      <c r="C36" s="62" t="s">
        <v>713</v>
      </c>
      <c r="D36" s="62">
        <v>1</v>
      </c>
    </row>
    <row r="37" spans="1:4" x14ac:dyDescent="0.25">
      <c r="A37" s="62">
        <v>7089231</v>
      </c>
      <c r="B37" s="62" t="s">
        <v>2250</v>
      </c>
      <c r="C37" s="62" t="s">
        <v>1110</v>
      </c>
      <c r="D37" s="62">
        <v>1</v>
      </c>
    </row>
    <row r="38" spans="1:4" x14ac:dyDescent="0.25">
      <c r="A38" s="62">
        <v>7116004</v>
      </c>
      <c r="B38" s="62" t="s">
        <v>2250</v>
      </c>
      <c r="C38" s="62" t="s">
        <v>1110</v>
      </c>
      <c r="D38" s="62">
        <v>1</v>
      </c>
    </row>
    <row r="39" spans="1:4" x14ac:dyDescent="0.25">
      <c r="A39" s="62">
        <v>8003819</v>
      </c>
      <c r="B39" s="62" t="s">
        <v>2250</v>
      </c>
      <c r="C39" s="62" t="s">
        <v>1110</v>
      </c>
      <c r="D39" s="62">
        <v>1</v>
      </c>
    </row>
    <row r="40" spans="1:4" x14ac:dyDescent="0.25">
      <c r="A40" s="62">
        <v>8130998</v>
      </c>
      <c r="B40" s="62" t="s">
        <v>2250</v>
      </c>
      <c r="C40" s="62" t="s">
        <v>2258</v>
      </c>
      <c r="D40" s="62">
        <v>3</v>
      </c>
    </row>
    <row r="41" spans="1:4" x14ac:dyDescent="0.25">
      <c r="A41" s="62">
        <v>9003370</v>
      </c>
      <c r="B41" s="62" t="s">
        <v>2250</v>
      </c>
      <c r="C41" s="62" t="s">
        <v>585</v>
      </c>
      <c r="D41" s="62">
        <v>1</v>
      </c>
    </row>
    <row r="42" spans="1:4" x14ac:dyDescent="0.25">
      <c r="A42" s="62">
        <v>9016278</v>
      </c>
      <c r="B42" s="62" t="s">
        <v>2250</v>
      </c>
      <c r="C42" s="62" t="s">
        <v>2259</v>
      </c>
      <c r="D42" s="62">
        <v>4</v>
      </c>
    </row>
    <row r="43" spans="1:4" x14ac:dyDescent="0.25">
      <c r="A43" s="62">
        <v>9030684</v>
      </c>
      <c r="B43" s="62" t="s">
        <v>2250</v>
      </c>
      <c r="C43" s="62" t="s">
        <v>1114</v>
      </c>
      <c r="D43" s="62">
        <v>1</v>
      </c>
    </row>
    <row r="44" spans="1:4" x14ac:dyDescent="0.25">
      <c r="A44" s="62">
        <v>9031387</v>
      </c>
      <c r="B44" s="62" t="s">
        <v>2250</v>
      </c>
      <c r="C44" s="62" t="s">
        <v>725</v>
      </c>
      <c r="D44" s="62">
        <v>1</v>
      </c>
    </row>
    <row r="45" spans="1:4" x14ac:dyDescent="0.25">
      <c r="A45" s="62">
        <v>9038676</v>
      </c>
      <c r="B45" s="62" t="s">
        <v>2250</v>
      </c>
      <c r="C45" s="62" t="s">
        <v>585</v>
      </c>
      <c r="D45" s="62">
        <v>1</v>
      </c>
    </row>
    <row r="46" spans="1:4" x14ac:dyDescent="0.25">
      <c r="A46" s="62">
        <v>9039416</v>
      </c>
      <c r="B46" s="62" t="s">
        <v>2250</v>
      </c>
      <c r="C46" s="62" t="s">
        <v>25</v>
      </c>
      <c r="D46" s="62">
        <v>1</v>
      </c>
    </row>
    <row r="47" spans="1:4" x14ac:dyDescent="0.25">
      <c r="A47" s="62">
        <v>9042861</v>
      </c>
      <c r="B47" s="62" t="s">
        <v>2250</v>
      </c>
      <c r="C47" s="62" t="s">
        <v>2260</v>
      </c>
      <c r="D47" s="62">
        <v>2</v>
      </c>
    </row>
    <row r="48" spans="1:4" x14ac:dyDescent="0.25">
      <c r="A48" s="62">
        <v>9044899</v>
      </c>
      <c r="B48" s="62" t="s">
        <v>2250</v>
      </c>
      <c r="C48" s="62" t="s">
        <v>2261</v>
      </c>
      <c r="D48" s="62">
        <v>6</v>
      </c>
    </row>
    <row r="49" spans="1:4" x14ac:dyDescent="0.25">
      <c r="A49" s="62">
        <v>9052398</v>
      </c>
      <c r="B49" s="62" t="s">
        <v>2250</v>
      </c>
      <c r="C49" s="62" t="s">
        <v>2262</v>
      </c>
      <c r="D49" s="62">
        <v>2</v>
      </c>
    </row>
    <row r="50" spans="1:4" x14ac:dyDescent="0.25">
      <c r="A50" s="62">
        <v>9085204</v>
      </c>
      <c r="B50" s="62" t="s">
        <v>2250</v>
      </c>
      <c r="C50" s="62" t="s">
        <v>2263</v>
      </c>
      <c r="D50" s="62">
        <v>2</v>
      </c>
    </row>
    <row r="51" spans="1:4" x14ac:dyDescent="0.25">
      <c r="A51">
        <v>9150676</v>
      </c>
      <c r="B51" s="62" t="s">
        <v>2250</v>
      </c>
      <c r="C51" t="s">
        <v>2264</v>
      </c>
      <c r="D51">
        <v>4</v>
      </c>
    </row>
    <row r="52" spans="1:4" x14ac:dyDescent="0.25">
      <c r="A52">
        <v>10030897</v>
      </c>
      <c r="B52" s="62" t="s">
        <v>2250</v>
      </c>
      <c r="C52" t="s">
        <v>2265</v>
      </c>
      <c r="D52">
        <v>6</v>
      </c>
    </row>
    <row r="53" spans="1:4" x14ac:dyDescent="0.25">
      <c r="A53">
        <v>324</v>
      </c>
      <c r="B53" s="62" t="s">
        <v>2250</v>
      </c>
      <c r="C53" t="s">
        <v>882</v>
      </c>
      <c r="D53">
        <v>1</v>
      </c>
    </row>
    <row r="54" spans="1:4" x14ac:dyDescent="0.25">
      <c r="A54">
        <v>3909</v>
      </c>
      <c r="B54" s="62" t="s">
        <v>2250</v>
      </c>
      <c r="C54" t="s">
        <v>886</v>
      </c>
      <c r="D54">
        <v>1</v>
      </c>
    </row>
    <row r="55" spans="1:4" x14ac:dyDescent="0.25">
      <c r="A55">
        <v>4663</v>
      </c>
      <c r="B55" s="62" t="s">
        <v>2250</v>
      </c>
      <c r="C55" t="s">
        <v>890</v>
      </c>
      <c r="D55">
        <v>1</v>
      </c>
    </row>
    <row r="56" spans="1:4" x14ac:dyDescent="0.25">
      <c r="A56">
        <v>1005522</v>
      </c>
      <c r="B56" s="62" t="s">
        <v>2250</v>
      </c>
      <c r="C56" t="s">
        <v>2266</v>
      </c>
      <c r="D56">
        <v>5</v>
      </c>
    </row>
    <row r="57" spans="1:4" x14ac:dyDescent="0.25">
      <c r="A57">
        <v>1007631</v>
      </c>
      <c r="B57" s="62" t="s">
        <v>2250</v>
      </c>
      <c r="C57" t="s">
        <v>2267</v>
      </c>
      <c r="D57">
        <v>2</v>
      </c>
    </row>
    <row r="58" spans="1:4" x14ac:dyDescent="0.25">
      <c r="A58">
        <v>1009760</v>
      </c>
      <c r="B58" s="62" t="s">
        <v>2250</v>
      </c>
      <c r="C58" t="s">
        <v>2268</v>
      </c>
      <c r="D58">
        <v>5</v>
      </c>
    </row>
    <row r="59" spans="1:4" x14ac:dyDescent="0.25">
      <c r="A59">
        <v>3005132</v>
      </c>
      <c r="B59" s="62" t="s">
        <v>2250</v>
      </c>
      <c r="C59" t="s">
        <v>585</v>
      </c>
      <c r="D59">
        <v>1</v>
      </c>
    </row>
    <row r="60" spans="1:4" x14ac:dyDescent="0.25">
      <c r="A60">
        <v>3014643</v>
      </c>
      <c r="B60" s="62" t="s">
        <v>2250</v>
      </c>
      <c r="C60" t="s">
        <v>2269</v>
      </c>
      <c r="D60">
        <v>3</v>
      </c>
    </row>
    <row r="61" spans="1:4" x14ac:dyDescent="0.25">
      <c r="A61">
        <v>3016056</v>
      </c>
      <c r="B61" s="62" t="s">
        <v>2250</v>
      </c>
      <c r="C61" t="s">
        <v>2270</v>
      </c>
      <c r="D61">
        <v>3</v>
      </c>
    </row>
    <row r="62" spans="1:4" x14ac:dyDescent="0.25">
      <c r="A62">
        <v>3900219</v>
      </c>
      <c r="B62" s="62" t="s">
        <v>2250</v>
      </c>
      <c r="C62" t="s">
        <v>2271</v>
      </c>
      <c r="D62">
        <v>3</v>
      </c>
    </row>
    <row r="63" spans="1:4" x14ac:dyDescent="0.25">
      <c r="A63">
        <v>4000158</v>
      </c>
      <c r="B63" s="62" t="s">
        <v>2250</v>
      </c>
      <c r="C63" t="s">
        <v>586</v>
      </c>
      <c r="D63">
        <v>1</v>
      </c>
    </row>
    <row r="64" spans="1:4" x14ac:dyDescent="0.25">
      <c r="A64">
        <v>4000304</v>
      </c>
      <c r="B64" s="62" t="s">
        <v>2250</v>
      </c>
      <c r="C64" t="s">
        <v>585</v>
      </c>
      <c r="D64">
        <v>1</v>
      </c>
    </row>
    <row r="65" spans="1:4" x14ac:dyDescent="0.25">
      <c r="A65">
        <v>4002206</v>
      </c>
      <c r="B65" s="62" t="s">
        <v>2250</v>
      </c>
      <c r="C65" t="s">
        <v>585</v>
      </c>
      <c r="D65">
        <v>1</v>
      </c>
    </row>
    <row r="66" spans="1:4" x14ac:dyDescent="0.25">
      <c r="A66">
        <v>4002715</v>
      </c>
      <c r="B66" s="62" t="s">
        <v>2250</v>
      </c>
      <c r="C66" t="s">
        <v>2272</v>
      </c>
      <c r="D66">
        <v>3</v>
      </c>
    </row>
    <row r="67" spans="1:4" x14ac:dyDescent="0.25">
      <c r="A67">
        <v>4003924</v>
      </c>
      <c r="B67" s="62" t="s">
        <v>2250</v>
      </c>
      <c r="C67" t="s">
        <v>586</v>
      </c>
      <c r="D67">
        <v>1</v>
      </c>
    </row>
    <row r="68" spans="1:4" x14ac:dyDescent="0.25">
      <c r="A68">
        <v>4008140</v>
      </c>
      <c r="B68" s="62" t="s">
        <v>2250</v>
      </c>
      <c r="C68" t="s">
        <v>1110</v>
      </c>
      <c r="D68">
        <v>1</v>
      </c>
    </row>
    <row r="69" spans="1:4" x14ac:dyDescent="0.25">
      <c r="A69">
        <v>4009906</v>
      </c>
      <c r="B69" s="62" t="s">
        <v>2250</v>
      </c>
      <c r="C69" t="s">
        <v>2273</v>
      </c>
      <c r="D69">
        <v>4</v>
      </c>
    </row>
    <row r="70" spans="1:4" x14ac:dyDescent="0.25">
      <c r="A70">
        <v>4011920</v>
      </c>
      <c r="B70" s="62" t="s">
        <v>2250</v>
      </c>
      <c r="C70" t="s">
        <v>2274</v>
      </c>
      <c r="D70">
        <v>3</v>
      </c>
    </row>
    <row r="71" spans="1:4" x14ac:dyDescent="0.25">
      <c r="A71">
        <v>4012248</v>
      </c>
      <c r="B71" s="62" t="s">
        <v>2250</v>
      </c>
      <c r="C71" t="s">
        <v>2275</v>
      </c>
      <c r="D71">
        <v>7</v>
      </c>
    </row>
    <row r="72" spans="1:4" x14ac:dyDescent="0.25">
      <c r="A72">
        <v>4013603</v>
      </c>
      <c r="B72" s="62" t="s">
        <v>2250</v>
      </c>
      <c r="C72" t="s">
        <v>585</v>
      </c>
      <c r="D72">
        <v>1</v>
      </c>
    </row>
    <row r="73" spans="1:4" x14ac:dyDescent="0.25">
      <c r="A73">
        <v>5004654</v>
      </c>
      <c r="B73" s="62" t="s">
        <v>2250</v>
      </c>
      <c r="C73" t="s">
        <v>2276</v>
      </c>
      <c r="D73">
        <v>10</v>
      </c>
    </row>
    <row r="74" spans="1:4" x14ac:dyDescent="0.25">
      <c r="A74">
        <v>500245</v>
      </c>
      <c r="B74" s="62" t="s">
        <v>2250</v>
      </c>
      <c r="C74" t="s">
        <v>2277</v>
      </c>
      <c r="D74">
        <v>6</v>
      </c>
    </row>
    <row r="75" spans="1:4" x14ac:dyDescent="0.25">
      <c r="A75">
        <v>2002573</v>
      </c>
      <c r="B75" s="62" t="s">
        <v>2250</v>
      </c>
      <c r="C75" t="s">
        <v>2278</v>
      </c>
      <c r="D75">
        <v>3</v>
      </c>
    </row>
    <row r="76" spans="1:4" x14ac:dyDescent="0.25">
      <c r="A76">
        <v>2003539</v>
      </c>
      <c r="B76" s="62" t="s">
        <v>2250</v>
      </c>
      <c r="C76" t="s">
        <v>1112</v>
      </c>
      <c r="D76">
        <v>1</v>
      </c>
    </row>
    <row r="77" spans="1:4" x14ac:dyDescent="0.25">
      <c r="A77">
        <v>2003649</v>
      </c>
      <c r="B77" s="62" t="s">
        <v>2250</v>
      </c>
      <c r="C77" t="s">
        <v>2279</v>
      </c>
      <c r="D77">
        <v>8</v>
      </c>
    </row>
    <row r="78" spans="1:4" x14ac:dyDescent="0.25">
      <c r="A78">
        <v>2005572</v>
      </c>
      <c r="B78" s="62" t="s">
        <v>2250</v>
      </c>
      <c r="C78" t="s">
        <v>2280</v>
      </c>
      <c r="D78">
        <v>3</v>
      </c>
    </row>
    <row r="79" spans="1:4" x14ac:dyDescent="0.25">
      <c r="A79">
        <v>2013117</v>
      </c>
      <c r="B79" s="62" t="s">
        <v>2250</v>
      </c>
      <c r="C79" t="s">
        <v>1110</v>
      </c>
      <c r="D79">
        <v>1</v>
      </c>
    </row>
    <row r="80" spans="1:4" x14ac:dyDescent="0.25">
      <c r="A80">
        <v>3009633</v>
      </c>
      <c r="B80" s="62" t="s">
        <v>2250</v>
      </c>
      <c r="C80" t="s">
        <v>2281</v>
      </c>
      <c r="D80">
        <v>4</v>
      </c>
    </row>
    <row r="81" spans="1:4" x14ac:dyDescent="0.25">
      <c r="A81">
        <v>3010583</v>
      </c>
      <c r="B81" s="62" t="s">
        <v>2250</v>
      </c>
      <c r="C81" t="s">
        <v>2282</v>
      </c>
      <c r="D81">
        <v>3</v>
      </c>
    </row>
    <row r="82" spans="1:4" x14ac:dyDescent="0.25">
      <c r="A82">
        <v>4001382</v>
      </c>
      <c r="B82" s="62" t="s">
        <v>2250</v>
      </c>
      <c r="C82" t="s">
        <v>2283</v>
      </c>
      <c r="D82">
        <v>2</v>
      </c>
    </row>
    <row r="83" spans="1:4" x14ac:dyDescent="0.25">
      <c r="A83">
        <v>5018675</v>
      </c>
      <c r="B83" s="62" t="s">
        <v>2250</v>
      </c>
      <c r="C83" t="s">
        <v>518</v>
      </c>
      <c r="D83">
        <v>1</v>
      </c>
    </row>
    <row r="84" spans="1:4" x14ac:dyDescent="0.25">
      <c r="A84">
        <v>5015851</v>
      </c>
      <c r="B84" s="62" t="s">
        <v>2250</v>
      </c>
      <c r="C84" t="s">
        <v>2284</v>
      </c>
      <c r="D84">
        <v>5</v>
      </c>
    </row>
    <row r="85" spans="1:4" x14ac:dyDescent="0.25">
      <c r="A85">
        <v>6015647</v>
      </c>
      <c r="B85" s="62" t="s">
        <v>2250</v>
      </c>
      <c r="C85" t="s">
        <v>2285</v>
      </c>
      <c r="D85">
        <v>11</v>
      </c>
    </row>
    <row r="86" spans="1:4" x14ac:dyDescent="0.25">
      <c r="A86">
        <v>6056633</v>
      </c>
      <c r="B86" s="62" t="s">
        <v>2250</v>
      </c>
      <c r="C86" t="s">
        <v>2286</v>
      </c>
      <c r="D86">
        <v>3</v>
      </c>
    </row>
    <row r="87" spans="1:4" x14ac:dyDescent="0.25">
      <c r="A87">
        <v>7086224</v>
      </c>
      <c r="B87" s="62" t="s">
        <v>2250</v>
      </c>
      <c r="C87" t="s">
        <v>2287</v>
      </c>
      <c r="D87">
        <v>4</v>
      </c>
    </row>
    <row r="88" spans="1:4" x14ac:dyDescent="0.25">
      <c r="A88">
        <v>8040959</v>
      </c>
      <c r="B88" s="62" t="s">
        <v>2250</v>
      </c>
      <c r="C88" t="s">
        <v>123</v>
      </c>
      <c r="D88">
        <v>1</v>
      </c>
    </row>
    <row r="89" spans="1:4" x14ac:dyDescent="0.25">
      <c r="A89">
        <v>8107048</v>
      </c>
      <c r="B89" s="62" t="s">
        <v>2250</v>
      </c>
      <c r="C89" t="s">
        <v>2288</v>
      </c>
      <c r="D89">
        <v>2</v>
      </c>
    </row>
    <row r="90" spans="1:4" x14ac:dyDescent="0.25">
      <c r="A90">
        <v>8124044</v>
      </c>
      <c r="B90" s="62" t="s">
        <v>2250</v>
      </c>
      <c r="C90" t="s">
        <v>2289</v>
      </c>
      <c r="D90">
        <v>3</v>
      </c>
    </row>
    <row r="91" spans="1:4" x14ac:dyDescent="0.25">
      <c r="A91">
        <v>9023306</v>
      </c>
      <c r="B91" s="62" t="s">
        <v>2250</v>
      </c>
      <c r="C91" t="s">
        <v>2290</v>
      </c>
      <c r="D91">
        <v>4</v>
      </c>
    </row>
    <row r="92" spans="1:4" x14ac:dyDescent="0.25">
      <c r="A92">
        <v>9030615</v>
      </c>
      <c r="B92" s="62" t="s">
        <v>2250</v>
      </c>
      <c r="C92" t="s">
        <v>2291</v>
      </c>
      <c r="D92">
        <v>4</v>
      </c>
    </row>
    <row r="93" spans="1:4" x14ac:dyDescent="0.25">
      <c r="A93">
        <v>9054567</v>
      </c>
      <c r="B93" s="62" t="s">
        <v>2250</v>
      </c>
      <c r="C93" t="s">
        <v>1110</v>
      </c>
      <c r="D93">
        <v>1</v>
      </c>
    </row>
    <row r="94" spans="1:4" x14ac:dyDescent="0.25">
      <c r="A94">
        <v>9083682</v>
      </c>
      <c r="B94" s="62" t="s">
        <v>2250</v>
      </c>
      <c r="C94" t="s">
        <v>2292</v>
      </c>
      <c r="D94">
        <v>3</v>
      </c>
    </row>
    <row r="95" spans="1:4" x14ac:dyDescent="0.25">
      <c r="A95">
        <v>9174811</v>
      </c>
      <c r="B95" s="62" t="s">
        <v>2250</v>
      </c>
      <c r="C95" t="s">
        <v>2293</v>
      </c>
      <c r="D95">
        <v>3</v>
      </c>
    </row>
    <row r="96" spans="1:4" x14ac:dyDescent="0.25">
      <c r="A96">
        <v>10002875</v>
      </c>
      <c r="B96" s="62" t="s">
        <v>2250</v>
      </c>
      <c r="C96" t="s">
        <v>2294</v>
      </c>
      <c r="D96">
        <v>7</v>
      </c>
    </row>
    <row r="97" spans="1:4" x14ac:dyDescent="0.25">
      <c r="A97">
        <v>10023080</v>
      </c>
      <c r="B97" s="62" t="s">
        <v>2250</v>
      </c>
      <c r="C97" t="s">
        <v>2295</v>
      </c>
      <c r="D97">
        <v>2</v>
      </c>
    </row>
    <row r="98" spans="1:4" x14ac:dyDescent="0.25">
      <c r="A98">
        <v>10025212</v>
      </c>
      <c r="B98" s="62" t="s">
        <v>2250</v>
      </c>
      <c r="C98" t="s">
        <v>2296</v>
      </c>
      <c r="D98">
        <v>2</v>
      </c>
    </row>
    <row r="99" spans="1:4" x14ac:dyDescent="0.25">
      <c r="A99">
        <v>10071135</v>
      </c>
      <c r="B99" s="62" t="s">
        <v>2250</v>
      </c>
      <c r="C99" t="s">
        <v>2297</v>
      </c>
      <c r="D99">
        <v>4</v>
      </c>
    </row>
    <row r="100" spans="1:4" x14ac:dyDescent="0.25">
      <c r="A100">
        <v>10083649</v>
      </c>
      <c r="B100" s="62" t="s">
        <v>2250</v>
      </c>
      <c r="C100" t="s">
        <v>2298</v>
      </c>
      <c r="D100">
        <v>2</v>
      </c>
    </row>
    <row r="101" spans="1:4" x14ac:dyDescent="0.25">
      <c r="A101">
        <v>10157275</v>
      </c>
      <c r="B101" s="62" t="s">
        <v>2250</v>
      </c>
      <c r="C101" t="s">
        <v>2299</v>
      </c>
      <c r="D101">
        <v>3</v>
      </c>
    </row>
    <row r="102" spans="1:4" x14ac:dyDescent="0.25">
      <c r="A102">
        <v>200085</v>
      </c>
      <c r="B102" s="62" t="s">
        <v>2250</v>
      </c>
      <c r="C102" t="s">
        <v>2300</v>
      </c>
      <c r="D102">
        <v>18</v>
      </c>
    </row>
    <row r="103" spans="1:4" x14ac:dyDescent="0.25">
      <c r="A103">
        <v>500129</v>
      </c>
      <c r="B103" s="62" t="s">
        <v>2250</v>
      </c>
      <c r="C103" t="s">
        <v>2301</v>
      </c>
      <c r="D103">
        <v>8</v>
      </c>
    </row>
    <row r="104" spans="1:4" x14ac:dyDescent="0.25">
      <c r="A104">
        <v>1002033</v>
      </c>
      <c r="B104" s="62" t="s">
        <v>2250</v>
      </c>
      <c r="C104" t="s">
        <v>2302</v>
      </c>
      <c r="D104">
        <v>6</v>
      </c>
    </row>
    <row r="105" spans="1:4" x14ac:dyDescent="0.25">
      <c r="A105">
        <v>1003457</v>
      </c>
      <c r="B105" s="62" t="s">
        <v>2250</v>
      </c>
      <c r="C105" t="s">
        <v>24</v>
      </c>
      <c r="D105">
        <v>1</v>
      </c>
    </row>
    <row r="106" spans="1:4" x14ac:dyDescent="0.25">
      <c r="A106">
        <v>2006107</v>
      </c>
      <c r="B106" s="62" t="s">
        <v>2250</v>
      </c>
      <c r="C106" t="s">
        <v>585</v>
      </c>
      <c r="D106">
        <v>1</v>
      </c>
    </row>
    <row r="107" spans="1:4" x14ac:dyDescent="0.25">
      <c r="A107">
        <v>2012014</v>
      </c>
      <c r="B107" s="62" t="s">
        <v>2250</v>
      </c>
      <c r="C107" t="s">
        <v>1380</v>
      </c>
      <c r="D107">
        <v>1</v>
      </c>
    </row>
    <row r="108" spans="1:4" x14ac:dyDescent="0.25">
      <c r="A108">
        <v>3000152</v>
      </c>
      <c r="B108" s="62" t="s">
        <v>2250</v>
      </c>
      <c r="C108" t="s">
        <v>1110</v>
      </c>
      <c r="D108">
        <v>1</v>
      </c>
    </row>
    <row r="109" spans="1:4" x14ac:dyDescent="0.25">
      <c r="A109">
        <v>3015058</v>
      </c>
      <c r="B109" s="62" t="s">
        <v>2250</v>
      </c>
      <c r="C109" t="s">
        <v>2303</v>
      </c>
      <c r="D109">
        <v>4</v>
      </c>
    </row>
    <row r="110" spans="1:4" x14ac:dyDescent="0.25">
      <c r="A110">
        <v>4000996</v>
      </c>
      <c r="B110" s="62" t="s">
        <v>2250</v>
      </c>
      <c r="C110" t="s">
        <v>2304</v>
      </c>
      <c r="D110">
        <v>5</v>
      </c>
    </row>
    <row r="111" spans="1:4" x14ac:dyDescent="0.25">
      <c r="A111">
        <v>4003768</v>
      </c>
      <c r="B111" s="62" t="s">
        <v>2250</v>
      </c>
      <c r="C111" t="s">
        <v>2305</v>
      </c>
      <c r="D111">
        <v>6</v>
      </c>
    </row>
    <row r="112" spans="1:4" x14ac:dyDescent="0.25">
      <c r="A112">
        <v>4006540</v>
      </c>
      <c r="B112" s="62" t="s">
        <v>2250</v>
      </c>
      <c r="C112" t="s">
        <v>48</v>
      </c>
      <c r="D112">
        <v>1</v>
      </c>
    </row>
    <row r="113" spans="1:4" x14ac:dyDescent="0.25">
      <c r="A113">
        <v>4011002</v>
      </c>
      <c r="B113" s="62" t="s">
        <v>2250</v>
      </c>
      <c r="C113" t="s">
        <v>2306</v>
      </c>
      <c r="D113">
        <v>4</v>
      </c>
    </row>
    <row r="114" spans="1:4" x14ac:dyDescent="0.25">
      <c r="A114">
        <v>5001097</v>
      </c>
      <c r="B114" s="62" t="s">
        <v>2250</v>
      </c>
      <c r="C114" t="s">
        <v>2307</v>
      </c>
      <c r="D114">
        <v>6</v>
      </c>
    </row>
    <row r="115" spans="1:4" x14ac:dyDescent="0.25">
      <c r="A115">
        <v>5001098</v>
      </c>
      <c r="B115" s="62" t="s">
        <v>2250</v>
      </c>
      <c r="C115" t="s">
        <v>2308</v>
      </c>
      <c r="D115">
        <v>5</v>
      </c>
    </row>
    <row r="116" spans="1:4" x14ac:dyDescent="0.25">
      <c r="A116">
        <v>6012361</v>
      </c>
      <c r="B116" s="62" t="s">
        <v>2250</v>
      </c>
      <c r="C116" t="s">
        <v>2309</v>
      </c>
      <c r="D116">
        <v>3</v>
      </c>
    </row>
    <row r="117" spans="1:4" x14ac:dyDescent="0.25">
      <c r="A117">
        <v>6015793</v>
      </c>
      <c r="B117" s="62" t="s">
        <v>2250</v>
      </c>
      <c r="C117" t="s">
        <v>2310</v>
      </c>
      <c r="D117">
        <v>3</v>
      </c>
    </row>
    <row r="118" spans="1:4" x14ac:dyDescent="0.25">
      <c r="A118">
        <v>6043619</v>
      </c>
      <c r="B118" s="62" t="s">
        <v>2250</v>
      </c>
      <c r="C118" t="s">
        <v>585</v>
      </c>
      <c r="D118">
        <v>1</v>
      </c>
    </row>
    <row r="119" spans="1:4" x14ac:dyDescent="0.25">
      <c r="A119">
        <v>7011435</v>
      </c>
      <c r="B119" s="62" t="s">
        <v>2250</v>
      </c>
      <c r="C119" t="s">
        <v>2311</v>
      </c>
      <c r="D119">
        <v>3</v>
      </c>
    </row>
    <row r="120" spans="1:4" x14ac:dyDescent="0.25">
      <c r="A120">
        <v>7045811</v>
      </c>
      <c r="B120" s="62" t="s">
        <v>2250</v>
      </c>
      <c r="C120" t="s">
        <v>1113</v>
      </c>
      <c r="D120">
        <v>1</v>
      </c>
    </row>
    <row r="121" spans="1:4" x14ac:dyDescent="0.25">
      <c r="A121">
        <v>7101143</v>
      </c>
      <c r="B121" s="62" t="s">
        <v>2250</v>
      </c>
      <c r="C121" t="s">
        <v>2312</v>
      </c>
      <c r="D121">
        <v>6</v>
      </c>
    </row>
    <row r="122" spans="1:4" x14ac:dyDescent="0.25">
      <c r="A122">
        <v>8089666</v>
      </c>
      <c r="B122" s="62" t="s">
        <v>2250</v>
      </c>
      <c r="C122" t="s">
        <v>2313</v>
      </c>
      <c r="D122">
        <v>5</v>
      </c>
    </row>
    <row r="123" spans="1:4" x14ac:dyDescent="0.25">
      <c r="A123">
        <v>8124816</v>
      </c>
      <c r="B123" s="62" t="s">
        <v>2250</v>
      </c>
      <c r="C123" t="s">
        <v>2314</v>
      </c>
      <c r="D123">
        <v>4</v>
      </c>
    </row>
    <row r="124" spans="1:4" x14ac:dyDescent="0.25">
      <c r="A124">
        <v>9003267</v>
      </c>
      <c r="B124" s="62" t="s">
        <v>2250</v>
      </c>
      <c r="C124" t="s">
        <v>2315</v>
      </c>
      <c r="D124">
        <v>5</v>
      </c>
    </row>
    <row r="125" spans="1:4" x14ac:dyDescent="0.25">
      <c r="A125">
        <v>9036964</v>
      </c>
      <c r="B125" s="62" t="s">
        <v>2250</v>
      </c>
      <c r="C125" t="s">
        <v>2316</v>
      </c>
      <c r="D125">
        <v>3</v>
      </c>
    </row>
    <row r="126" spans="1:4" x14ac:dyDescent="0.25">
      <c r="A126">
        <v>9090287</v>
      </c>
      <c r="B126" s="62" t="s">
        <v>2250</v>
      </c>
      <c r="C126" t="s">
        <v>25</v>
      </c>
      <c r="D126">
        <v>1</v>
      </c>
    </row>
    <row r="127" spans="1:4" x14ac:dyDescent="0.25">
      <c r="A127">
        <v>9095148</v>
      </c>
      <c r="B127" s="62" t="s">
        <v>2250</v>
      </c>
      <c r="C127" t="s">
        <v>586</v>
      </c>
      <c r="D127">
        <v>1</v>
      </c>
    </row>
    <row r="128" spans="1:4" x14ac:dyDescent="0.25">
      <c r="A128">
        <v>10020659</v>
      </c>
      <c r="B128" s="62" t="s">
        <v>2250</v>
      </c>
      <c r="C128" t="s">
        <v>2317</v>
      </c>
      <c r="D128">
        <v>6</v>
      </c>
    </row>
    <row r="129" spans="1:4" x14ac:dyDescent="0.25">
      <c r="A129">
        <v>10025902</v>
      </c>
      <c r="B129" s="62" t="s">
        <v>2250</v>
      </c>
      <c r="C129" t="s">
        <v>2318</v>
      </c>
      <c r="D129">
        <v>7</v>
      </c>
    </row>
    <row r="130" spans="1:4" x14ac:dyDescent="0.25">
      <c r="A130">
        <v>10084485</v>
      </c>
      <c r="B130" s="62" t="s">
        <v>2250</v>
      </c>
      <c r="C130" t="s">
        <v>585</v>
      </c>
      <c r="D130">
        <v>1</v>
      </c>
    </row>
    <row r="131" spans="1:4" x14ac:dyDescent="0.25">
      <c r="A131">
        <v>10098420</v>
      </c>
      <c r="B131" s="62" t="s">
        <v>2250</v>
      </c>
      <c r="C131" t="s">
        <v>2319</v>
      </c>
      <c r="D131">
        <v>4</v>
      </c>
    </row>
    <row r="132" spans="1:4" x14ac:dyDescent="0.25">
      <c r="A132">
        <v>10129565</v>
      </c>
      <c r="B132" s="62" t="s">
        <v>2250</v>
      </c>
      <c r="C132" t="s">
        <v>2320</v>
      </c>
      <c r="D132">
        <v>3</v>
      </c>
    </row>
    <row r="133" spans="1:4" x14ac:dyDescent="0.25">
      <c r="A133">
        <v>10163776</v>
      </c>
      <c r="B133" s="62" t="s">
        <v>2250</v>
      </c>
      <c r="C133" t="s">
        <v>2321</v>
      </c>
      <c r="D133">
        <v>2</v>
      </c>
    </row>
    <row r="134" spans="1:4" x14ac:dyDescent="0.25">
      <c r="A134">
        <v>10173664</v>
      </c>
      <c r="B134" s="62" t="s">
        <v>2250</v>
      </c>
      <c r="C134" t="s">
        <v>2322</v>
      </c>
      <c r="D134">
        <v>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E775-C409-46D1-AB7D-72BD44EDCE43}">
  <dimension ref="A1:AM239"/>
  <sheetViews>
    <sheetView workbookViewId="0">
      <selection activeCell="F5" sqref="F5"/>
    </sheetView>
  </sheetViews>
  <sheetFormatPr baseColWidth="10" defaultRowHeight="15" x14ac:dyDescent="0.25"/>
  <cols>
    <col min="1" max="1" width="17.140625" customWidth="1"/>
    <col min="2" max="5" width="37.5703125" customWidth="1"/>
    <col min="6" max="9" width="32.140625" customWidth="1"/>
    <col min="10" max="10" width="36.5703125" customWidth="1"/>
    <col min="11" max="11" width="32.140625" customWidth="1"/>
    <col min="12" max="12" width="31" customWidth="1"/>
    <col min="13" max="13" width="27.5703125" customWidth="1"/>
    <col min="14" max="14" width="13.85546875" customWidth="1"/>
    <col min="18" max="18" width="14.28515625" customWidth="1"/>
    <col min="21" max="21" width="17.28515625" customWidth="1"/>
    <col min="22" max="22" width="12.42578125" customWidth="1"/>
    <col min="23" max="23" width="12" customWidth="1"/>
    <col min="24" max="24" width="16.85546875" customWidth="1"/>
    <col min="25" max="27" width="12" customWidth="1"/>
    <col min="28" max="28" width="16.85546875" customWidth="1"/>
    <col min="29" max="30" width="12" customWidth="1"/>
    <col min="31" max="31" width="16.85546875" customWidth="1"/>
    <col min="32" max="33" width="12" customWidth="1"/>
    <col min="34" max="34" width="19.5703125" customWidth="1"/>
    <col min="35" max="35" width="14.7109375" customWidth="1"/>
    <col min="36" max="39" width="19.5703125" customWidth="1"/>
  </cols>
  <sheetData>
    <row r="1" spans="1:39" ht="75" x14ac:dyDescent="0.25">
      <c r="A1" s="57" t="s">
        <v>43</v>
      </c>
      <c r="B1" s="66" t="s">
        <v>1737</v>
      </c>
      <c r="C1" s="66" t="s">
        <v>1324</v>
      </c>
      <c r="D1" s="66" t="s">
        <v>1439</v>
      </c>
      <c r="E1" s="66" t="s">
        <v>1124</v>
      </c>
      <c r="F1" s="66" t="s">
        <v>76</v>
      </c>
      <c r="G1" s="66" t="s">
        <v>1424</v>
      </c>
      <c r="H1" s="66" t="s">
        <v>1409</v>
      </c>
      <c r="I1" s="66" t="s">
        <v>455</v>
      </c>
      <c r="J1" s="66" t="s">
        <v>1125</v>
      </c>
      <c r="K1" s="66" t="s">
        <v>456</v>
      </c>
      <c r="L1" s="66" t="s">
        <v>1753</v>
      </c>
      <c r="M1" s="66" t="s">
        <v>1126</v>
      </c>
      <c r="N1" s="59" t="s">
        <v>457</v>
      </c>
      <c r="O1" s="58" t="s">
        <v>1123</v>
      </c>
      <c r="P1" s="58" t="s">
        <v>28</v>
      </c>
      <c r="Q1" s="58" t="s">
        <v>29</v>
      </c>
      <c r="R1" s="58" t="s">
        <v>1127</v>
      </c>
      <c r="S1" s="58" t="s">
        <v>30</v>
      </c>
      <c r="T1" s="58" t="s">
        <v>31</v>
      </c>
      <c r="U1" s="58" t="s">
        <v>1128</v>
      </c>
      <c r="V1" s="58" t="s">
        <v>922</v>
      </c>
      <c r="W1" s="58" t="s">
        <v>915</v>
      </c>
      <c r="X1" s="58" t="s">
        <v>1129</v>
      </c>
      <c r="Y1" s="58" t="s">
        <v>1323</v>
      </c>
      <c r="Z1" s="58" t="s">
        <v>53</v>
      </c>
      <c r="AA1" s="58" t="s">
        <v>27</v>
      </c>
      <c r="AB1" s="58" t="s">
        <v>1130</v>
      </c>
      <c r="AC1" s="58" t="s">
        <v>49</v>
      </c>
      <c r="AD1" s="58" t="s">
        <v>458</v>
      </c>
      <c r="AE1" s="58" t="s">
        <v>1131</v>
      </c>
      <c r="AF1" s="58" t="s">
        <v>54</v>
      </c>
      <c r="AG1" s="58" t="s">
        <v>884</v>
      </c>
      <c r="AH1" s="58" t="s">
        <v>1132</v>
      </c>
      <c r="AI1" s="58" t="s">
        <v>1025</v>
      </c>
      <c r="AJ1" s="58" t="s">
        <v>1133</v>
      </c>
      <c r="AK1" s="58" t="s">
        <v>1731</v>
      </c>
      <c r="AL1" s="58" t="s">
        <v>1724</v>
      </c>
      <c r="AM1" s="58" t="s">
        <v>1729</v>
      </c>
    </row>
    <row r="2" spans="1:39" x14ac:dyDescent="0.25">
      <c r="A2" s="40" t="s">
        <v>512</v>
      </c>
    </row>
    <row r="3" spans="1:39" x14ac:dyDescent="0.25">
      <c r="A3" s="10" t="s">
        <v>1868</v>
      </c>
      <c r="B3" s="6"/>
      <c r="C3" s="6"/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x14ac:dyDescent="0.25">
      <c r="A4" s="48">
        <v>7072184</v>
      </c>
      <c r="B4" s="6"/>
      <c r="C4" s="6"/>
      <c r="D4" s="6"/>
      <c r="M4" s="47">
        <v>5.423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25">
      <c r="A5" s="48">
        <v>9108231</v>
      </c>
      <c r="B5" s="6"/>
      <c r="C5" s="6"/>
      <c r="D5" s="6"/>
      <c r="E5" s="8"/>
      <c r="F5" s="8"/>
      <c r="G5" s="8"/>
      <c r="H5" s="8"/>
      <c r="I5" s="8"/>
      <c r="J5" s="8"/>
      <c r="K5" s="8"/>
      <c r="L5" s="8"/>
      <c r="M5" s="8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x14ac:dyDescent="0.25">
      <c r="A6" s="48">
        <v>12061933</v>
      </c>
      <c r="B6" s="6"/>
      <c r="C6" s="6"/>
      <c r="D6" s="6"/>
      <c r="E6" s="8"/>
      <c r="F6" s="8"/>
      <c r="G6" s="8"/>
      <c r="H6" s="8"/>
      <c r="I6" s="8"/>
      <c r="J6" s="8"/>
      <c r="K6" s="8"/>
      <c r="L6" s="8"/>
      <c r="M6" s="8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x14ac:dyDescent="0.25">
      <c r="A7" s="48">
        <v>95005911</v>
      </c>
    </row>
    <row r="8" spans="1:39" x14ac:dyDescent="0.25">
      <c r="A8" s="48">
        <v>99001908</v>
      </c>
      <c r="M8">
        <v>253</v>
      </c>
    </row>
    <row r="9" spans="1:39" x14ac:dyDescent="0.25">
      <c r="A9" s="48">
        <v>99004067</v>
      </c>
    </row>
    <row r="10" spans="1:39" x14ac:dyDescent="0.25">
      <c r="A10" s="48">
        <v>97002136</v>
      </c>
      <c r="M10">
        <v>462</v>
      </c>
    </row>
    <row r="11" spans="1:39" x14ac:dyDescent="0.25">
      <c r="A11" s="48">
        <v>1502</v>
      </c>
      <c r="B11" s="6"/>
      <c r="C11" s="6"/>
      <c r="D11" s="6"/>
      <c r="E11" s="8"/>
      <c r="F11" s="8"/>
      <c r="G11" s="8"/>
      <c r="H11" s="8"/>
      <c r="I11" s="8"/>
      <c r="J11" s="8"/>
      <c r="K11" s="8"/>
      <c r="L11" s="8"/>
      <c r="M11" s="8"/>
      <c r="N11" s="8"/>
      <c r="O11" s="6"/>
      <c r="P11" s="6"/>
      <c r="Q11" s="6"/>
      <c r="R11">
        <v>351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x14ac:dyDescent="0.25">
      <c r="A12" s="48">
        <v>4003543</v>
      </c>
      <c r="B12" s="6"/>
      <c r="C12" s="6"/>
      <c r="D12" s="6"/>
      <c r="E12" s="8"/>
      <c r="F12" s="8"/>
      <c r="G12" s="8"/>
      <c r="H12" s="8"/>
      <c r="I12" s="8"/>
      <c r="J12" s="8"/>
      <c r="K12" s="8"/>
      <c r="L12" s="8"/>
      <c r="M12" s="8"/>
      <c r="N12" s="8"/>
      <c r="O12" s="6"/>
      <c r="P12" s="6"/>
      <c r="Q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48">
        <v>4900261</v>
      </c>
      <c r="B13" s="6"/>
      <c r="C13" s="6"/>
      <c r="D13" s="6"/>
      <c r="E13" s="8"/>
      <c r="F13" s="8"/>
      <c r="G13" s="8"/>
      <c r="H13" s="8"/>
      <c r="I13">
        <v>1151</v>
      </c>
      <c r="J13">
        <v>804</v>
      </c>
      <c r="K13">
        <v>847</v>
      </c>
      <c r="M13" s="8"/>
      <c r="N13">
        <v>772</v>
      </c>
      <c r="O13" s="6"/>
      <c r="S13" s="6"/>
      <c r="T13" s="6"/>
      <c r="U13">
        <v>577</v>
      </c>
      <c r="AA13" s="6"/>
      <c r="AB13" s="6"/>
      <c r="AC13" s="6"/>
      <c r="AD13">
        <v>365</v>
      </c>
      <c r="AH13" s="6"/>
      <c r="AI13" s="6"/>
      <c r="AJ13" s="6"/>
      <c r="AK13" s="6"/>
      <c r="AL13" s="6"/>
      <c r="AM13" s="6"/>
    </row>
    <row r="14" spans="1:39" x14ac:dyDescent="0.25">
      <c r="A14" s="48"/>
    </row>
    <row r="15" spans="1:39" x14ac:dyDescent="0.25">
      <c r="A15" s="50" t="s">
        <v>1869</v>
      </c>
      <c r="B15" s="6"/>
      <c r="C15" s="6"/>
      <c r="D15" s="6"/>
      <c r="E15" s="8"/>
      <c r="F15" s="8"/>
      <c r="G15" s="8"/>
      <c r="H15" s="8"/>
      <c r="I15" s="8"/>
      <c r="J15" s="8"/>
      <c r="K15" s="8"/>
      <c r="L15" s="8"/>
      <c r="M15" s="8"/>
      <c r="N15" s="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x14ac:dyDescent="0.25">
      <c r="A16" s="48">
        <v>14242856</v>
      </c>
      <c r="B16" s="6"/>
      <c r="C16" s="6"/>
      <c r="D16" s="6"/>
      <c r="E16" s="8"/>
      <c r="F16" s="8"/>
      <c r="G16" s="8"/>
      <c r="H16" s="8"/>
      <c r="I16" s="8"/>
      <c r="J16" s="8"/>
      <c r="K16" s="8"/>
      <c r="L16" s="8"/>
      <c r="M16" s="8"/>
      <c r="N16" s="8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x14ac:dyDescent="0.25">
      <c r="A17" s="48">
        <v>99001183</v>
      </c>
      <c r="B17" s="6"/>
      <c r="C17" s="6"/>
      <c r="D17" s="6"/>
      <c r="E17" s="8"/>
      <c r="F17" s="8"/>
      <c r="G17" s="8"/>
      <c r="H17" s="8"/>
      <c r="I17" s="8"/>
      <c r="J17" s="8"/>
      <c r="K17" s="8"/>
      <c r="L17" s="8"/>
      <c r="M17" s="8"/>
      <c r="N17" s="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 x14ac:dyDescent="0.25">
      <c r="A18" s="48">
        <v>3000983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6"/>
      <c r="P18" s="6"/>
      <c r="Q18" s="6"/>
      <c r="R18">
        <v>511</v>
      </c>
      <c r="S18">
        <v>511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x14ac:dyDescent="0.25">
      <c r="A19" s="48">
        <v>10064335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>
        <v>433</v>
      </c>
      <c r="AC19">
        <v>384</v>
      </c>
      <c r="AF19" s="6"/>
      <c r="AG19" s="6"/>
      <c r="AH19">
        <v>263</v>
      </c>
    </row>
    <row r="20" spans="1:39" x14ac:dyDescent="0.25">
      <c r="A20" s="49"/>
      <c r="B20" s="6"/>
      <c r="C20" s="6"/>
      <c r="D20" s="6"/>
      <c r="E20" s="8"/>
      <c r="F20" s="8"/>
      <c r="G20" s="8"/>
      <c r="H20" s="8"/>
      <c r="I20" s="8"/>
      <c r="J20" s="8"/>
      <c r="K20" s="8"/>
      <c r="L20" s="8"/>
      <c r="M20" s="8"/>
      <c r="N20" s="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x14ac:dyDescent="0.25">
      <c r="A21" s="50" t="s">
        <v>1870</v>
      </c>
      <c r="B21" s="6"/>
      <c r="C21" s="6"/>
      <c r="D21" s="6"/>
      <c r="E21" s="8"/>
      <c r="F21" s="8"/>
      <c r="G21" s="8"/>
      <c r="H21" s="8"/>
      <c r="I21" s="8"/>
      <c r="J21" s="8"/>
      <c r="K21" s="8"/>
      <c r="L21" s="8"/>
      <c r="M21" s="8"/>
      <c r="N21" s="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 x14ac:dyDescent="0.25">
      <c r="A22" s="48">
        <v>1480</v>
      </c>
      <c r="S22">
        <v>222</v>
      </c>
    </row>
    <row r="23" spans="1:39" x14ac:dyDescent="0.25">
      <c r="A23" s="48">
        <v>7063959</v>
      </c>
      <c r="B23" s="6"/>
      <c r="C23" s="6"/>
      <c r="D23" s="6"/>
      <c r="E23" s="8"/>
      <c r="F23" s="8"/>
      <c r="G23" s="8"/>
      <c r="H23" s="8"/>
      <c r="I23" s="8"/>
      <c r="J23" s="8"/>
      <c r="K23" s="8"/>
      <c r="L23" s="8"/>
      <c r="M23" s="8"/>
      <c r="N23" s="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 x14ac:dyDescent="0.25">
      <c r="A24" s="48">
        <v>1003215</v>
      </c>
      <c r="B24" s="6"/>
      <c r="C24" s="6"/>
      <c r="D24" s="6"/>
      <c r="E24" s="8"/>
      <c r="F24" s="8"/>
      <c r="G24" s="8"/>
      <c r="H24" s="8"/>
      <c r="I24" s="8"/>
      <c r="J24" s="8"/>
      <c r="K24" s="8"/>
      <c r="L24" s="8"/>
      <c r="M24" s="8">
        <v>248</v>
      </c>
      <c r="N24" s="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39" x14ac:dyDescent="0.25">
      <c r="A25" s="48">
        <v>99000802</v>
      </c>
      <c r="B25" s="6"/>
      <c r="C25" s="6"/>
      <c r="D25" s="6"/>
      <c r="E25" s="8"/>
      <c r="F25" s="8"/>
      <c r="G25" s="8"/>
      <c r="H25" s="8"/>
      <c r="I25" s="8"/>
      <c r="J25" s="8"/>
      <c r="K25" s="8"/>
      <c r="L25" s="8"/>
      <c r="M25" s="8"/>
      <c r="N25" s="8"/>
      <c r="O25">
        <v>299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39" x14ac:dyDescent="0.25">
      <c r="A26" s="48">
        <v>99000892</v>
      </c>
      <c r="B26" s="6"/>
      <c r="C26" s="6"/>
      <c r="D26" s="6"/>
      <c r="E26" s="8"/>
      <c r="F26" s="8"/>
      <c r="G26" s="8"/>
      <c r="H26" s="8"/>
      <c r="I26" s="8"/>
      <c r="J26" s="8"/>
      <c r="K26" s="8"/>
      <c r="L26" s="8"/>
      <c r="M26" s="8"/>
      <c r="N26" s="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39" x14ac:dyDescent="0.25">
      <c r="A27" s="48">
        <v>1000192</v>
      </c>
      <c r="B27" s="6"/>
      <c r="C27" s="6"/>
      <c r="D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pans="1:39" x14ac:dyDescent="0.25">
      <c r="A28" s="48">
        <v>1506</v>
      </c>
      <c r="B28" s="6"/>
      <c r="C28" s="6"/>
      <c r="D28" s="6"/>
      <c r="E28" s="8"/>
      <c r="F28" s="8"/>
      <c r="G28" s="8"/>
      <c r="H28" s="8"/>
      <c r="I28" s="8"/>
      <c r="J28" s="8"/>
      <c r="K28" s="8"/>
      <c r="L28" s="8"/>
      <c r="M28" s="8"/>
      <c r="N28" s="8"/>
      <c r="O28" s="6"/>
      <c r="P28" s="6"/>
      <c r="Q28" s="6"/>
      <c r="R28" s="6"/>
      <c r="S28">
        <v>144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39" x14ac:dyDescent="0.25">
      <c r="A29" s="48">
        <v>99000894</v>
      </c>
      <c r="B29" s="6"/>
      <c r="C29" s="6"/>
      <c r="D29" s="6"/>
      <c r="E29" s="8"/>
      <c r="M29" s="8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spans="1:39" x14ac:dyDescent="0.25">
      <c r="A30" s="48">
        <v>99000897</v>
      </c>
      <c r="M30">
        <v>284</v>
      </c>
    </row>
    <row r="31" spans="1:39" x14ac:dyDescent="0.25">
      <c r="A31" s="48">
        <v>99001245</v>
      </c>
      <c r="P31">
        <v>681</v>
      </c>
    </row>
    <row r="32" spans="1:39" x14ac:dyDescent="0.25">
      <c r="A32" s="48">
        <v>99001902</v>
      </c>
    </row>
    <row r="33" spans="1:39" x14ac:dyDescent="0.25">
      <c r="A33" s="48">
        <v>99001912</v>
      </c>
      <c r="S33">
        <v>131</v>
      </c>
    </row>
    <row r="34" spans="1:39" x14ac:dyDescent="0.25">
      <c r="A34" s="48">
        <v>99001913</v>
      </c>
    </row>
    <row r="35" spans="1:39" x14ac:dyDescent="0.25">
      <c r="A35" s="48">
        <v>99001937</v>
      </c>
      <c r="T35">
        <v>226</v>
      </c>
    </row>
    <row r="36" spans="1:39" x14ac:dyDescent="0.25">
      <c r="A36" s="48">
        <v>99001943</v>
      </c>
    </row>
    <row r="37" spans="1:39" x14ac:dyDescent="0.25">
      <c r="A37" s="48">
        <v>99001927</v>
      </c>
      <c r="M37">
        <v>2013</v>
      </c>
    </row>
    <row r="38" spans="1:39" x14ac:dyDescent="0.25">
      <c r="A38" s="48">
        <v>1505</v>
      </c>
      <c r="B38" s="6"/>
      <c r="C38" s="6"/>
      <c r="D38" s="6"/>
      <c r="E38" s="8"/>
      <c r="F38" s="8"/>
      <c r="G38" s="8"/>
      <c r="H38" s="8"/>
      <c r="I38" s="8"/>
      <c r="J38" s="8"/>
      <c r="K38" s="8"/>
      <c r="L38" s="8"/>
      <c r="M38" s="8"/>
      <c r="N38" s="8"/>
      <c r="O38" s="6"/>
      <c r="P38" s="6"/>
      <c r="Q38" s="6"/>
      <c r="R38" s="6"/>
      <c r="S38" s="6"/>
      <c r="T38">
        <v>249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 x14ac:dyDescent="0.25">
      <c r="A39" s="48">
        <v>1000197</v>
      </c>
      <c r="B39" s="6"/>
      <c r="C39" s="6"/>
      <c r="D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6"/>
      <c r="P39" s="6"/>
      <c r="Q39" s="6"/>
      <c r="R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pans="1:39" x14ac:dyDescent="0.25">
      <c r="A40" s="48">
        <v>96018835</v>
      </c>
      <c r="B40" s="6"/>
      <c r="C40" s="6"/>
      <c r="D40" s="6"/>
      <c r="E40" s="8"/>
      <c r="F40" s="8"/>
      <c r="G40" s="8"/>
      <c r="H40" s="8"/>
      <c r="I40" s="8"/>
      <c r="J40" s="8"/>
      <c r="K40" s="8"/>
      <c r="L40" s="8"/>
      <c r="M40" s="8"/>
      <c r="N40" s="8"/>
      <c r="O40">
        <v>1694</v>
      </c>
      <c r="P40">
        <v>617</v>
      </c>
      <c r="Q40" s="6"/>
      <c r="R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39" x14ac:dyDescent="0.25">
      <c r="A41" s="48">
        <v>98008326</v>
      </c>
      <c r="B41" s="6"/>
      <c r="C41" s="6"/>
      <c r="D41" s="6"/>
      <c r="E41" s="8"/>
      <c r="F41">
        <v>249</v>
      </c>
      <c r="M41" s="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39" x14ac:dyDescent="0.25">
      <c r="A42" s="48">
        <v>99000717</v>
      </c>
      <c r="B42" s="6"/>
      <c r="C42" s="6"/>
      <c r="D42" s="6"/>
      <c r="E42" s="8"/>
      <c r="M42" s="8"/>
      <c r="O42" s="6"/>
      <c r="P42" s="6"/>
      <c r="Q42" s="6"/>
      <c r="R42" s="6"/>
      <c r="S42">
        <v>487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39" x14ac:dyDescent="0.25">
      <c r="A43" s="48"/>
      <c r="B43" s="6"/>
      <c r="C43" s="6"/>
      <c r="D43" s="6"/>
      <c r="E43" s="8"/>
      <c r="M43" s="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x14ac:dyDescent="0.25">
      <c r="A44" s="25" t="s">
        <v>129</v>
      </c>
    </row>
    <row r="45" spans="1:39" x14ac:dyDescent="0.25">
      <c r="A45" s="50" t="s">
        <v>106</v>
      </c>
    </row>
    <row r="46" spans="1:39" x14ac:dyDescent="0.25">
      <c r="A46" s="48">
        <v>6016435</v>
      </c>
    </row>
    <row r="47" spans="1:39" x14ac:dyDescent="0.25">
      <c r="A47" s="48">
        <v>8045149</v>
      </c>
    </row>
    <row r="48" spans="1:39" x14ac:dyDescent="0.25">
      <c r="A48" s="48">
        <v>10023001</v>
      </c>
    </row>
    <row r="49" spans="1:17" x14ac:dyDescent="0.25">
      <c r="A49" s="48">
        <v>10027526</v>
      </c>
    </row>
    <row r="50" spans="1:17" x14ac:dyDescent="0.25">
      <c r="A50" s="48">
        <v>14222171</v>
      </c>
    </row>
    <row r="51" spans="1:17" x14ac:dyDescent="0.25">
      <c r="A51" s="48">
        <v>1006143</v>
      </c>
    </row>
    <row r="52" spans="1:17" x14ac:dyDescent="0.25">
      <c r="A52" s="48">
        <v>6006917</v>
      </c>
    </row>
    <row r="53" spans="1:17" x14ac:dyDescent="0.25">
      <c r="A53" s="48"/>
    </row>
    <row r="54" spans="1:17" x14ac:dyDescent="0.25">
      <c r="A54" s="50" t="s">
        <v>109</v>
      </c>
    </row>
    <row r="55" spans="1:17" x14ac:dyDescent="0.25">
      <c r="A55" s="48">
        <v>8057159</v>
      </c>
    </row>
    <row r="56" spans="1:17" x14ac:dyDescent="0.25">
      <c r="A56" s="48">
        <v>9140312</v>
      </c>
    </row>
    <row r="57" spans="1:17" x14ac:dyDescent="0.25">
      <c r="A57" s="48">
        <v>12008230</v>
      </c>
    </row>
    <row r="58" spans="1:17" x14ac:dyDescent="0.25">
      <c r="A58" s="48">
        <v>12088444</v>
      </c>
      <c r="Q58">
        <v>910</v>
      </c>
    </row>
    <row r="59" spans="1:17" x14ac:dyDescent="0.25">
      <c r="A59" s="48">
        <v>13118872</v>
      </c>
    </row>
    <row r="60" spans="1:17" x14ac:dyDescent="0.25">
      <c r="A60" s="48">
        <v>12012030</v>
      </c>
    </row>
    <row r="61" spans="1:17" x14ac:dyDescent="0.25">
      <c r="A61" s="48"/>
    </row>
    <row r="62" spans="1:17" x14ac:dyDescent="0.25">
      <c r="A62" s="50" t="s">
        <v>83</v>
      </c>
    </row>
    <row r="63" spans="1:17" x14ac:dyDescent="0.25">
      <c r="A63" s="48">
        <v>9074418</v>
      </c>
    </row>
    <row r="64" spans="1:17" x14ac:dyDescent="0.25">
      <c r="A64" s="48">
        <v>1263</v>
      </c>
    </row>
    <row r="65" spans="1:39" x14ac:dyDescent="0.25">
      <c r="A65" s="48">
        <v>98004910</v>
      </c>
      <c r="M65">
        <v>340</v>
      </c>
    </row>
    <row r="66" spans="1:39" x14ac:dyDescent="0.25">
      <c r="A66" s="48">
        <v>7103068</v>
      </c>
      <c r="M66">
        <v>748.8</v>
      </c>
      <c r="S66">
        <v>487</v>
      </c>
    </row>
    <row r="67" spans="1:39" x14ac:dyDescent="0.25">
      <c r="A67" s="48">
        <v>11240728</v>
      </c>
    </row>
    <row r="68" spans="1:39" x14ac:dyDescent="0.25">
      <c r="B68" s="6"/>
      <c r="C68" s="6"/>
      <c r="D68" s="6"/>
      <c r="E68" s="8"/>
      <c r="M68" s="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spans="1:39" x14ac:dyDescent="0.25">
      <c r="A69" s="26" t="s">
        <v>130</v>
      </c>
    </row>
    <row r="70" spans="1:39" x14ac:dyDescent="0.25">
      <c r="A70" s="10" t="s">
        <v>106</v>
      </c>
    </row>
    <row r="71" spans="1:39" x14ac:dyDescent="0.25">
      <c r="A71" s="48">
        <v>5015869</v>
      </c>
      <c r="N71">
        <v>337</v>
      </c>
      <c r="Q71">
        <v>802</v>
      </c>
    </row>
    <row r="72" spans="1:39" x14ac:dyDescent="0.25">
      <c r="A72" s="48">
        <v>5016969</v>
      </c>
    </row>
    <row r="73" spans="1:39" x14ac:dyDescent="0.25">
      <c r="A73" s="48">
        <v>6023231</v>
      </c>
    </row>
    <row r="74" spans="1:39" x14ac:dyDescent="0.25">
      <c r="A74" s="48">
        <v>6010712</v>
      </c>
    </row>
    <row r="75" spans="1:39" x14ac:dyDescent="0.25">
      <c r="A75" s="48">
        <v>6011198</v>
      </c>
    </row>
    <row r="76" spans="1:39" x14ac:dyDescent="0.25">
      <c r="A76" s="48">
        <v>6012681</v>
      </c>
      <c r="O76">
        <v>715</v>
      </c>
    </row>
    <row r="77" spans="1:39" x14ac:dyDescent="0.25">
      <c r="A77" s="48">
        <v>6014511</v>
      </c>
    </row>
    <row r="78" spans="1:39" x14ac:dyDescent="0.25">
      <c r="A78" s="48">
        <v>6045127</v>
      </c>
    </row>
    <row r="79" spans="1:39" x14ac:dyDescent="0.25">
      <c r="A79" s="48">
        <v>7000458</v>
      </c>
      <c r="S79">
        <v>112</v>
      </c>
    </row>
    <row r="80" spans="1:39" x14ac:dyDescent="0.25">
      <c r="A80" s="48">
        <v>7015502</v>
      </c>
    </row>
    <row r="81" spans="1:34" x14ac:dyDescent="0.25">
      <c r="A81" s="48">
        <v>7025847</v>
      </c>
    </row>
    <row r="82" spans="1:34" x14ac:dyDescent="0.25">
      <c r="A82" s="48">
        <v>7082707</v>
      </c>
    </row>
    <row r="83" spans="1:34" x14ac:dyDescent="0.25">
      <c r="A83" s="48">
        <v>7083159</v>
      </c>
    </row>
    <row r="84" spans="1:34" x14ac:dyDescent="0.25">
      <c r="A84" s="48">
        <v>7084659</v>
      </c>
    </row>
    <row r="85" spans="1:34" x14ac:dyDescent="0.25">
      <c r="A85" s="48">
        <v>7076814</v>
      </c>
      <c r="N85">
        <v>1046</v>
      </c>
    </row>
    <row r="86" spans="1:34" x14ac:dyDescent="0.25">
      <c r="A86" s="48">
        <v>7076815</v>
      </c>
      <c r="N86">
        <v>292.8</v>
      </c>
    </row>
    <row r="87" spans="1:34" x14ac:dyDescent="0.25">
      <c r="A87" s="48">
        <v>7089231</v>
      </c>
      <c r="M87">
        <v>507</v>
      </c>
    </row>
    <row r="88" spans="1:34" x14ac:dyDescent="0.25">
      <c r="A88" s="48">
        <v>7116004</v>
      </c>
      <c r="M88">
        <v>255</v>
      </c>
      <c r="N88">
        <v>252</v>
      </c>
    </row>
    <row r="89" spans="1:34" x14ac:dyDescent="0.25">
      <c r="A89" s="48">
        <v>8003819</v>
      </c>
    </row>
    <row r="90" spans="1:34" x14ac:dyDescent="0.25">
      <c r="A90" s="48">
        <v>8091779</v>
      </c>
      <c r="M90">
        <v>402</v>
      </c>
    </row>
    <row r="91" spans="1:34" x14ac:dyDescent="0.25">
      <c r="A91" s="48">
        <v>8097989</v>
      </c>
    </row>
    <row r="92" spans="1:34" x14ac:dyDescent="0.25">
      <c r="A92" s="48">
        <v>8112522</v>
      </c>
    </row>
    <row r="93" spans="1:34" x14ac:dyDescent="0.25">
      <c r="A93" s="48">
        <v>8127397</v>
      </c>
      <c r="M93">
        <v>753</v>
      </c>
    </row>
    <row r="94" spans="1:34" x14ac:dyDescent="0.25">
      <c r="A94" s="48">
        <v>8130998</v>
      </c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</row>
    <row r="95" spans="1:34" x14ac:dyDescent="0.25">
      <c r="A95" s="48">
        <v>9002836</v>
      </c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</row>
    <row r="96" spans="1:34" x14ac:dyDescent="0.25">
      <c r="A96" s="48">
        <v>9003331</v>
      </c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</row>
    <row r="97" spans="1:34" x14ac:dyDescent="0.25">
      <c r="A97" s="48">
        <v>9003370</v>
      </c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</row>
    <row r="98" spans="1:34" x14ac:dyDescent="0.25">
      <c r="A98" s="48">
        <v>9016278</v>
      </c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</row>
    <row r="99" spans="1:34" x14ac:dyDescent="0.25">
      <c r="A99" s="48">
        <v>9030684</v>
      </c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</row>
    <row r="100" spans="1:34" x14ac:dyDescent="0.25">
      <c r="A100" s="48">
        <v>9031387</v>
      </c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</row>
    <row r="101" spans="1:34" x14ac:dyDescent="0.25">
      <c r="A101" s="48">
        <v>9038676</v>
      </c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</row>
    <row r="102" spans="1:34" x14ac:dyDescent="0.25">
      <c r="A102" s="48">
        <v>9039416</v>
      </c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</row>
    <row r="103" spans="1:34" x14ac:dyDescent="0.25">
      <c r="A103" s="48">
        <v>9042861</v>
      </c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</row>
    <row r="104" spans="1:34" x14ac:dyDescent="0.25">
      <c r="A104" s="48">
        <v>9044899</v>
      </c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</row>
    <row r="105" spans="1:34" x14ac:dyDescent="0.25">
      <c r="A105" s="48">
        <v>9052398</v>
      </c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</row>
    <row r="106" spans="1:34" x14ac:dyDescent="0.25">
      <c r="A106" s="48">
        <v>9085204</v>
      </c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</row>
    <row r="107" spans="1:34" x14ac:dyDescent="0.25">
      <c r="A107" s="48">
        <v>9090323</v>
      </c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</row>
    <row r="108" spans="1:34" x14ac:dyDescent="0.25">
      <c r="A108" s="48">
        <v>9105492</v>
      </c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</row>
    <row r="109" spans="1:34" x14ac:dyDescent="0.25">
      <c r="A109" s="48">
        <v>9138470</v>
      </c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</row>
    <row r="110" spans="1:34" x14ac:dyDescent="0.25">
      <c r="A110" s="48">
        <v>9150676</v>
      </c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</row>
    <row r="111" spans="1:34" x14ac:dyDescent="0.25">
      <c r="A111" s="48">
        <v>10010926</v>
      </c>
      <c r="N111">
        <v>181</v>
      </c>
      <c r="O111" s="48"/>
      <c r="P111" s="48"/>
      <c r="Q111" s="48"/>
      <c r="R111" s="48">
        <v>361</v>
      </c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</row>
    <row r="112" spans="1:34" x14ac:dyDescent="0.25">
      <c r="A112" s="48">
        <v>10016588</v>
      </c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</row>
    <row r="113" spans="1:34" x14ac:dyDescent="0.25">
      <c r="A113" s="48">
        <v>10030897</v>
      </c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</row>
    <row r="114" spans="1:34" x14ac:dyDescent="0.25">
      <c r="A114" s="48">
        <v>324</v>
      </c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>
        <v>198</v>
      </c>
      <c r="AH114" s="48"/>
    </row>
    <row r="115" spans="1:34" x14ac:dyDescent="0.25">
      <c r="A115" s="48">
        <v>3909</v>
      </c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</row>
    <row r="116" spans="1:34" x14ac:dyDescent="0.25">
      <c r="A116" s="48">
        <v>4663</v>
      </c>
      <c r="E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</row>
    <row r="117" spans="1:34" x14ac:dyDescent="0.25">
      <c r="A117" s="48">
        <v>1005522</v>
      </c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</row>
    <row r="118" spans="1:34" x14ac:dyDescent="0.25">
      <c r="A118" s="48">
        <v>1007631</v>
      </c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</row>
    <row r="119" spans="1:34" x14ac:dyDescent="0.25">
      <c r="A119" s="48">
        <v>1009760</v>
      </c>
      <c r="O119" s="48"/>
      <c r="P119" s="48"/>
      <c r="Q119" s="48">
        <v>330</v>
      </c>
      <c r="R119" s="48"/>
      <c r="S119" s="48">
        <v>296</v>
      </c>
      <c r="T119" s="48"/>
      <c r="U119" s="48"/>
      <c r="V119" s="48"/>
      <c r="W119" s="48">
        <v>327</v>
      </c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</row>
    <row r="120" spans="1:34" x14ac:dyDescent="0.25">
      <c r="A120" s="48">
        <v>2000646</v>
      </c>
      <c r="N120">
        <v>648</v>
      </c>
      <c r="O120">
        <v>741</v>
      </c>
      <c r="U120">
        <v>589</v>
      </c>
      <c r="V120">
        <v>589</v>
      </c>
      <c r="W120">
        <v>530</v>
      </c>
      <c r="X120">
        <v>541</v>
      </c>
    </row>
    <row r="121" spans="1:34" x14ac:dyDescent="0.25">
      <c r="A121" s="48">
        <v>2003761</v>
      </c>
    </row>
    <row r="122" spans="1:34" x14ac:dyDescent="0.25">
      <c r="A122" s="48">
        <v>2004061</v>
      </c>
    </row>
    <row r="123" spans="1:34" x14ac:dyDescent="0.25">
      <c r="A123" s="48">
        <v>2006469</v>
      </c>
    </row>
    <row r="124" spans="1:34" x14ac:dyDescent="0.25">
      <c r="A124" s="48">
        <v>3005132</v>
      </c>
      <c r="N124">
        <v>537</v>
      </c>
    </row>
    <row r="125" spans="1:34" x14ac:dyDescent="0.25">
      <c r="A125" s="48">
        <v>3009119</v>
      </c>
    </row>
    <row r="126" spans="1:34" x14ac:dyDescent="0.25">
      <c r="A126" s="48">
        <v>3009936</v>
      </c>
    </row>
    <row r="127" spans="1:34" x14ac:dyDescent="0.25">
      <c r="A127" s="48">
        <v>3011094</v>
      </c>
    </row>
    <row r="128" spans="1:34" x14ac:dyDescent="0.25">
      <c r="A128" s="48">
        <v>3014643</v>
      </c>
    </row>
    <row r="129" spans="1:14" x14ac:dyDescent="0.25">
      <c r="A129" s="48">
        <v>3016056</v>
      </c>
    </row>
    <row r="130" spans="1:14" x14ac:dyDescent="0.25">
      <c r="A130" s="48">
        <v>3900219</v>
      </c>
    </row>
    <row r="131" spans="1:14" x14ac:dyDescent="0.25">
      <c r="A131" s="48">
        <v>4000158</v>
      </c>
    </row>
    <row r="132" spans="1:14" x14ac:dyDescent="0.25">
      <c r="A132" s="48">
        <v>4000304</v>
      </c>
    </row>
    <row r="133" spans="1:14" x14ac:dyDescent="0.25">
      <c r="A133" s="48">
        <v>4001905</v>
      </c>
    </row>
    <row r="134" spans="1:14" x14ac:dyDescent="0.25">
      <c r="A134" s="48">
        <v>4002206</v>
      </c>
    </row>
    <row r="135" spans="1:14" x14ac:dyDescent="0.25">
      <c r="A135" s="48">
        <v>4002715</v>
      </c>
    </row>
    <row r="136" spans="1:14" x14ac:dyDescent="0.25">
      <c r="A136" s="48">
        <v>4003924</v>
      </c>
    </row>
    <row r="137" spans="1:14" x14ac:dyDescent="0.25">
      <c r="A137" s="48">
        <v>4006051</v>
      </c>
      <c r="N137">
        <v>2028</v>
      </c>
    </row>
    <row r="138" spans="1:14" x14ac:dyDescent="0.25">
      <c r="A138" s="48">
        <v>4008140</v>
      </c>
      <c r="M138">
        <v>302</v>
      </c>
    </row>
    <row r="139" spans="1:14" x14ac:dyDescent="0.25">
      <c r="A139" s="48">
        <v>4009906</v>
      </c>
    </row>
    <row r="140" spans="1:14" x14ac:dyDescent="0.25">
      <c r="A140" s="48">
        <v>4011027</v>
      </c>
    </row>
    <row r="141" spans="1:14" x14ac:dyDescent="0.25">
      <c r="A141" s="48">
        <v>4011920</v>
      </c>
    </row>
    <row r="142" spans="1:14" x14ac:dyDescent="0.25">
      <c r="A142" s="48">
        <v>4012248</v>
      </c>
    </row>
    <row r="143" spans="1:14" x14ac:dyDescent="0.25">
      <c r="A143" s="48">
        <v>4013603</v>
      </c>
    </row>
    <row r="144" spans="1:14" x14ac:dyDescent="0.25">
      <c r="A144" s="48">
        <v>5004654</v>
      </c>
    </row>
    <row r="145" spans="1:35" x14ac:dyDescent="0.25">
      <c r="A145" s="52"/>
    </row>
    <row r="146" spans="1:35" x14ac:dyDescent="0.25">
      <c r="A146" s="50" t="s">
        <v>109</v>
      </c>
    </row>
    <row r="147" spans="1:35" x14ac:dyDescent="0.25">
      <c r="A147" s="48">
        <v>4289</v>
      </c>
    </row>
    <row r="148" spans="1:35" x14ac:dyDescent="0.25">
      <c r="A148" s="48">
        <v>500245</v>
      </c>
      <c r="N148">
        <v>851</v>
      </c>
      <c r="O148">
        <v>137</v>
      </c>
      <c r="Q148">
        <v>1123</v>
      </c>
      <c r="S148">
        <v>742</v>
      </c>
    </row>
    <row r="149" spans="1:35" x14ac:dyDescent="0.25">
      <c r="A149" s="48">
        <v>2002573</v>
      </c>
      <c r="U149">
        <v>368</v>
      </c>
    </row>
    <row r="150" spans="1:35" x14ac:dyDescent="0.25">
      <c r="A150" s="48">
        <v>2003539</v>
      </c>
      <c r="U150">
        <v>458</v>
      </c>
    </row>
    <row r="151" spans="1:35" x14ac:dyDescent="0.25">
      <c r="A151" s="48">
        <v>2003649</v>
      </c>
    </row>
    <row r="152" spans="1:35" x14ac:dyDescent="0.25">
      <c r="A152" s="48">
        <v>2005572</v>
      </c>
    </row>
    <row r="153" spans="1:35" x14ac:dyDescent="0.25">
      <c r="A153" s="48">
        <v>2013117</v>
      </c>
    </row>
    <row r="154" spans="1:35" x14ac:dyDescent="0.25">
      <c r="A154" s="48">
        <v>3009633</v>
      </c>
    </row>
    <row r="155" spans="1:35" x14ac:dyDescent="0.25">
      <c r="A155" s="48">
        <v>3010583</v>
      </c>
      <c r="M155" s="14">
        <v>350</v>
      </c>
      <c r="N155">
        <v>892</v>
      </c>
      <c r="AI155">
        <v>501</v>
      </c>
    </row>
    <row r="156" spans="1:35" x14ac:dyDescent="0.25">
      <c r="A156" s="23">
        <v>3011892</v>
      </c>
      <c r="V156">
        <v>765</v>
      </c>
      <c r="AF156">
        <v>299</v>
      </c>
    </row>
    <row r="157" spans="1:35" x14ac:dyDescent="0.25">
      <c r="A157">
        <v>4001382</v>
      </c>
      <c r="AA157">
        <v>319</v>
      </c>
      <c r="AB157" s="14">
        <v>634.25</v>
      </c>
    </row>
    <row r="158" spans="1:35" x14ac:dyDescent="0.25">
      <c r="A158" s="48">
        <v>5018675</v>
      </c>
    </row>
    <row r="159" spans="1:35" x14ac:dyDescent="0.25">
      <c r="A159" s="48">
        <v>6050168</v>
      </c>
    </row>
    <row r="160" spans="1:35" x14ac:dyDescent="0.25">
      <c r="A160" s="48">
        <v>5006592</v>
      </c>
    </row>
    <row r="161" spans="1:30" x14ac:dyDescent="0.25">
      <c r="A161" s="48">
        <v>5007274</v>
      </c>
    </row>
    <row r="162" spans="1:30" x14ac:dyDescent="0.25">
      <c r="A162" s="48">
        <v>5015851</v>
      </c>
    </row>
    <row r="163" spans="1:30" x14ac:dyDescent="0.25">
      <c r="A163" s="48">
        <v>6015647</v>
      </c>
      <c r="N163">
        <v>465</v>
      </c>
      <c r="O163">
        <v>320</v>
      </c>
      <c r="P163">
        <v>335</v>
      </c>
      <c r="R163">
        <v>316</v>
      </c>
      <c r="W163">
        <v>360</v>
      </c>
    </row>
    <row r="164" spans="1:30" x14ac:dyDescent="0.25">
      <c r="A164" s="48">
        <v>6056633</v>
      </c>
      <c r="Q164">
        <v>226</v>
      </c>
      <c r="AD164">
        <v>383</v>
      </c>
    </row>
    <row r="165" spans="1:30" x14ac:dyDescent="0.25">
      <c r="A165" s="48">
        <v>7086224</v>
      </c>
    </row>
    <row r="166" spans="1:30" x14ac:dyDescent="0.25">
      <c r="A166" s="48">
        <v>8040959</v>
      </c>
    </row>
    <row r="167" spans="1:30" x14ac:dyDescent="0.25">
      <c r="A167" s="48">
        <v>8107048</v>
      </c>
      <c r="N167">
        <v>292.8</v>
      </c>
    </row>
    <row r="168" spans="1:30" x14ac:dyDescent="0.25">
      <c r="A168" s="48">
        <v>8124044</v>
      </c>
    </row>
    <row r="169" spans="1:30" x14ac:dyDescent="0.25">
      <c r="A169" s="48">
        <v>8142949</v>
      </c>
    </row>
    <row r="170" spans="1:30" x14ac:dyDescent="0.25">
      <c r="A170" s="48">
        <v>9023306</v>
      </c>
      <c r="Q170">
        <v>408</v>
      </c>
    </row>
    <row r="171" spans="1:30" x14ac:dyDescent="0.25">
      <c r="A171" s="48">
        <v>9030615</v>
      </c>
    </row>
    <row r="172" spans="1:30" x14ac:dyDescent="0.25">
      <c r="A172" s="48">
        <v>9034464</v>
      </c>
    </row>
    <row r="173" spans="1:30" x14ac:dyDescent="0.25">
      <c r="A173" s="48">
        <v>9040167</v>
      </c>
    </row>
    <row r="174" spans="1:30" x14ac:dyDescent="0.25">
      <c r="A174" s="48">
        <v>9054567</v>
      </c>
    </row>
    <row r="175" spans="1:30" x14ac:dyDescent="0.25">
      <c r="A175" s="48">
        <v>9083682</v>
      </c>
    </row>
    <row r="176" spans="1:30" x14ac:dyDescent="0.25">
      <c r="A176" s="48">
        <v>9102044</v>
      </c>
    </row>
    <row r="177" spans="1:20" x14ac:dyDescent="0.25">
      <c r="A177" s="48">
        <v>9119854</v>
      </c>
    </row>
    <row r="178" spans="1:20" x14ac:dyDescent="0.25">
      <c r="A178" s="48">
        <v>9125126</v>
      </c>
    </row>
    <row r="179" spans="1:20" x14ac:dyDescent="0.25">
      <c r="A179" s="48">
        <v>9174811</v>
      </c>
    </row>
    <row r="180" spans="1:20" x14ac:dyDescent="0.25">
      <c r="A180" s="48">
        <v>10002875</v>
      </c>
      <c r="T180">
        <v>282</v>
      </c>
    </row>
    <row r="181" spans="1:20" x14ac:dyDescent="0.25">
      <c r="A181" s="48">
        <v>10023080</v>
      </c>
    </row>
    <row r="182" spans="1:20" x14ac:dyDescent="0.25">
      <c r="A182" s="48">
        <v>10025212</v>
      </c>
    </row>
    <row r="183" spans="1:20" x14ac:dyDescent="0.25">
      <c r="A183" s="48">
        <v>10069407</v>
      </c>
    </row>
    <row r="184" spans="1:20" x14ac:dyDescent="0.25">
      <c r="A184" s="48">
        <v>10071135</v>
      </c>
    </row>
    <row r="185" spans="1:20" x14ac:dyDescent="0.25">
      <c r="A185" s="48">
        <v>10083649</v>
      </c>
    </row>
    <row r="186" spans="1:20" x14ac:dyDescent="0.25">
      <c r="A186" s="48">
        <v>10102021</v>
      </c>
    </row>
    <row r="187" spans="1:20" x14ac:dyDescent="0.25">
      <c r="A187" s="48">
        <v>10123729</v>
      </c>
    </row>
    <row r="188" spans="1:20" x14ac:dyDescent="0.25">
      <c r="A188" s="48">
        <v>10144736</v>
      </c>
    </row>
    <row r="189" spans="1:20" x14ac:dyDescent="0.25">
      <c r="A189" s="48">
        <v>10157275</v>
      </c>
    </row>
    <row r="190" spans="1:20" x14ac:dyDescent="0.25">
      <c r="A190" s="52"/>
    </row>
    <row r="191" spans="1:20" x14ac:dyDescent="0.25">
      <c r="A191" s="50" t="s">
        <v>83</v>
      </c>
    </row>
    <row r="192" spans="1:20" x14ac:dyDescent="0.25">
      <c r="A192" s="48">
        <v>5281</v>
      </c>
    </row>
    <row r="193" spans="1:39" x14ac:dyDescent="0.25">
      <c r="A193" s="48">
        <v>200085</v>
      </c>
      <c r="C193">
        <v>166</v>
      </c>
      <c r="N193">
        <v>170</v>
      </c>
      <c r="O193">
        <v>222</v>
      </c>
      <c r="P193">
        <v>248</v>
      </c>
      <c r="Q193">
        <v>257</v>
      </c>
      <c r="R193">
        <v>254</v>
      </c>
      <c r="S193">
        <v>193</v>
      </c>
      <c r="T193">
        <v>182</v>
      </c>
      <c r="U193">
        <v>169</v>
      </c>
      <c r="W193">
        <v>157</v>
      </c>
      <c r="Y193">
        <v>147</v>
      </c>
      <c r="AB193">
        <v>156</v>
      </c>
    </row>
    <row r="194" spans="1:39" x14ac:dyDescent="0.25">
      <c r="A194" s="48">
        <v>500129</v>
      </c>
    </row>
    <row r="195" spans="1:39" x14ac:dyDescent="0.25">
      <c r="A195" s="51">
        <v>1002033</v>
      </c>
    </row>
    <row r="196" spans="1:39" x14ac:dyDescent="0.25">
      <c r="A196" s="48">
        <v>1003457</v>
      </c>
    </row>
    <row r="197" spans="1:39" x14ac:dyDescent="0.25">
      <c r="A197" s="48">
        <v>2005223</v>
      </c>
    </row>
    <row r="198" spans="1:39" x14ac:dyDescent="0.25">
      <c r="A198" s="48">
        <v>2006107</v>
      </c>
      <c r="N198">
        <v>346</v>
      </c>
    </row>
    <row r="199" spans="1:39" x14ac:dyDescent="0.25">
      <c r="A199" s="48">
        <v>2012014</v>
      </c>
      <c r="E199">
        <v>153</v>
      </c>
    </row>
    <row r="200" spans="1:39" x14ac:dyDescent="0.25">
      <c r="A200" s="48">
        <v>3000152</v>
      </c>
    </row>
    <row r="201" spans="1:39" x14ac:dyDescent="0.25">
      <c r="A201" s="48">
        <v>3014566</v>
      </c>
      <c r="AM201" s="48"/>
    </row>
    <row r="202" spans="1:39" x14ac:dyDescent="0.25">
      <c r="A202" s="48">
        <v>3015058</v>
      </c>
      <c r="E202">
        <v>193</v>
      </c>
      <c r="O202">
        <v>269</v>
      </c>
      <c r="P202">
        <v>188</v>
      </c>
      <c r="V202">
        <v>203</v>
      </c>
      <c r="AM202" s="48"/>
    </row>
    <row r="203" spans="1:39" x14ac:dyDescent="0.25">
      <c r="A203" s="51">
        <v>4000996</v>
      </c>
      <c r="O203">
        <v>319.8</v>
      </c>
      <c r="P203" s="3">
        <v>266.39999999999998</v>
      </c>
      <c r="Q203">
        <v>270.60000000000002</v>
      </c>
      <c r="U203">
        <v>238.8</v>
      </c>
      <c r="AM203" s="48"/>
    </row>
    <row r="204" spans="1:39" x14ac:dyDescent="0.25">
      <c r="A204" s="48">
        <v>4003768</v>
      </c>
      <c r="H204">
        <v>110</v>
      </c>
      <c r="O204">
        <v>6331</v>
      </c>
      <c r="P204">
        <v>6636</v>
      </c>
      <c r="Q204">
        <v>3323</v>
      </c>
      <c r="AM204" s="48"/>
    </row>
    <row r="205" spans="1:39" x14ac:dyDescent="0.25">
      <c r="A205" s="48">
        <v>4006540</v>
      </c>
      <c r="Y205">
        <v>414</v>
      </c>
      <c r="AA205">
        <v>288</v>
      </c>
      <c r="AD205">
        <v>258</v>
      </c>
      <c r="AM205" s="48"/>
    </row>
    <row r="206" spans="1:39" x14ac:dyDescent="0.25">
      <c r="A206" s="48">
        <v>4007054</v>
      </c>
      <c r="R206">
        <v>255</v>
      </c>
      <c r="AM206" s="48"/>
    </row>
    <row r="207" spans="1:39" x14ac:dyDescent="0.25">
      <c r="A207" s="48">
        <v>4011002</v>
      </c>
      <c r="AM207" s="48"/>
    </row>
    <row r="208" spans="1:39" x14ac:dyDescent="0.25">
      <c r="A208" s="48">
        <v>4900268</v>
      </c>
      <c r="AM208" s="48"/>
    </row>
    <row r="209" spans="1:39" x14ac:dyDescent="0.25">
      <c r="A209" s="48">
        <v>5001097</v>
      </c>
      <c r="F209">
        <v>236</v>
      </c>
      <c r="G209">
        <v>235</v>
      </c>
      <c r="AM209" s="48"/>
    </row>
    <row r="210" spans="1:39" x14ac:dyDescent="0.25">
      <c r="A210" s="48">
        <v>5001098</v>
      </c>
      <c r="D210">
        <v>195</v>
      </c>
      <c r="F210">
        <v>152</v>
      </c>
      <c r="N210">
        <v>171</v>
      </c>
      <c r="AM210" s="48"/>
    </row>
    <row r="211" spans="1:39" x14ac:dyDescent="0.25">
      <c r="A211" s="48">
        <v>5006152</v>
      </c>
      <c r="O211" s="48">
        <v>8397.6</v>
      </c>
      <c r="AM211" s="48"/>
    </row>
    <row r="212" spans="1:39" x14ac:dyDescent="0.25">
      <c r="A212" s="48">
        <v>6012361</v>
      </c>
      <c r="AM212" s="48"/>
    </row>
    <row r="213" spans="1:39" x14ac:dyDescent="0.25">
      <c r="A213" s="48">
        <v>6015793</v>
      </c>
      <c r="AM213" s="48"/>
    </row>
    <row r="214" spans="1:39" x14ac:dyDescent="0.25">
      <c r="A214" s="48">
        <v>6043619</v>
      </c>
      <c r="AM214" s="48"/>
    </row>
    <row r="215" spans="1:39" x14ac:dyDescent="0.25">
      <c r="A215" s="48">
        <v>7001097</v>
      </c>
      <c r="AM215" s="48"/>
    </row>
    <row r="216" spans="1:39" x14ac:dyDescent="0.25">
      <c r="A216" s="48">
        <v>7011435</v>
      </c>
      <c r="AM216" s="48"/>
    </row>
    <row r="217" spans="1:39" x14ac:dyDescent="0.25">
      <c r="A217" s="48">
        <v>7045811</v>
      </c>
      <c r="R217">
        <v>942.6</v>
      </c>
      <c r="T217">
        <v>435.6</v>
      </c>
      <c r="AM217" s="48"/>
    </row>
    <row r="218" spans="1:39" x14ac:dyDescent="0.25">
      <c r="A218" s="48">
        <v>7071198</v>
      </c>
      <c r="B218">
        <v>372</v>
      </c>
      <c r="N218">
        <v>507</v>
      </c>
      <c r="AM218" s="48"/>
    </row>
    <row r="219" spans="1:39" x14ac:dyDescent="0.25">
      <c r="A219" s="48">
        <v>7101143</v>
      </c>
      <c r="AM219" s="48"/>
    </row>
    <row r="220" spans="1:39" x14ac:dyDescent="0.25">
      <c r="A220" s="48">
        <v>8073350</v>
      </c>
      <c r="AM220" s="48"/>
    </row>
    <row r="221" spans="1:39" x14ac:dyDescent="0.25">
      <c r="A221" s="48">
        <v>8073645</v>
      </c>
      <c r="O221" s="14">
        <v>3234</v>
      </c>
      <c r="AM221" s="48"/>
    </row>
    <row r="222" spans="1:39" x14ac:dyDescent="0.25">
      <c r="A222" s="51">
        <v>8089666</v>
      </c>
      <c r="J222">
        <v>203</v>
      </c>
      <c r="K222">
        <v>150</v>
      </c>
      <c r="L222">
        <v>110</v>
      </c>
      <c r="N222" s="14">
        <v>6678.25</v>
      </c>
      <c r="O222" s="48">
        <v>7839</v>
      </c>
      <c r="AM222" s="48"/>
    </row>
    <row r="223" spans="1:39" x14ac:dyDescent="0.25">
      <c r="A223" s="48">
        <v>8103536</v>
      </c>
      <c r="AM223" s="48"/>
    </row>
    <row r="224" spans="1:39" x14ac:dyDescent="0.25">
      <c r="A224" s="48">
        <v>8124816</v>
      </c>
      <c r="AM224" s="48"/>
    </row>
    <row r="225" spans="1:39" x14ac:dyDescent="0.25">
      <c r="A225" s="48">
        <v>9003267</v>
      </c>
      <c r="O225">
        <v>540</v>
      </c>
      <c r="X225">
        <v>516</v>
      </c>
      <c r="AM225" s="48"/>
    </row>
    <row r="226" spans="1:39" x14ac:dyDescent="0.25">
      <c r="A226" s="48">
        <v>9036964</v>
      </c>
      <c r="N226">
        <v>486</v>
      </c>
      <c r="O226">
        <v>463</v>
      </c>
      <c r="P226">
        <v>395</v>
      </c>
      <c r="T226">
        <v>232</v>
      </c>
      <c r="AM226" s="48"/>
    </row>
    <row r="227" spans="1:39" x14ac:dyDescent="0.25">
      <c r="A227" s="48">
        <v>9090287</v>
      </c>
      <c r="P227">
        <v>4314</v>
      </c>
      <c r="AM227" s="48"/>
    </row>
    <row r="228" spans="1:39" x14ac:dyDescent="0.25">
      <c r="A228" s="48">
        <v>9095148</v>
      </c>
      <c r="O228">
        <v>446</v>
      </c>
      <c r="AM228" s="48"/>
    </row>
    <row r="229" spans="1:39" x14ac:dyDescent="0.25">
      <c r="A229" s="48">
        <v>9104979</v>
      </c>
      <c r="AM229" s="48"/>
    </row>
    <row r="230" spans="1:39" x14ac:dyDescent="0.25">
      <c r="A230" s="48">
        <v>9139514</v>
      </c>
      <c r="AM230" s="48"/>
    </row>
    <row r="231" spans="1:39" x14ac:dyDescent="0.25">
      <c r="A231" s="48">
        <v>10020659</v>
      </c>
      <c r="AM231" s="48"/>
    </row>
    <row r="232" spans="1:39" x14ac:dyDescent="0.25">
      <c r="A232" s="48">
        <v>10025902</v>
      </c>
      <c r="AM232" s="48"/>
    </row>
    <row r="233" spans="1:39" x14ac:dyDescent="0.25">
      <c r="A233" s="48">
        <v>10027654</v>
      </c>
      <c r="AM233" s="48"/>
    </row>
    <row r="234" spans="1:39" x14ac:dyDescent="0.25">
      <c r="A234" s="48">
        <v>10084485</v>
      </c>
      <c r="AM234" s="48"/>
    </row>
    <row r="235" spans="1:39" x14ac:dyDescent="0.25">
      <c r="A235" s="48">
        <v>10098420</v>
      </c>
    </row>
    <row r="236" spans="1:39" x14ac:dyDescent="0.25">
      <c r="A236" s="48">
        <v>10129565</v>
      </c>
    </row>
    <row r="237" spans="1:39" x14ac:dyDescent="0.25">
      <c r="A237" s="48">
        <v>10146828</v>
      </c>
    </row>
    <row r="238" spans="1:39" x14ac:dyDescent="0.25">
      <c r="A238">
        <v>10163776</v>
      </c>
    </row>
    <row r="239" spans="1:39" x14ac:dyDescent="0.25">
      <c r="A239">
        <v>10173664</v>
      </c>
    </row>
  </sheetData>
  <conditionalFormatting sqref="A19">
    <cfRule type="duplicateValues" dxfId="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4A74-906C-4DEF-88A2-4EEA189DB883}">
  <dimension ref="A1:D70"/>
  <sheetViews>
    <sheetView workbookViewId="0">
      <selection sqref="A1:D70"/>
    </sheetView>
  </sheetViews>
  <sheetFormatPr baseColWidth="10" defaultRowHeight="15" x14ac:dyDescent="0.25"/>
  <cols>
    <col min="1" max="1" width="17.28515625" bestFit="1" customWidth="1"/>
    <col min="2" max="2" width="6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2323</v>
      </c>
      <c r="C1" s="62" t="s">
        <v>1914</v>
      </c>
      <c r="D1" s="62" t="s">
        <v>1873</v>
      </c>
    </row>
    <row r="2" spans="1:4" x14ac:dyDescent="0.25">
      <c r="A2" s="62">
        <v>7072184</v>
      </c>
      <c r="B2" s="62" t="s">
        <v>2323</v>
      </c>
      <c r="C2" s="62" t="s">
        <v>1126</v>
      </c>
      <c r="D2" s="62">
        <v>1</v>
      </c>
    </row>
    <row r="3" spans="1:4" x14ac:dyDescent="0.25">
      <c r="A3" s="62">
        <v>99001908</v>
      </c>
      <c r="B3" s="62" t="s">
        <v>2323</v>
      </c>
      <c r="C3" s="62" t="s">
        <v>1126</v>
      </c>
      <c r="D3" s="62">
        <v>1</v>
      </c>
    </row>
    <row r="4" spans="1:4" x14ac:dyDescent="0.25">
      <c r="A4" s="62">
        <v>97002136</v>
      </c>
      <c r="B4" s="62" t="s">
        <v>2323</v>
      </c>
      <c r="C4" s="62" t="s">
        <v>1126</v>
      </c>
      <c r="D4" s="62">
        <v>1</v>
      </c>
    </row>
    <row r="5" spans="1:4" x14ac:dyDescent="0.25">
      <c r="A5" s="62">
        <v>1502</v>
      </c>
      <c r="B5" s="62" t="s">
        <v>2323</v>
      </c>
      <c r="C5" s="62" t="s">
        <v>1127</v>
      </c>
      <c r="D5" s="62">
        <v>1</v>
      </c>
    </row>
    <row r="6" spans="1:4" x14ac:dyDescent="0.25">
      <c r="A6" s="62">
        <v>4900261</v>
      </c>
      <c r="B6" s="62" t="s">
        <v>2323</v>
      </c>
      <c r="C6" s="62" t="s">
        <v>2324</v>
      </c>
      <c r="D6" s="62">
        <v>6</v>
      </c>
    </row>
    <row r="7" spans="1:4" x14ac:dyDescent="0.25">
      <c r="A7" s="62">
        <v>3000983</v>
      </c>
      <c r="B7" s="62" t="s">
        <v>2323</v>
      </c>
      <c r="C7" s="62" t="s">
        <v>2325</v>
      </c>
      <c r="D7" s="62">
        <v>2</v>
      </c>
    </row>
    <row r="8" spans="1:4" x14ac:dyDescent="0.25">
      <c r="A8" s="62">
        <v>10064335</v>
      </c>
      <c r="B8" s="62" t="s">
        <v>2323</v>
      </c>
      <c r="C8" s="62" t="s">
        <v>2326</v>
      </c>
      <c r="D8" s="62">
        <v>3</v>
      </c>
    </row>
    <row r="9" spans="1:4" x14ac:dyDescent="0.25">
      <c r="A9" s="62">
        <v>1480</v>
      </c>
      <c r="B9" s="62" t="s">
        <v>2323</v>
      </c>
      <c r="C9" s="62" t="s">
        <v>30</v>
      </c>
      <c r="D9" s="62">
        <v>1</v>
      </c>
    </row>
    <row r="10" spans="1:4" x14ac:dyDescent="0.25">
      <c r="A10" s="62">
        <v>1003215</v>
      </c>
      <c r="B10" s="62" t="s">
        <v>2323</v>
      </c>
      <c r="C10" s="62" t="s">
        <v>1126</v>
      </c>
      <c r="D10" s="62">
        <v>1</v>
      </c>
    </row>
    <row r="11" spans="1:4" x14ac:dyDescent="0.25">
      <c r="A11" s="62">
        <v>99000802</v>
      </c>
      <c r="B11" s="62" t="s">
        <v>2323</v>
      </c>
      <c r="C11" s="62" t="s">
        <v>1123</v>
      </c>
      <c r="D11" s="62">
        <v>1</v>
      </c>
    </row>
    <row r="12" spans="1:4" x14ac:dyDescent="0.25">
      <c r="A12" s="62">
        <v>1506</v>
      </c>
      <c r="B12" s="62" t="s">
        <v>2323</v>
      </c>
      <c r="C12" s="62" t="s">
        <v>30</v>
      </c>
      <c r="D12" s="62">
        <v>1</v>
      </c>
    </row>
    <row r="13" spans="1:4" x14ac:dyDescent="0.25">
      <c r="A13" s="62">
        <v>99000897</v>
      </c>
      <c r="B13" s="62" t="s">
        <v>2323</v>
      </c>
      <c r="C13" s="62" t="s">
        <v>1126</v>
      </c>
      <c r="D13" s="62">
        <v>1</v>
      </c>
    </row>
    <row r="14" spans="1:4" x14ac:dyDescent="0.25">
      <c r="A14" s="62">
        <v>99001245</v>
      </c>
      <c r="B14" s="62" t="s">
        <v>2323</v>
      </c>
      <c r="C14" s="62" t="s">
        <v>28</v>
      </c>
      <c r="D14" s="62">
        <v>1</v>
      </c>
    </row>
    <row r="15" spans="1:4" x14ac:dyDescent="0.25">
      <c r="A15" s="62">
        <v>99001912</v>
      </c>
      <c r="B15" s="62" t="s">
        <v>2323</v>
      </c>
      <c r="C15" s="62" t="s">
        <v>30</v>
      </c>
      <c r="D15" s="62">
        <v>1</v>
      </c>
    </row>
    <row r="16" spans="1:4" x14ac:dyDescent="0.25">
      <c r="A16" s="62">
        <v>99001937</v>
      </c>
      <c r="B16" s="62" t="s">
        <v>2323</v>
      </c>
      <c r="C16" s="62" t="s">
        <v>31</v>
      </c>
      <c r="D16" s="62">
        <v>1</v>
      </c>
    </row>
    <row r="17" spans="1:4" x14ac:dyDescent="0.25">
      <c r="A17" s="62">
        <v>99001927</v>
      </c>
      <c r="B17" s="62" t="s">
        <v>2323</v>
      </c>
      <c r="C17" s="62" t="s">
        <v>1126</v>
      </c>
      <c r="D17" s="62">
        <v>1</v>
      </c>
    </row>
    <row r="18" spans="1:4" x14ac:dyDescent="0.25">
      <c r="A18" s="62">
        <v>1505</v>
      </c>
      <c r="B18" s="62" t="s">
        <v>2323</v>
      </c>
      <c r="C18" s="62" t="s">
        <v>31</v>
      </c>
      <c r="D18" s="62">
        <v>1</v>
      </c>
    </row>
    <row r="19" spans="1:4" x14ac:dyDescent="0.25">
      <c r="A19" s="62">
        <v>96018835</v>
      </c>
      <c r="B19" s="62" t="s">
        <v>2323</v>
      </c>
      <c r="C19" s="62" t="s">
        <v>2327</v>
      </c>
      <c r="D19" s="62">
        <v>2</v>
      </c>
    </row>
    <row r="20" spans="1:4" x14ac:dyDescent="0.25">
      <c r="A20" s="62">
        <v>98008326</v>
      </c>
      <c r="B20" s="62" t="s">
        <v>2323</v>
      </c>
      <c r="C20" s="62" t="s">
        <v>76</v>
      </c>
      <c r="D20" s="62">
        <v>1</v>
      </c>
    </row>
    <row r="21" spans="1:4" x14ac:dyDescent="0.25">
      <c r="A21" s="62">
        <v>99000717</v>
      </c>
      <c r="B21" s="62" t="s">
        <v>2323</v>
      </c>
      <c r="C21" s="62" t="s">
        <v>30</v>
      </c>
      <c r="D21" s="62">
        <v>1</v>
      </c>
    </row>
    <row r="22" spans="1:4" x14ac:dyDescent="0.25">
      <c r="A22" s="62">
        <v>12088444</v>
      </c>
      <c r="B22" s="62" t="s">
        <v>2323</v>
      </c>
      <c r="C22" s="62" t="s">
        <v>29</v>
      </c>
      <c r="D22" s="62">
        <v>1</v>
      </c>
    </row>
    <row r="23" spans="1:4" x14ac:dyDescent="0.25">
      <c r="A23" s="62">
        <v>98004910</v>
      </c>
      <c r="B23" s="62" t="s">
        <v>2323</v>
      </c>
      <c r="C23" s="62" t="s">
        <v>1126</v>
      </c>
      <c r="D23" s="62">
        <v>1</v>
      </c>
    </row>
    <row r="24" spans="1:4" x14ac:dyDescent="0.25">
      <c r="A24" s="62">
        <v>7103068</v>
      </c>
      <c r="B24" s="62" t="s">
        <v>2323</v>
      </c>
      <c r="C24" s="62" t="s">
        <v>2328</v>
      </c>
      <c r="D24" s="62">
        <v>2</v>
      </c>
    </row>
    <row r="25" spans="1:4" x14ac:dyDescent="0.25">
      <c r="A25" s="62">
        <v>5015869</v>
      </c>
      <c r="B25" s="62" t="s">
        <v>2323</v>
      </c>
      <c r="C25" s="62" t="s">
        <v>2329</v>
      </c>
      <c r="D25" s="62">
        <v>2</v>
      </c>
    </row>
    <row r="26" spans="1:4" x14ac:dyDescent="0.25">
      <c r="A26" s="62">
        <v>6012681</v>
      </c>
      <c r="B26" s="62" t="s">
        <v>2323</v>
      </c>
      <c r="C26" s="62" t="s">
        <v>1123</v>
      </c>
      <c r="D26" s="62">
        <v>1</v>
      </c>
    </row>
    <row r="27" spans="1:4" x14ac:dyDescent="0.25">
      <c r="A27" s="62">
        <v>7000458</v>
      </c>
      <c r="B27" s="62" t="s">
        <v>2323</v>
      </c>
      <c r="C27" s="62" t="s">
        <v>30</v>
      </c>
      <c r="D27" s="62">
        <v>1</v>
      </c>
    </row>
    <row r="28" spans="1:4" x14ac:dyDescent="0.25">
      <c r="A28" s="62">
        <v>7076814</v>
      </c>
      <c r="B28" s="62" t="s">
        <v>2323</v>
      </c>
      <c r="C28" s="62" t="s">
        <v>457</v>
      </c>
      <c r="D28" s="62">
        <v>1</v>
      </c>
    </row>
    <row r="29" spans="1:4" x14ac:dyDescent="0.25">
      <c r="A29" s="62">
        <v>7076815</v>
      </c>
      <c r="B29" s="62" t="s">
        <v>2323</v>
      </c>
      <c r="C29" s="62" t="s">
        <v>457</v>
      </c>
      <c r="D29" s="62">
        <v>1</v>
      </c>
    </row>
    <row r="30" spans="1:4" x14ac:dyDescent="0.25">
      <c r="A30" s="62">
        <v>7089231</v>
      </c>
      <c r="B30" s="62" t="s">
        <v>2323</v>
      </c>
      <c r="C30" s="62" t="s">
        <v>1126</v>
      </c>
      <c r="D30" s="62">
        <v>1</v>
      </c>
    </row>
    <row r="31" spans="1:4" x14ac:dyDescent="0.25">
      <c r="A31" s="62">
        <v>7116004</v>
      </c>
      <c r="B31" s="62" t="s">
        <v>2323</v>
      </c>
      <c r="C31" s="62" t="s">
        <v>2330</v>
      </c>
      <c r="D31" s="62">
        <v>2</v>
      </c>
    </row>
    <row r="32" spans="1:4" x14ac:dyDescent="0.25">
      <c r="A32" s="62">
        <v>8091779</v>
      </c>
      <c r="B32" s="62" t="s">
        <v>2323</v>
      </c>
      <c r="C32" s="62" t="s">
        <v>1126</v>
      </c>
      <c r="D32" s="62">
        <v>1</v>
      </c>
    </row>
    <row r="33" spans="1:4" x14ac:dyDescent="0.25">
      <c r="A33" s="62">
        <v>8127397</v>
      </c>
      <c r="B33" s="62" t="s">
        <v>2323</v>
      </c>
      <c r="C33" s="62" t="s">
        <v>1126</v>
      </c>
      <c r="D33" s="62">
        <v>1</v>
      </c>
    </row>
    <row r="34" spans="1:4" x14ac:dyDescent="0.25">
      <c r="A34" s="62">
        <v>10010926</v>
      </c>
      <c r="B34" s="62" t="s">
        <v>2323</v>
      </c>
      <c r="C34" s="62" t="s">
        <v>2331</v>
      </c>
      <c r="D34" s="62">
        <v>2</v>
      </c>
    </row>
    <row r="35" spans="1:4" x14ac:dyDescent="0.25">
      <c r="A35" s="62">
        <v>324</v>
      </c>
      <c r="B35" s="62" t="s">
        <v>2323</v>
      </c>
      <c r="C35" s="62" t="s">
        <v>884</v>
      </c>
      <c r="D35" s="62">
        <v>1</v>
      </c>
    </row>
    <row r="36" spans="1:4" x14ac:dyDescent="0.25">
      <c r="A36" s="62">
        <v>1009760</v>
      </c>
      <c r="B36" s="62" t="s">
        <v>2323</v>
      </c>
      <c r="C36" s="62" t="s">
        <v>2332</v>
      </c>
      <c r="D36" s="62">
        <v>3</v>
      </c>
    </row>
    <row r="37" spans="1:4" x14ac:dyDescent="0.25">
      <c r="A37" s="62">
        <v>2000646</v>
      </c>
      <c r="B37" s="62" t="s">
        <v>2323</v>
      </c>
      <c r="C37" s="62" t="s">
        <v>2333</v>
      </c>
      <c r="D37" s="62">
        <v>6</v>
      </c>
    </row>
    <row r="38" spans="1:4" x14ac:dyDescent="0.25">
      <c r="A38" s="62">
        <v>3005132</v>
      </c>
      <c r="B38" s="62" t="s">
        <v>2323</v>
      </c>
      <c r="C38" s="62" t="s">
        <v>457</v>
      </c>
      <c r="D38" s="62">
        <v>1</v>
      </c>
    </row>
    <row r="39" spans="1:4" x14ac:dyDescent="0.25">
      <c r="A39" s="62">
        <v>4006051</v>
      </c>
      <c r="B39" s="62" t="s">
        <v>2323</v>
      </c>
      <c r="C39" s="62" t="s">
        <v>457</v>
      </c>
      <c r="D39" s="62">
        <v>1</v>
      </c>
    </row>
    <row r="40" spans="1:4" x14ac:dyDescent="0.25">
      <c r="A40" s="62">
        <v>4008140</v>
      </c>
      <c r="B40" s="62" t="s">
        <v>2323</v>
      </c>
      <c r="C40" s="62" t="s">
        <v>1126</v>
      </c>
      <c r="D40" s="62">
        <v>1</v>
      </c>
    </row>
    <row r="41" spans="1:4" x14ac:dyDescent="0.25">
      <c r="A41" s="62">
        <v>500245</v>
      </c>
      <c r="B41" s="62" t="s">
        <v>2323</v>
      </c>
      <c r="C41" s="62" t="s">
        <v>2334</v>
      </c>
      <c r="D41" s="62">
        <v>4</v>
      </c>
    </row>
    <row r="42" spans="1:4" x14ac:dyDescent="0.25">
      <c r="A42" s="62">
        <v>2002573</v>
      </c>
      <c r="B42" s="62" t="s">
        <v>2323</v>
      </c>
      <c r="C42" s="62" t="s">
        <v>1128</v>
      </c>
      <c r="D42" s="62">
        <v>1</v>
      </c>
    </row>
    <row r="43" spans="1:4" x14ac:dyDescent="0.25">
      <c r="A43" s="62">
        <v>2003539</v>
      </c>
      <c r="B43" s="62" t="s">
        <v>2323</v>
      </c>
      <c r="C43" s="62" t="s">
        <v>1128</v>
      </c>
      <c r="D43" s="62">
        <v>1</v>
      </c>
    </row>
    <row r="44" spans="1:4" x14ac:dyDescent="0.25">
      <c r="A44" s="62">
        <v>3010583</v>
      </c>
      <c r="B44" s="62" t="s">
        <v>2323</v>
      </c>
      <c r="C44" s="62" t="s">
        <v>2335</v>
      </c>
      <c r="D44" s="62">
        <v>3</v>
      </c>
    </row>
    <row r="45" spans="1:4" x14ac:dyDescent="0.25">
      <c r="A45" s="62">
        <v>3011892</v>
      </c>
      <c r="B45" s="62" t="s">
        <v>2323</v>
      </c>
      <c r="C45" s="62" t="s">
        <v>2336</v>
      </c>
      <c r="D45" s="62">
        <v>2</v>
      </c>
    </row>
    <row r="46" spans="1:4" x14ac:dyDescent="0.25">
      <c r="A46" s="62">
        <v>4001382</v>
      </c>
      <c r="B46" s="62" t="s">
        <v>2323</v>
      </c>
      <c r="C46" s="62" t="s">
        <v>2337</v>
      </c>
      <c r="D46" s="62">
        <v>2</v>
      </c>
    </row>
    <row r="47" spans="1:4" x14ac:dyDescent="0.25">
      <c r="A47" s="62">
        <v>6015647</v>
      </c>
      <c r="B47" s="62" t="s">
        <v>2323</v>
      </c>
      <c r="C47" s="62" t="s">
        <v>2338</v>
      </c>
      <c r="D47" s="62">
        <v>5</v>
      </c>
    </row>
    <row r="48" spans="1:4" x14ac:dyDescent="0.25">
      <c r="A48" s="62">
        <v>6056633</v>
      </c>
      <c r="B48" s="62" t="s">
        <v>2323</v>
      </c>
      <c r="C48" s="62" t="s">
        <v>2339</v>
      </c>
      <c r="D48" s="62">
        <v>2</v>
      </c>
    </row>
    <row r="49" spans="1:4" x14ac:dyDescent="0.25">
      <c r="A49" s="62">
        <v>8107048</v>
      </c>
      <c r="B49" s="62" t="s">
        <v>2323</v>
      </c>
      <c r="C49" s="62" t="s">
        <v>457</v>
      </c>
      <c r="D49" s="62">
        <v>1</v>
      </c>
    </row>
    <row r="50" spans="1:4" x14ac:dyDescent="0.25">
      <c r="A50" s="62">
        <v>9023306</v>
      </c>
      <c r="B50" s="62" t="s">
        <v>2323</v>
      </c>
      <c r="C50" s="62" t="s">
        <v>29</v>
      </c>
      <c r="D50" s="62">
        <v>1</v>
      </c>
    </row>
    <row r="51" spans="1:4" x14ac:dyDescent="0.25">
      <c r="A51">
        <v>10002875</v>
      </c>
      <c r="B51" s="62" t="s">
        <v>2323</v>
      </c>
      <c r="C51" t="s">
        <v>31</v>
      </c>
      <c r="D51">
        <v>1</v>
      </c>
    </row>
    <row r="52" spans="1:4" x14ac:dyDescent="0.25">
      <c r="A52">
        <v>200085</v>
      </c>
      <c r="B52" s="62" t="s">
        <v>2323</v>
      </c>
      <c r="C52" t="s">
        <v>2340</v>
      </c>
      <c r="D52">
        <v>12</v>
      </c>
    </row>
    <row r="53" spans="1:4" x14ac:dyDescent="0.25">
      <c r="A53">
        <v>2006107</v>
      </c>
      <c r="B53" s="62" t="s">
        <v>2323</v>
      </c>
      <c r="C53" t="s">
        <v>457</v>
      </c>
      <c r="D53">
        <v>1</v>
      </c>
    </row>
    <row r="54" spans="1:4" x14ac:dyDescent="0.25">
      <c r="A54">
        <v>2012014</v>
      </c>
      <c r="B54" s="62" t="s">
        <v>2323</v>
      </c>
      <c r="C54" t="s">
        <v>1124</v>
      </c>
      <c r="D54">
        <v>1</v>
      </c>
    </row>
    <row r="55" spans="1:4" x14ac:dyDescent="0.25">
      <c r="A55">
        <v>3015058</v>
      </c>
      <c r="B55" s="62" t="s">
        <v>2323</v>
      </c>
      <c r="C55" t="s">
        <v>2341</v>
      </c>
      <c r="D55">
        <v>4</v>
      </c>
    </row>
    <row r="56" spans="1:4" x14ac:dyDescent="0.25">
      <c r="A56">
        <v>4000996</v>
      </c>
      <c r="B56" s="62" t="s">
        <v>2323</v>
      </c>
      <c r="C56" t="s">
        <v>2342</v>
      </c>
      <c r="D56">
        <v>4</v>
      </c>
    </row>
    <row r="57" spans="1:4" x14ac:dyDescent="0.25">
      <c r="A57">
        <v>4003768</v>
      </c>
      <c r="B57" s="62" t="s">
        <v>2323</v>
      </c>
      <c r="C57" t="s">
        <v>2343</v>
      </c>
      <c r="D57">
        <v>4</v>
      </c>
    </row>
    <row r="58" spans="1:4" x14ac:dyDescent="0.25">
      <c r="A58">
        <v>4006540</v>
      </c>
      <c r="B58" s="62" t="s">
        <v>2323</v>
      </c>
      <c r="C58" t="s">
        <v>2344</v>
      </c>
      <c r="D58">
        <v>3</v>
      </c>
    </row>
    <row r="59" spans="1:4" x14ac:dyDescent="0.25">
      <c r="A59">
        <v>4007054</v>
      </c>
      <c r="B59" s="62" t="s">
        <v>2323</v>
      </c>
      <c r="C59" t="s">
        <v>1127</v>
      </c>
      <c r="D59">
        <v>1</v>
      </c>
    </row>
    <row r="60" spans="1:4" x14ac:dyDescent="0.25">
      <c r="A60">
        <v>5001097</v>
      </c>
      <c r="B60" s="62" t="s">
        <v>2323</v>
      </c>
      <c r="C60" t="s">
        <v>2345</v>
      </c>
      <c r="D60">
        <v>2</v>
      </c>
    </row>
    <row r="61" spans="1:4" x14ac:dyDescent="0.25">
      <c r="A61">
        <v>5001098</v>
      </c>
      <c r="B61" s="62" t="s">
        <v>2323</v>
      </c>
      <c r="C61" t="s">
        <v>2346</v>
      </c>
      <c r="D61">
        <v>3</v>
      </c>
    </row>
    <row r="62" spans="1:4" x14ac:dyDescent="0.25">
      <c r="A62">
        <v>5006152</v>
      </c>
      <c r="B62" s="62" t="s">
        <v>2323</v>
      </c>
      <c r="C62" t="s">
        <v>1123</v>
      </c>
      <c r="D62">
        <v>1</v>
      </c>
    </row>
    <row r="63" spans="1:4" x14ac:dyDescent="0.25">
      <c r="A63">
        <v>7045811</v>
      </c>
      <c r="B63" s="62" t="s">
        <v>2323</v>
      </c>
      <c r="C63" t="s">
        <v>2347</v>
      </c>
      <c r="D63">
        <v>2</v>
      </c>
    </row>
    <row r="64" spans="1:4" x14ac:dyDescent="0.25">
      <c r="A64">
        <v>7071198</v>
      </c>
      <c r="B64" s="62" t="s">
        <v>2323</v>
      </c>
      <c r="C64" t="s">
        <v>2348</v>
      </c>
      <c r="D64">
        <v>2</v>
      </c>
    </row>
    <row r="65" spans="1:4" x14ac:dyDescent="0.25">
      <c r="A65">
        <v>8073645</v>
      </c>
      <c r="B65" s="62" t="s">
        <v>2323</v>
      </c>
      <c r="C65" t="s">
        <v>1123</v>
      </c>
      <c r="D65">
        <v>1</v>
      </c>
    </row>
    <row r="66" spans="1:4" x14ac:dyDescent="0.25">
      <c r="A66">
        <v>8089666</v>
      </c>
      <c r="B66" s="62" t="s">
        <v>2323</v>
      </c>
      <c r="C66" t="s">
        <v>2349</v>
      </c>
      <c r="D66">
        <v>5</v>
      </c>
    </row>
    <row r="67" spans="1:4" x14ac:dyDescent="0.25">
      <c r="A67">
        <v>9003267</v>
      </c>
      <c r="B67" s="62" t="s">
        <v>2323</v>
      </c>
      <c r="C67" t="s">
        <v>2350</v>
      </c>
      <c r="D67">
        <v>2</v>
      </c>
    </row>
    <row r="68" spans="1:4" x14ac:dyDescent="0.25">
      <c r="A68">
        <v>9036964</v>
      </c>
      <c r="B68" s="62" t="s">
        <v>2323</v>
      </c>
      <c r="C68" t="s">
        <v>2351</v>
      </c>
      <c r="D68">
        <v>4</v>
      </c>
    </row>
    <row r="69" spans="1:4" x14ac:dyDescent="0.25">
      <c r="A69">
        <v>9090287</v>
      </c>
      <c r="B69" s="62" t="s">
        <v>2323</v>
      </c>
      <c r="C69" t="s">
        <v>28</v>
      </c>
      <c r="D69">
        <v>1</v>
      </c>
    </row>
    <row r="70" spans="1:4" x14ac:dyDescent="0.25">
      <c r="A70">
        <v>9095148</v>
      </c>
      <c r="B70" s="62" t="s">
        <v>2323</v>
      </c>
      <c r="C70" t="s">
        <v>1123</v>
      </c>
      <c r="D70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BE53-CFB2-4C07-B6C2-D171EC527DE9}">
  <dimension ref="A1:AD239"/>
  <sheetViews>
    <sheetView workbookViewId="0">
      <selection activeCell="B32" sqref="B32"/>
    </sheetView>
  </sheetViews>
  <sheetFormatPr baseColWidth="10" defaultRowHeight="15" x14ac:dyDescent="0.25"/>
  <cols>
    <col min="1" max="1" width="17.140625" customWidth="1"/>
    <col min="2" max="2" width="45" customWidth="1"/>
    <col min="3" max="6" width="41.5703125" customWidth="1"/>
    <col min="7" max="9" width="44" customWidth="1"/>
    <col min="10" max="10" width="35" customWidth="1"/>
    <col min="11" max="11" width="21.28515625" customWidth="1"/>
    <col min="12" max="14" width="17.85546875" customWidth="1"/>
    <col min="15" max="15" width="21.7109375" customWidth="1"/>
    <col min="16" max="16" width="17.85546875" customWidth="1"/>
    <col min="17" max="18" width="20.42578125" customWidth="1"/>
    <col min="19" max="19" width="24.28515625" customWidth="1"/>
    <col min="20" max="22" width="20.42578125" customWidth="1"/>
    <col min="23" max="23" width="24.28515625" customWidth="1"/>
    <col min="24" max="26" width="23.140625" customWidth="1"/>
    <col min="27" max="27" width="27" customWidth="1"/>
    <col min="28" max="28" width="23.140625" customWidth="1"/>
    <col min="29" max="29" width="27" customWidth="1"/>
    <col min="30" max="30" width="23.140625" customWidth="1"/>
  </cols>
  <sheetData>
    <row r="1" spans="1:30" ht="75" x14ac:dyDescent="0.25">
      <c r="A1" s="57" t="s">
        <v>43</v>
      </c>
      <c r="B1" s="58" t="s">
        <v>1134</v>
      </c>
      <c r="C1" s="58" t="s">
        <v>877</v>
      </c>
      <c r="D1" s="58" t="s">
        <v>898</v>
      </c>
      <c r="E1" s="58" t="s">
        <v>1430</v>
      </c>
      <c r="F1" s="58" t="s">
        <v>1368</v>
      </c>
      <c r="G1" s="58" t="s">
        <v>1418</v>
      </c>
      <c r="H1" s="58" t="s">
        <v>1419</v>
      </c>
      <c r="I1" s="58" t="s">
        <v>1135</v>
      </c>
      <c r="J1" s="58" t="s">
        <v>1136</v>
      </c>
      <c r="K1" s="59" t="s">
        <v>32</v>
      </c>
      <c r="L1" s="58" t="s">
        <v>33</v>
      </c>
      <c r="M1" s="58" t="s">
        <v>38</v>
      </c>
      <c r="N1" s="58" t="s">
        <v>57</v>
      </c>
      <c r="O1" s="58" t="s">
        <v>1137</v>
      </c>
      <c r="P1" s="58" t="s">
        <v>56</v>
      </c>
      <c r="Q1" s="58" t="s">
        <v>1012</v>
      </c>
      <c r="R1" s="58" t="s">
        <v>899</v>
      </c>
      <c r="S1" s="58" t="s">
        <v>1138</v>
      </c>
      <c r="T1" s="58" t="s">
        <v>78</v>
      </c>
      <c r="U1" s="58" t="s">
        <v>878</v>
      </c>
      <c r="V1" s="58" t="s">
        <v>45</v>
      </c>
      <c r="W1" s="58" t="s">
        <v>1139</v>
      </c>
      <c r="X1" s="58" t="s">
        <v>968</v>
      </c>
      <c r="Y1" s="58" t="s">
        <v>1027</v>
      </c>
      <c r="Z1" s="58" t="s">
        <v>879</v>
      </c>
      <c r="AA1" s="58" t="s">
        <v>1140</v>
      </c>
      <c r="AB1" s="58" t="s">
        <v>969</v>
      </c>
      <c r="AC1" s="58" t="s">
        <v>1141</v>
      </c>
      <c r="AD1" s="58" t="s">
        <v>933</v>
      </c>
    </row>
    <row r="2" spans="1:30" x14ac:dyDescent="0.25">
      <c r="A2" s="40" t="s">
        <v>512</v>
      </c>
    </row>
    <row r="3" spans="1:30" x14ac:dyDescent="0.25">
      <c r="A3" s="10" t="s">
        <v>1868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48">
        <v>7072184</v>
      </c>
      <c r="B4" s="6"/>
      <c r="J4">
        <v>11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48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5">
      <c r="A6" s="48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5">
      <c r="A7" s="48">
        <v>95005911</v>
      </c>
      <c r="O7">
        <v>16</v>
      </c>
    </row>
    <row r="8" spans="1:30" x14ac:dyDescent="0.25">
      <c r="A8" s="48">
        <v>99001908</v>
      </c>
    </row>
    <row r="9" spans="1:30" x14ac:dyDescent="0.25">
      <c r="A9" s="48">
        <v>99004067</v>
      </c>
      <c r="J9">
        <v>21.5</v>
      </c>
    </row>
    <row r="10" spans="1:30" x14ac:dyDescent="0.25">
      <c r="A10" s="48">
        <v>97002136</v>
      </c>
    </row>
    <row r="11" spans="1:30" x14ac:dyDescent="0.25">
      <c r="A11" s="48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>
        <v>12.6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5">
      <c r="A12" s="48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5">
      <c r="A13" s="48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5">
      <c r="A14" s="48"/>
    </row>
    <row r="15" spans="1:30" x14ac:dyDescent="0.25">
      <c r="A15" s="50" t="s">
        <v>1869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5">
      <c r="A16" s="48">
        <v>14242856</v>
      </c>
      <c r="B16" s="6"/>
      <c r="J16">
        <v>25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x14ac:dyDescent="0.25">
      <c r="A17" s="48">
        <v>99001183</v>
      </c>
      <c r="B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25">
      <c r="A18" s="4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25">
      <c r="A19" s="48">
        <v>10064335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7</v>
      </c>
      <c r="T19" s="6"/>
      <c r="U19" s="6"/>
      <c r="V19" s="6">
        <v>7</v>
      </c>
      <c r="W19" s="6"/>
      <c r="X19" s="6"/>
      <c r="Y19" s="6"/>
      <c r="Z19" s="6"/>
      <c r="AA19" s="6"/>
      <c r="AB19" s="6"/>
      <c r="AC19" s="6"/>
      <c r="AD19" s="6"/>
    </row>
    <row r="20" spans="1:30" x14ac:dyDescent="0.25">
      <c r="A20" s="49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25">
      <c r="A21" s="50" t="s">
        <v>1870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5">
      <c r="A22" s="48">
        <v>1480</v>
      </c>
    </row>
    <row r="23" spans="1:30" x14ac:dyDescent="0.25">
      <c r="A23" s="48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5">
      <c r="A24" s="48">
        <v>1003215</v>
      </c>
      <c r="B24" s="6"/>
      <c r="C24" s="6"/>
      <c r="D24" s="6"/>
      <c r="E24" s="6"/>
      <c r="F24" s="6"/>
      <c r="G24" s="6"/>
      <c r="H24" s="6"/>
      <c r="I24" s="6"/>
      <c r="J24" s="6">
        <v>30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A25" s="48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5">
      <c r="A26" s="48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25">
      <c r="A27" s="48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7">
        <v>55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25">
      <c r="A28" s="4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>
        <v>6.8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x14ac:dyDescent="0.25">
      <c r="A29" s="48">
        <v>99000894</v>
      </c>
      <c r="B29" s="6"/>
      <c r="C29" s="6"/>
      <c r="D29" s="6"/>
      <c r="E29" s="6"/>
      <c r="F29" s="6"/>
      <c r="G29" s="6"/>
      <c r="H29" s="6"/>
      <c r="I29" s="6"/>
      <c r="J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25">
      <c r="A30" s="48">
        <v>99000897</v>
      </c>
      <c r="L30">
        <v>9</v>
      </c>
    </row>
    <row r="31" spans="1:30" x14ac:dyDescent="0.25">
      <c r="A31" s="48">
        <v>99001245</v>
      </c>
      <c r="M31">
        <v>24.7</v>
      </c>
    </row>
    <row r="32" spans="1:30" x14ac:dyDescent="0.25">
      <c r="A32" s="48">
        <v>99001902</v>
      </c>
      <c r="M32">
        <v>29</v>
      </c>
    </row>
    <row r="33" spans="1:30" x14ac:dyDescent="0.25">
      <c r="A33" s="48">
        <v>99001912</v>
      </c>
      <c r="M33">
        <v>15</v>
      </c>
    </row>
    <row r="34" spans="1:30" x14ac:dyDescent="0.25">
      <c r="A34" s="48">
        <v>99001913</v>
      </c>
      <c r="M34">
        <v>9</v>
      </c>
    </row>
    <row r="35" spans="1:30" x14ac:dyDescent="0.25">
      <c r="A35" s="48">
        <v>99001937</v>
      </c>
    </row>
    <row r="36" spans="1:30" x14ac:dyDescent="0.25">
      <c r="A36" s="48">
        <v>99001943</v>
      </c>
      <c r="I36">
        <v>9</v>
      </c>
      <c r="M36">
        <v>9</v>
      </c>
    </row>
    <row r="37" spans="1:30" x14ac:dyDescent="0.25">
      <c r="A37" s="48">
        <v>99001927</v>
      </c>
    </row>
    <row r="38" spans="1:30" x14ac:dyDescent="0.25">
      <c r="A38" s="4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>
        <v>9.9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x14ac:dyDescent="0.25">
      <c r="A39" s="48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O39" s="27">
        <v>50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x14ac:dyDescent="0.25">
      <c r="A40" s="48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P40">
        <v>5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x14ac:dyDescent="0.25">
      <c r="A41" s="48">
        <v>98008326</v>
      </c>
      <c r="B41" s="6"/>
      <c r="C41" s="6"/>
      <c r="D41" s="6"/>
      <c r="E41" s="6"/>
      <c r="F41" s="6"/>
      <c r="G41" s="6"/>
      <c r="H41" s="6"/>
      <c r="I41" s="6"/>
      <c r="J41" s="6"/>
      <c r="K41">
        <v>10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x14ac:dyDescent="0.25">
      <c r="A42" s="48">
        <v>99000717</v>
      </c>
      <c r="B42" s="6"/>
      <c r="C42" s="6"/>
      <c r="D42" s="6"/>
      <c r="E42" s="6"/>
      <c r="F42" s="6"/>
      <c r="G42" s="6"/>
      <c r="H42" s="6"/>
      <c r="I42" s="6"/>
      <c r="J42" s="6"/>
      <c r="L42" s="6"/>
      <c r="M42" s="6"/>
      <c r="N42" s="6"/>
      <c r="O42" s="6"/>
      <c r="P42" s="6"/>
      <c r="Q42" s="6"/>
      <c r="R42" s="6"/>
      <c r="S42" s="6"/>
      <c r="T42">
        <v>11</v>
      </c>
      <c r="V42" s="6"/>
      <c r="W42" s="6"/>
      <c r="X42" s="6"/>
      <c r="Y42" s="6"/>
      <c r="Z42" s="6"/>
      <c r="AA42" s="6"/>
      <c r="AB42" s="6"/>
      <c r="AC42" s="6"/>
      <c r="AD42" s="6"/>
    </row>
    <row r="43" spans="1:30" x14ac:dyDescent="0.25">
      <c r="A43" s="48"/>
      <c r="B43" s="6"/>
      <c r="C43" s="6"/>
      <c r="D43" s="6"/>
      <c r="E43" s="6"/>
      <c r="F43" s="6"/>
      <c r="G43" s="6"/>
      <c r="H43" s="6"/>
      <c r="I43" s="6"/>
      <c r="J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x14ac:dyDescent="0.25">
      <c r="A44" s="25" t="s">
        <v>129</v>
      </c>
    </row>
    <row r="45" spans="1:30" x14ac:dyDescent="0.25">
      <c r="A45" s="50" t="s">
        <v>106</v>
      </c>
    </row>
    <row r="46" spans="1:30" x14ac:dyDescent="0.25">
      <c r="A46" s="48">
        <v>6016435</v>
      </c>
    </row>
    <row r="47" spans="1:30" x14ac:dyDescent="0.25">
      <c r="A47" s="48">
        <v>8045149</v>
      </c>
    </row>
    <row r="48" spans="1:30" x14ac:dyDescent="0.25">
      <c r="A48" s="48">
        <v>10023001</v>
      </c>
      <c r="J48">
        <v>30</v>
      </c>
    </row>
    <row r="49" spans="1:13" x14ac:dyDescent="0.25">
      <c r="A49" s="48">
        <v>10027526</v>
      </c>
    </row>
    <row r="50" spans="1:13" x14ac:dyDescent="0.25">
      <c r="A50" s="48">
        <v>14222171</v>
      </c>
      <c r="J50" s="27">
        <v>10</v>
      </c>
    </row>
    <row r="51" spans="1:13" x14ac:dyDescent="0.25">
      <c r="A51" s="48">
        <v>1006143</v>
      </c>
    </row>
    <row r="52" spans="1:13" x14ac:dyDescent="0.25">
      <c r="A52" s="48">
        <v>6006917</v>
      </c>
    </row>
    <row r="53" spans="1:13" x14ac:dyDescent="0.25">
      <c r="A53" s="48"/>
      <c r="J53" s="27"/>
    </row>
    <row r="54" spans="1:13" x14ac:dyDescent="0.25">
      <c r="A54" s="50" t="s">
        <v>109</v>
      </c>
    </row>
    <row r="55" spans="1:13" x14ac:dyDescent="0.25">
      <c r="A55" s="48">
        <v>8057159</v>
      </c>
    </row>
    <row r="56" spans="1:13" x14ac:dyDescent="0.25">
      <c r="A56" s="48">
        <v>9140312</v>
      </c>
      <c r="M56">
        <v>12.2</v>
      </c>
    </row>
    <row r="57" spans="1:13" x14ac:dyDescent="0.25">
      <c r="A57" s="48">
        <v>12008230</v>
      </c>
    </row>
    <row r="58" spans="1:13" x14ac:dyDescent="0.25">
      <c r="A58" s="48">
        <v>12088444</v>
      </c>
    </row>
    <row r="59" spans="1:13" x14ac:dyDescent="0.25">
      <c r="A59" s="48">
        <v>13118872</v>
      </c>
    </row>
    <row r="60" spans="1:13" x14ac:dyDescent="0.25">
      <c r="A60" s="48">
        <v>12012030</v>
      </c>
    </row>
    <row r="61" spans="1:13" x14ac:dyDescent="0.25">
      <c r="A61" s="48"/>
    </row>
    <row r="62" spans="1:13" x14ac:dyDescent="0.25">
      <c r="A62" s="50" t="s">
        <v>83</v>
      </c>
    </row>
    <row r="63" spans="1:13" x14ac:dyDescent="0.25">
      <c r="A63" s="48">
        <v>9074418</v>
      </c>
    </row>
    <row r="64" spans="1:13" x14ac:dyDescent="0.25">
      <c r="A64" s="48">
        <v>1263</v>
      </c>
    </row>
    <row r="65" spans="1:30" x14ac:dyDescent="0.25">
      <c r="A65" s="48">
        <v>98004910</v>
      </c>
    </row>
    <row r="66" spans="1:30" x14ac:dyDescent="0.25">
      <c r="A66" s="48">
        <v>7103068</v>
      </c>
      <c r="V66">
        <v>11</v>
      </c>
    </row>
    <row r="67" spans="1:30" x14ac:dyDescent="0.25">
      <c r="A67" s="48">
        <v>11240728</v>
      </c>
    </row>
    <row r="68" spans="1:30" x14ac:dyDescent="0.25">
      <c r="B68" s="6"/>
      <c r="C68" s="6"/>
      <c r="D68" s="6"/>
      <c r="E68" s="6"/>
      <c r="F68" s="6"/>
      <c r="G68" s="6"/>
      <c r="H68" s="6"/>
      <c r="I68" s="6"/>
      <c r="J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x14ac:dyDescent="0.25">
      <c r="A69" s="26" t="s">
        <v>130</v>
      </c>
    </row>
    <row r="70" spans="1:30" x14ac:dyDescent="0.25">
      <c r="A70" s="10" t="s">
        <v>106</v>
      </c>
    </row>
    <row r="71" spans="1:30" x14ac:dyDescent="0.25">
      <c r="A71" s="48">
        <v>5015869</v>
      </c>
    </row>
    <row r="72" spans="1:30" x14ac:dyDescent="0.25">
      <c r="A72" s="48">
        <v>5016969</v>
      </c>
    </row>
    <row r="73" spans="1:30" x14ac:dyDescent="0.25">
      <c r="A73" s="48">
        <v>6023231</v>
      </c>
    </row>
    <row r="74" spans="1:30" x14ac:dyDescent="0.25">
      <c r="A74" s="48">
        <v>6010712</v>
      </c>
    </row>
    <row r="75" spans="1:30" x14ac:dyDescent="0.25">
      <c r="A75" s="48">
        <v>6011198</v>
      </c>
    </row>
    <row r="76" spans="1:30" x14ac:dyDescent="0.25">
      <c r="A76" s="48">
        <v>6012681</v>
      </c>
    </row>
    <row r="77" spans="1:30" x14ac:dyDescent="0.25">
      <c r="A77" s="48">
        <v>6014511</v>
      </c>
    </row>
    <row r="78" spans="1:30" x14ac:dyDescent="0.25">
      <c r="A78" s="48">
        <v>6045127</v>
      </c>
    </row>
    <row r="79" spans="1:30" x14ac:dyDescent="0.25">
      <c r="A79" s="48">
        <v>7000458</v>
      </c>
    </row>
    <row r="80" spans="1:30" x14ac:dyDescent="0.25">
      <c r="A80" s="48">
        <v>7015502</v>
      </c>
    </row>
    <row r="81" spans="1:1" x14ac:dyDescent="0.25">
      <c r="A81" s="48">
        <v>7025847</v>
      </c>
    </row>
    <row r="82" spans="1:1" x14ac:dyDescent="0.25">
      <c r="A82" s="48">
        <v>7082707</v>
      </c>
    </row>
    <row r="83" spans="1:1" x14ac:dyDescent="0.25">
      <c r="A83" s="48">
        <v>7083159</v>
      </c>
    </row>
    <row r="84" spans="1:1" x14ac:dyDescent="0.25">
      <c r="A84" s="48">
        <v>7084659</v>
      </c>
    </row>
    <row r="85" spans="1:1" x14ac:dyDescent="0.25">
      <c r="A85" s="48">
        <v>7076814</v>
      </c>
    </row>
    <row r="86" spans="1:1" x14ac:dyDescent="0.25">
      <c r="A86" s="48">
        <v>7076815</v>
      </c>
    </row>
    <row r="87" spans="1:1" x14ac:dyDescent="0.25">
      <c r="A87" s="48">
        <v>7089231</v>
      </c>
    </row>
    <row r="88" spans="1:1" x14ac:dyDescent="0.25">
      <c r="A88" s="48">
        <v>7116004</v>
      </c>
    </row>
    <row r="89" spans="1:1" x14ac:dyDescent="0.25">
      <c r="A89" s="48">
        <v>8003819</v>
      </c>
    </row>
    <row r="90" spans="1:1" x14ac:dyDescent="0.25">
      <c r="A90" s="48">
        <v>8091779</v>
      </c>
    </row>
    <row r="91" spans="1:1" x14ac:dyDescent="0.25">
      <c r="A91" s="48">
        <v>8097989</v>
      </c>
    </row>
    <row r="92" spans="1:1" x14ac:dyDescent="0.25">
      <c r="A92" s="48">
        <v>8112522</v>
      </c>
    </row>
    <row r="93" spans="1:1" x14ac:dyDescent="0.25">
      <c r="A93" s="48">
        <v>8127397</v>
      </c>
    </row>
    <row r="94" spans="1:1" x14ac:dyDescent="0.25">
      <c r="A94" s="48">
        <v>8130998</v>
      </c>
    </row>
    <row r="95" spans="1:1" x14ac:dyDescent="0.25">
      <c r="A95" s="48">
        <v>9002836</v>
      </c>
    </row>
    <row r="96" spans="1:1" x14ac:dyDescent="0.25">
      <c r="A96" s="48">
        <v>9003331</v>
      </c>
    </row>
    <row r="97" spans="1:1" x14ac:dyDescent="0.25">
      <c r="A97" s="48">
        <v>9003370</v>
      </c>
    </row>
    <row r="98" spans="1:1" x14ac:dyDescent="0.25">
      <c r="A98" s="48">
        <v>9016278</v>
      </c>
    </row>
    <row r="99" spans="1:1" x14ac:dyDescent="0.25">
      <c r="A99" s="48">
        <v>9030684</v>
      </c>
    </row>
    <row r="100" spans="1:1" x14ac:dyDescent="0.25">
      <c r="A100" s="48">
        <v>9031387</v>
      </c>
    </row>
    <row r="101" spans="1:1" x14ac:dyDescent="0.25">
      <c r="A101" s="48">
        <v>9038676</v>
      </c>
    </row>
    <row r="102" spans="1:1" x14ac:dyDescent="0.25">
      <c r="A102" s="48">
        <v>9039416</v>
      </c>
    </row>
    <row r="103" spans="1:1" x14ac:dyDescent="0.25">
      <c r="A103" s="48">
        <v>9042861</v>
      </c>
    </row>
    <row r="104" spans="1:1" x14ac:dyDescent="0.25">
      <c r="A104" s="48">
        <v>9044899</v>
      </c>
    </row>
    <row r="105" spans="1:1" x14ac:dyDescent="0.25">
      <c r="A105" s="48">
        <v>9052398</v>
      </c>
    </row>
    <row r="106" spans="1:1" x14ac:dyDescent="0.25">
      <c r="A106" s="48">
        <v>9085204</v>
      </c>
    </row>
    <row r="107" spans="1:1" x14ac:dyDescent="0.25">
      <c r="A107" s="48">
        <v>9090323</v>
      </c>
    </row>
    <row r="108" spans="1:1" x14ac:dyDescent="0.25">
      <c r="A108" s="48">
        <v>9105492</v>
      </c>
    </row>
    <row r="109" spans="1:1" x14ac:dyDescent="0.25">
      <c r="A109" s="48">
        <v>9138470</v>
      </c>
    </row>
    <row r="110" spans="1:1" x14ac:dyDescent="0.25">
      <c r="A110" s="48">
        <v>9150676</v>
      </c>
    </row>
    <row r="111" spans="1:1" x14ac:dyDescent="0.25">
      <c r="A111" s="48">
        <v>10010926</v>
      </c>
    </row>
    <row r="112" spans="1:1" x14ac:dyDescent="0.25">
      <c r="A112" s="48">
        <v>10016588</v>
      </c>
    </row>
    <row r="113" spans="1:27" x14ac:dyDescent="0.25">
      <c r="A113" s="48">
        <v>10030897</v>
      </c>
      <c r="C113">
        <v>43.8</v>
      </c>
      <c r="K113">
        <v>11.4</v>
      </c>
      <c r="P113">
        <v>31.6</v>
      </c>
      <c r="U113">
        <v>45.2</v>
      </c>
      <c r="W113">
        <v>47.1</v>
      </c>
      <c r="Z113">
        <v>41.7</v>
      </c>
    </row>
    <row r="114" spans="1:27" x14ac:dyDescent="0.25">
      <c r="A114" s="48">
        <v>324</v>
      </c>
      <c r="K114">
        <v>19.3</v>
      </c>
    </row>
    <row r="115" spans="1:27" x14ac:dyDescent="0.25">
      <c r="A115" s="48">
        <v>3909</v>
      </c>
      <c r="AA115">
        <v>4.3</v>
      </c>
    </row>
    <row r="116" spans="1:27" x14ac:dyDescent="0.25">
      <c r="A116" s="48">
        <v>4663</v>
      </c>
    </row>
    <row r="117" spans="1:27" x14ac:dyDescent="0.25">
      <c r="A117" s="48">
        <v>1005522</v>
      </c>
      <c r="B117">
        <v>16.399999999999999</v>
      </c>
      <c r="D117">
        <v>12.8</v>
      </c>
      <c r="K117">
        <v>19</v>
      </c>
      <c r="R117">
        <v>18</v>
      </c>
      <c r="V117">
        <v>13</v>
      </c>
    </row>
    <row r="118" spans="1:27" x14ac:dyDescent="0.25">
      <c r="A118" s="48">
        <v>1007631</v>
      </c>
    </row>
    <row r="119" spans="1:27" x14ac:dyDescent="0.25">
      <c r="A119" s="48">
        <v>1009760</v>
      </c>
    </row>
    <row r="120" spans="1:27" x14ac:dyDescent="0.25">
      <c r="A120" s="48">
        <v>2000646</v>
      </c>
    </row>
    <row r="121" spans="1:27" x14ac:dyDescent="0.25">
      <c r="A121" s="48">
        <v>2003761</v>
      </c>
    </row>
    <row r="122" spans="1:27" x14ac:dyDescent="0.25">
      <c r="A122" s="48">
        <v>2004061</v>
      </c>
    </row>
    <row r="123" spans="1:27" x14ac:dyDescent="0.25">
      <c r="A123" s="48">
        <v>2006469</v>
      </c>
    </row>
    <row r="124" spans="1:27" x14ac:dyDescent="0.25">
      <c r="A124" s="48">
        <v>3005132</v>
      </c>
    </row>
    <row r="125" spans="1:27" x14ac:dyDescent="0.25">
      <c r="A125" s="48">
        <v>3009119</v>
      </c>
    </row>
    <row r="126" spans="1:27" x14ac:dyDescent="0.25">
      <c r="A126" s="48">
        <v>3009936</v>
      </c>
    </row>
    <row r="127" spans="1:27" x14ac:dyDescent="0.25">
      <c r="A127" s="48">
        <v>3011094</v>
      </c>
    </row>
    <row r="128" spans="1:27" x14ac:dyDescent="0.25">
      <c r="A128" s="48">
        <v>3014643</v>
      </c>
    </row>
    <row r="129" spans="1:30" x14ac:dyDescent="0.25">
      <c r="A129" s="48">
        <v>3016056</v>
      </c>
      <c r="K129">
        <v>39.799999999999997</v>
      </c>
      <c r="AD129">
        <v>39.9</v>
      </c>
    </row>
    <row r="130" spans="1:30" x14ac:dyDescent="0.25">
      <c r="A130" s="48">
        <v>3900219</v>
      </c>
    </row>
    <row r="131" spans="1:30" x14ac:dyDescent="0.25">
      <c r="A131" s="48">
        <v>4000158</v>
      </c>
    </row>
    <row r="132" spans="1:30" x14ac:dyDescent="0.25">
      <c r="A132" s="48">
        <v>4000304</v>
      </c>
    </row>
    <row r="133" spans="1:30" x14ac:dyDescent="0.25">
      <c r="A133" s="48">
        <v>4001905</v>
      </c>
    </row>
    <row r="134" spans="1:30" x14ac:dyDescent="0.25">
      <c r="A134" s="48">
        <v>4002206</v>
      </c>
    </row>
    <row r="135" spans="1:30" x14ac:dyDescent="0.25">
      <c r="A135" s="48">
        <v>4002715</v>
      </c>
    </row>
    <row r="136" spans="1:30" x14ac:dyDescent="0.25">
      <c r="A136" s="48">
        <v>4003924</v>
      </c>
    </row>
    <row r="137" spans="1:30" x14ac:dyDescent="0.25">
      <c r="A137" s="48">
        <v>4006051</v>
      </c>
    </row>
    <row r="138" spans="1:30" x14ac:dyDescent="0.25">
      <c r="A138" s="48">
        <v>4008140</v>
      </c>
    </row>
    <row r="139" spans="1:30" x14ac:dyDescent="0.25">
      <c r="A139" s="48">
        <v>4009906</v>
      </c>
      <c r="L139">
        <v>34.5</v>
      </c>
      <c r="X139">
        <v>21</v>
      </c>
      <c r="AB139">
        <v>37.9</v>
      </c>
      <c r="AC139">
        <v>31.4</v>
      </c>
    </row>
    <row r="140" spans="1:30" x14ac:dyDescent="0.25">
      <c r="A140" s="48">
        <v>4011027</v>
      </c>
    </row>
    <row r="141" spans="1:30" x14ac:dyDescent="0.25">
      <c r="A141" s="48">
        <v>4011920</v>
      </c>
    </row>
    <row r="142" spans="1:30" x14ac:dyDescent="0.25">
      <c r="A142" s="48">
        <v>4012248</v>
      </c>
    </row>
    <row r="143" spans="1:30" x14ac:dyDescent="0.25">
      <c r="A143" s="48">
        <v>4013603</v>
      </c>
    </row>
    <row r="144" spans="1:30" x14ac:dyDescent="0.25">
      <c r="A144" s="48">
        <v>5004654</v>
      </c>
      <c r="L144">
        <v>22.8</v>
      </c>
    </row>
    <row r="145" spans="1:25" x14ac:dyDescent="0.25">
      <c r="A145" s="52"/>
    </row>
    <row r="146" spans="1:25" x14ac:dyDescent="0.25">
      <c r="A146" s="50" t="s">
        <v>109</v>
      </c>
    </row>
    <row r="147" spans="1:25" x14ac:dyDescent="0.25">
      <c r="A147" s="48">
        <v>4289</v>
      </c>
    </row>
    <row r="148" spans="1:25" x14ac:dyDescent="0.25">
      <c r="A148" s="48">
        <v>500245</v>
      </c>
    </row>
    <row r="149" spans="1:25" x14ac:dyDescent="0.25">
      <c r="A149" s="48">
        <v>2002573</v>
      </c>
    </row>
    <row r="150" spans="1:25" x14ac:dyDescent="0.25">
      <c r="A150" s="48">
        <v>2003539</v>
      </c>
      <c r="Q150">
        <v>71</v>
      </c>
    </row>
    <row r="151" spans="1:25" x14ac:dyDescent="0.25">
      <c r="A151" s="48">
        <v>2003649</v>
      </c>
    </row>
    <row r="152" spans="1:25" x14ac:dyDescent="0.25">
      <c r="A152" s="48">
        <v>2005572</v>
      </c>
    </row>
    <row r="153" spans="1:25" x14ac:dyDescent="0.25">
      <c r="A153" s="48">
        <v>2013117</v>
      </c>
    </row>
    <row r="154" spans="1:25" x14ac:dyDescent="0.25">
      <c r="A154" s="48">
        <v>3009633</v>
      </c>
    </row>
    <row r="155" spans="1:25" x14ac:dyDescent="0.25">
      <c r="A155" s="48">
        <v>3010583</v>
      </c>
      <c r="Y155">
        <v>24</v>
      </c>
    </row>
    <row r="156" spans="1:25" x14ac:dyDescent="0.25">
      <c r="A156" s="23">
        <v>3011892</v>
      </c>
    </row>
    <row r="157" spans="1:25" x14ac:dyDescent="0.25">
      <c r="A157">
        <v>4001382</v>
      </c>
    </row>
    <row r="158" spans="1:25" x14ac:dyDescent="0.25">
      <c r="A158" s="48">
        <v>5018675</v>
      </c>
    </row>
    <row r="159" spans="1:25" x14ac:dyDescent="0.25">
      <c r="A159" s="48">
        <v>6050168</v>
      </c>
    </row>
    <row r="160" spans="1:25" x14ac:dyDescent="0.25">
      <c r="A160" s="48">
        <v>5006592</v>
      </c>
    </row>
    <row r="161" spans="1:11" x14ac:dyDescent="0.25">
      <c r="A161" s="48">
        <v>5007274</v>
      </c>
    </row>
    <row r="162" spans="1:11" x14ac:dyDescent="0.25">
      <c r="A162" s="48">
        <v>5015851</v>
      </c>
    </row>
    <row r="163" spans="1:11" x14ac:dyDescent="0.25">
      <c r="A163" s="48">
        <v>6015647</v>
      </c>
      <c r="K163">
        <v>23</v>
      </c>
    </row>
    <row r="164" spans="1:11" x14ac:dyDescent="0.25">
      <c r="A164" s="48">
        <v>6056633</v>
      </c>
    </row>
    <row r="165" spans="1:11" x14ac:dyDescent="0.25">
      <c r="A165" s="48">
        <v>7086224</v>
      </c>
    </row>
    <row r="166" spans="1:11" x14ac:dyDescent="0.25">
      <c r="A166" s="48">
        <v>8040959</v>
      </c>
    </row>
    <row r="167" spans="1:11" x14ac:dyDescent="0.25">
      <c r="A167" s="48">
        <v>8107048</v>
      </c>
    </row>
    <row r="168" spans="1:11" x14ac:dyDescent="0.25">
      <c r="A168" s="48">
        <v>8124044</v>
      </c>
    </row>
    <row r="169" spans="1:11" x14ac:dyDescent="0.25">
      <c r="A169" s="48">
        <v>8142949</v>
      </c>
    </row>
    <row r="170" spans="1:11" x14ac:dyDescent="0.25">
      <c r="A170" s="48">
        <v>9023306</v>
      </c>
    </row>
    <row r="171" spans="1:11" x14ac:dyDescent="0.25">
      <c r="A171" s="48">
        <v>9030615</v>
      </c>
    </row>
    <row r="172" spans="1:11" x14ac:dyDescent="0.25">
      <c r="A172" s="48">
        <v>9034464</v>
      </c>
    </row>
    <row r="173" spans="1:11" x14ac:dyDescent="0.25">
      <c r="A173" s="48">
        <v>9040167</v>
      </c>
    </row>
    <row r="174" spans="1:11" x14ac:dyDescent="0.25">
      <c r="A174" s="48">
        <v>9054567</v>
      </c>
    </row>
    <row r="175" spans="1:11" x14ac:dyDescent="0.25">
      <c r="A175" s="48">
        <v>9083682</v>
      </c>
    </row>
    <row r="176" spans="1:11" x14ac:dyDescent="0.25">
      <c r="A176" s="48">
        <v>9102044</v>
      </c>
    </row>
    <row r="177" spans="1:14" x14ac:dyDescent="0.25">
      <c r="A177" s="48">
        <v>9119854</v>
      </c>
    </row>
    <row r="178" spans="1:14" x14ac:dyDescent="0.25">
      <c r="A178" s="48">
        <v>9125126</v>
      </c>
    </row>
    <row r="179" spans="1:14" x14ac:dyDescent="0.25">
      <c r="A179" s="48">
        <v>9174811</v>
      </c>
    </row>
    <row r="180" spans="1:14" x14ac:dyDescent="0.25">
      <c r="A180" s="48">
        <v>10002875</v>
      </c>
    </row>
    <row r="181" spans="1:14" x14ac:dyDescent="0.25">
      <c r="A181" s="48">
        <v>10023080</v>
      </c>
    </row>
    <row r="182" spans="1:14" x14ac:dyDescent="0.25">
      <c r="A182" s="48">
        <v>10025212</v>
      </c>
    </row>
    <row r="183" spans="1:14" x14ac:dyDescent="0.25">
      <c r="A183" s="48">
        <v>10069407</v>
      </c>
    </row>
    <row r="184" spans="1:14" x14ac:dyDescent="0.25">
      <c r="A184" s="48">
        <v>10071135</v>
      </c>
    </row>
    <row r="185" spans="1:14" x14ac:dyDescent="0.25">
      <c r="A185" s="48">
        <v>10083649</v>
      </c>
    </row>
    <row r="186" spans="1:14" x14ac:dyDescent="0.25">
      <c r="A186" s="48">
        <v>10102021</v>
      </c>
      <c r="N186">
        <v>66</v>
      </c>
    </row>
    <row r="187" spans="1:14" x14ac:dyDescent="0.25">
      <c r="A187" s="48">
        <v>10123729</v>
      </c>
    </row>
    <row r="188" spans="1:14" x14ac:dyDescent="0.25">
      <c r="A188" s="48">
        <v>10144736</v>
      </c>
    </row>
    <row r="189" spans="1:14" x14ac:dyDescent="0.25">
      <c r="A189" s="48">
        <v>10157275</v>
      </c>
    </row>
    <row r="190" spans="1:14" x14ac:dyDescent="0.25">
      <c r="A190" s="52"/>
    </row>
    <row r="191" spans="1:14" x14ac:dyDescent="0.25">
      <c r="A191" s="50" t="s">
        <v>83</v>
      </c>
    </row>
    <row r="192" spans="1:14" x14ac:dyDescent="0.25">
      <c r="A192" s="48">
        <v>5281</v>
      </c>
    </row>
    <row r="193" spans="1:13" x14ac:dyDescent="0.25">
      <c r="A193" s="48">
        <v>200085</v>
      </c>
    </row>
    <row r="194" spans="1:13" x14ac:dyDescent="0.25">
      <c r="A194" s="48">
        <v>500129</v>
      </c>
    </row>
    <row r="195" spans="1:13" x14ac:dyDescent="0.25">
      <c r="A195" s="51">
        <v>1002033</v>
      </c>
    </row>
    <row r="196" spans="1:13" x14ac:dyDescent="0.25">
      <c r="A196" s="48">
        <v>1003457</v>
      </c>
    </row>
    <row r="197" spans="1:13" x14ac:dyDescent="0.25">
      <c r="A197" s="48">
        <v>2005223</v>
      </c>
    </row>
    <row r="198" spans="1:13" x14ac:dyDescent="0.25">
      <c r="A198" s="48">
        <v>2006107</v>
      </c>
    </row>
    <row r="199" spans="1:13" x14ac:dyDescent="0.25">
      <c r="A199" s="48">
        <v>2012014</v>
      </c>
      <c r="F199">
        <v>20.7</v>
      </c>
      <c r="M199">
        <v>2</v>
      </c>
    </row>
    <row r="200" spans="1:13" x14ac:dyDescent="0.25">
      <c r="A200" s="48">
        <v>3000152</v>
      </c>
    </row>
    <row r="201" spans="1:13" x14ac:dyDescent="0.25">
      <c r="A201" s="48">
        <v>3014566</v>
      </c>
    </row>
    <row r="202" spans="1:13" x14ac:dyDescent="0.25">
      <c r="A202" s="48">
        <v>3015058</v>
      </c>
    </row>
    <row r="203" spans="1:13" x14ac:dyDescent="0.25">
      <c r="A203" s="51">
        <v>4000996</v>
      </c>
    </row>
    <row r="204" spans="1:13" x14ac:dyDescent="0.25">
      <c r="A204" s="48">
        <v>4003768</v>
      </c>
    </row>
    <row r="205" spans="1:13" x14ac:dyDescent="0.25">
      <c r="A205" s="48">
        <v>4006540</v>
      </c>
    </row>
    <row r="206" spans="1:13" x14ac:dyDescent="0.25">
      <c r="A206" s="48">
        <v>4007054</v>
      </c>
    </row>
    <row r="207" spans="1:13" x14ac:dyDescent="0.25">
      <c r="A207" s="48">
        <v>4011002</v>
      </c>
    </row>
    <row r="208" spans="1:13" x14ac:dyDescent="0.25">
      <c r="A208" s="48">
        <v>4900268</v>
      </c>
    </row>
    <row r="209" spans="1:18" x14ac:dyDescent="0.25">
      <c r="A209" s="48">
        <v>5001097</v>
      </c>
      <c r="G209">
        <v>18.7</v>
      </c>
      <c r="H209">
        <v>18.5</v>
      </c>
      <c r="R209">
        <v>24.8</v>
      </c>
    </row>
    <row r="210" spans="1:18" x14ac:dyDescent="0.25">
      <c r="A210" s="48">
        <v>5001098</v>
      </c>
      <c r="E210">
        <v>12.5</v>
      </c>
      <c r="G210">
        <v>22</v>
      </c>
    </row>
    <row r="211" spans="1:18" x14ac:dyDescent="0.25">
      <c r="A211" s="48">
        <v>5006152</v>
      </c>
    </row>
    <row r="212" spans="1:18" x14ac:dyDescent="0.25">
      <c r="A212" s="48">
        <v>6012361</v>
      </c>
    </row>
    <row r="213" spans="1:18" x14ac:dyDescent="0.25">
      <c r="A213" s="48">
        <v>6015793</v>
      </c>
    </row>
    <row r="214" spans="1:18" x14ac:dyDescent="0.25">
      <c r="A214" s="48">
        <v>6043619</v>
      </c>
    </row>
    <row r="215" spans="1:18" x14ac:dyDescent="0.25">
      <c r="A215" s="48">
        <v>7001097</v>
      </c>
    </row>
    <row r="216" spans="1:18" x14ac:dyDescent="0.25">
      <c r="A216" s="48">
        <v>7011435</v>
      </c>
    </row>
    <row r="217" spans="1:18" x14ac:dyDescent="0.25">
      <c r="A217" s="48">
        <v>7045811</v>
      </c>
    </row>
    <row r="218" spans="1:18" x14ac:dyDescent="0.25">
      <c r="A218" s="48">
        <v>7071198</v>
      </c>
      <c r="O218">
        <v>30.8</v>
      </c>
    </row>
    <row r="219" spans="1:18" x14ac:dyDescent="0.25">
      <c r="A219" s="48">
        <v>7101143</v>
      </c>
    </row>
    <row r="220" spans="1:18" x14ac:dyDescent="0.25">
      <c r="A220" s="48">
        <v>8073350</v>
      </c>
    </row>
    <row r="221" spans="1:18" x14ac:dyDescent="0.25">
      <c r="A221" s="48">
        <v>8073645</v>
      </c>
    </row>
    <row r="222" spans="1:18" x14ac:dyDescent="0.25">
      <c r="A222" s="51">
        <v>8089666</v>
      </c>
    </row>
    <row r="223" spans="1:18" x14ac:dyDescent="0.25">
      <c r="A223" s="48">
        <v>8103536</v>
      </c>
    </row>
    <row r="224" spans="1:18" x14ac:dyDescent="0.25">
      <c r="A224" s="48">
        <v>8124816</v>
      </c>
    </row>
    <row r="225" spans="1:1" x14ac:dyDescent="0.25">
      <c r="A225" s="48">
        <v>9003267</v>
      </c>
    </row>
    <row r="226" spans="1:1" x14ac:dyDescent="0.25">
      <c r="A226" s="48">
        <v>9036964</v>
      </c>
    </row>
    <row r="227" spans="1:1" x14ac:dyDescent="0.25">
      <c r="A227" s="48">
        <v>9090287</v>
      </c>
    </row>
    <row r="228" spans="1:1" x14ac:dyDescent="0.25">
      <c r="A228" s="48">
        <v>9095148</v>
      </c>
    </row>
    <row r="229" spans="1:1" x14ac:dyDescent="0.25">
      <c r="A229" s="48">
        <v>9104979</v>
      </c>
    </row>
    <row r="230" spans="1:1" x14ac:dyDescent="0.25">
      <c r="A230" s="48">
        <v>9139514</v>
      </c>
    </row>
    <row r="231" spans="1:1" x14ac:dyDescent="0.25">
      <c r="A231" s="48">
        <v>10020659</v>
      </c>
    </row>
    <row r="232" spans="1:1" x14ac:dyDescent="0.25">
      <c r="A232" s="48">
        <v>10025902</v>
      </c>
    </row>
    <row r="233" spans="1:1" x14ac:dyDescent="0.25">
      <c r="A233" s="48">
        <v>10027654</v>
      </c>
    </row>
    <row r="234" spans="1:1" x14ac:dyDescent="0.25">
      <c r="A234" s="48">
        <v>10084485</v>
      </c>
    </row>
    <row r="235" spans="1:1" x14ac:dyDescent="0.25">
      <c r="A235" s="48">
        <v>10098420</v>
      </c>
    </row>
    <row r="236" spans="1:1" x14ac:dyDescent="0.25">
      <c r="A236" s="48">
        <v>10129565</v>
      </c>
    </row>
    <row r="237" spans="1:1" x14ac:dyDescent="0.25">
      <c r="A237" s="48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4976-96DF-4E7E-82EB-982B5B743290}">
  <dimension ref="A1:D40"/>
  <sheetViews>
    <sheetView workbookViewId="0">
      <selection activeCell="F17" sqref="F17"/>
    </sheetView>
  </sheetViews>
  <sheetFormatPr baseColWidth="10" defaultRowHeight="15" x14ac:dyDescent="0.25"/>
  <cols>
    <col min="1" max="1" width="17.28515625" bestFit="1" customWidth="1"/>
    <col min="2" max="2" width="15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2352</v>
      </c>
      <c r="C1" s="62" t="s">
        <v>1914</v>
      </c>
      <c r="D1" s="62" t="s">
        <v>1873</v>
      </c>
    </row>
    <row r="2" spans="1:4" x14ac:dyDescent="0.25">
      <c r="A2" s="62">
        <v>7072184</v>
      </c>
      <c r="B2" s="62" t="s">
        <v>2352</v>
      </c>
      <c r="C2" s="62" t="s">
        <v>1136</v>
      </c>
      <c r="D2" s="62">
        <v>1</v>
      </c>
    </row>
    <row r="3" spans="1:4" x14ac:dyDescent="0.25">
      <c r="A3" s="62">
        <v>95005911</v>
      </c>
      <c r="B3" s="62" t="s">
        <v>2352</v>
      </c>
      <c r="C3" s="62" t="s">
        <v>1137</v>
      </c>
      <c r="D3" s="62">
        <v>1</v>
      </c>
    </row>
    <row r="4" spans="1:4" x14ac:dyDescent="0.25">
      <c r="A4" s="62">
        <v>99004067</v>
      </c>
      <c r="B4" s="62" t="s">
        <v>2352</v>
      </c>
      <c r="C4" s="62" t="s">
        <v>1136</v>
      </c>
      <c r="D4" s="62">
        <v>1</v>
      </c>
    </row>
    <row r="5" spans="1:4" x14ac:dyDescent="0.25">
      <c r="A5" s="62">
        <v>1502</v>
      </c>
      <c r="B5" s="62" t="s">
        <v>2352</v>
      </c>
      <c r="C5" s="62" t="s">
        <v>1137</v>
      </c>
      <c r="D5" s="62">
        <v>1</v>
      </c>
    </row>
    <row r="6" spans="1:4" x14ac:dyDescent="0.25">
      <c r="A6" s="62">
        <v>14242856</v>
      </c>
      <c r="B6" s="62" t="s">
        <v>2352</v>
      </c>
      <c r="C6" s="62" t="s">
        <v>1136</v>
      </c>
      <c r="D6" s="62">
        <v>1</v>
      </c>
    </row>
    <row r="7" spans="1:4" x14ac:dyDescent="0.25">
      <c r="A7" s="62">
        <v>10064335</v>
      </c>
      <c r="B7" s="62" t="s">
        <v>2352</v>
      </c>
      <c r="C7" s="62" t="s">
        <v>2353</v>
      </c>
      <c r="D7" s="62">
        <v>2</v>
      </c>
    </row>
    <row r="8" spans="1:4" x14ac:dyDescent="0.25">
      <c r="A8" s="62">
        <v>1003215</v>
      </c>
      <c r="B8" s="62" t="s">
        <v>2352</v>
      </c>
      <c r="C8" s="62" t="s">
        <v>1136</v>
      </c>
      <c r="D8" s="62">
        <v>1</v>
      </c>
    </row>
    <row r="9" spans="1:4" x14ac:dyDescent="0.25">
      <c r="A9" s="62">
        <v>1000192</v>
      </c>
      <c r="B9" s="62" t="s">
        <v>2352</v>
      </c>
      <c r="C9" s="62" t="s">
        <v>57</v>
      </c>
      <c r="D9" s="62">
        <v>1</v>
      </c>
    </row>
    <row r="10" spans="1:4" x14ac:dyDescent="0.25">
      <c r="A10" s="62">
        <v>1506</v>
      </c>
      <c r="B10" s="62" t="s">
        <v>2352</v>
      </c>
      <c r="C10" s="62" t="s">
        <v>38</v>
      </c>
      <c r="D10" s="62">
        <v>1</v>
      </c>
    </row>
    <row r="11" spans="1:4" x14ac:dyDescent="0.25">
      <c r="A11" s="62">
        <v>99000897</v>
      </c>
      <c r="B11" s="62" t="s">
        <v>2352</v>
      </c>
      <c r="C11" s="62" t="s">
        <v>33</v>
      </c>
      <c r="D11" s="62">
        <v>1</v>
      </c>
    </row>
    <row r="12" spans="1:4" x14ac:dyDescent="0.25">
      <c r="A12" s="62">
        <v>99001245</v>
      </c>
      <c r="B12" s="62" t="s">
        <v>2352</v>
      </c>
      <c r="C12" s="62" t="s">
        <v>38</v>
      </c>
      <c r="D12" s="62">
        <v>1</v>
      </c>
    </row>
    <row r="13" spans="1:4" x14ac:dyDescent="0.25">
      <c r="A13" s="62">
        <v>99001902</v>
      </c>
      <c r="B13" s="62" t="s">
        <v>2352</v>
      </c>
      <c r="C13" s="62" t="s">
        <v>38</v>
      </c>
      <c r="D13" s="62">
        <v>1</v>
      </c>
    </row>
    <row r="14" spans="1:4" x14ac:dyDescent="0.25">
      <c r="A14" s="62">
        <v>99001912</v>
      </c>
      <c r="B14" s="62" t="s">
        <v>2352</v>
      </c>
      <c r="C14" s="62" t="s">
        <v>38</v>
      </c>
      <c r="D14" s="62">
        <v>1</v>
      </c>
    </row>
    <row r="15" spans="1:4" x14ac:dyDescent="0.25">
      <c r="A15" s="62">
        <v>99001913</v>
      </c>
      <c r="B15" s="62" t="s">
        <v>2352</v>
      </c>
      <c r="C15" s="62" t="s">
        <v>38</v>
      </c>
      <c r="D15" s="62">
        <v>1</v>
      </c>
    </row>
    <row r="16" spans="1:4" x14ac:dyDescent="0.25">
      <c r="A16" s="62">
        <v>99001943</v>
      </c>
      <c r="B16" s="62" t="s">
        <v>2352</v>
      </c>
      <c r="C16" s="62" t="s">
        <v>2354</v>
      </c>
      <c r="D16" s="62">
        <v>2</v>
      </c>
    </row>
    <row r="17" spans="1:4" x14ac:dyDescent="0.25">
      <c r="A17" s="62">
        <v>1505</v>
      </c>
      <c r="B17" s="62" t="s">
        <v>2352</v>
      </c>
      <c r="C17" s="62" t="s">
        <v>56</v>
      </c>
      <c r="D17" s="62">
        <v>1</v>
      </c>
    </row>
    <row r="18" spans="1:4" x14ac:dyDescent="0.25">
      <c r="A18" s="62">
        <v>1000197</v>
      </c>
      <c r="B18" s="62" t="s">
        <v>2352</v>
      </c>
      <c r="C18" s="62" t="s">
        <v>1137</v>
      </c>
      <c r="D18" s="62">
        <v>1</v>
      </c>
    </row>
    <row r="19" spans="1:4" x14ac:dyDescent="0.25">
      <c r="A19" s="62">
        <v>96018835</v>
      </c>
      <c r="B19" s="62" t="s">
        <v>2352</v>
      </c>
      <c r="C19" s="62" t="s">
        <v>56</v>
      </c>
      <c r="D19" s="62">
        <v>1</v>
      </c>
    </row>
    <row r="20" spans="1:4" x14ac:dyDescent="0.25">
      <c r="A20" s="62">
        <v>98008326</v>
      </c>
      <c r="B20" s="62" t="s">
        <v>2352</v>
      </c>
      <c r="C20" s="62" t="s">
        <v>32</v>
      </c>
      <c r="D20" s="62">
        <v>1</v>
      </c>
    </row>
    <row r="21" spans="1:4" x14ac:dyDescent="0.25">
      <c r="A21" s="62">
        <v>99000717</v>
      </c>
      <c r="B21" s="62" t="s">
        <v>2352</v>
      </c>
      <c r="C21" s="62" t="s">
        <v>78</v>
      </c>
      <c r="D21" s="62">
        <v>1</v>
      </c>
    </row>
    <row r="22" spans="1:4" x14ac:dyDescent="0.25">
      <c r="A22" s="62">
        <v>10023001</v>
      </c>
      <c r="B22" s="62" t="s">
        <v>2352</v>
      </c>
      <c r="C22" s="62" t="s">
        <v>1136</v>
      </c>
      <c r="D22" s="62">
        <v>1</v>
      </c>
    </row>
    <row r="23" spans="1:4" x14ac:dyDescent="0.25">
      <c r="A23" s="62">
        <v>14222171</v>
      </c>
      <c r="B23" s="62" t="s">
        <v>2352</v>
      </c>
      <c r="C23" s="62" t="s">
        <v>1136</v>
      </c>
      <c r="D23" s="62">
        <v>1</v>
      </c>
    </row>
    <row r="24" spans="1:4" x14ac:dyDescent="0.25">
      <c r="A24" s="62">
        <v>9140312</v>
      </c>
      <c r="B24" s="62" t="s">
        <v>2352</v>
      </c>
      <c r="C24" s="62" t="s">
        <v>38</v>
      </c>
      <c r="D24" s="62">
        <v>1</v>
      </c>
    </row>
    <row r="25" spans="1:4" x14ac:dyDescent="0.25">
      <c r="A25" s="62">
        <v>7103068</v>
      </c>
      <c r="B25" s="62" t="s">
        <v>2352</v>
      </c>
      <c r="C25" s="62" t="s">
        <v>45</v>
      </c>
      <c r="D25" s="62">
        <v>1</v>
      </c>
    </row>
    <row r="26" spans="1:4" x14ac:dyDescent="0.25">
      <c r="A26" s="62">
        <v>10030897</v>
      </c>
      <c r="B26" s="62" t="s">
        <v>2352</v>
      </c>
      <c r="C26" s="62" t="s">
        <v>2355</v>
      </c>
      <c r="D26" s="62">
        <v>6</v>
      </c>
    </row>
    <row r="27" spans="1:4" x14ac:dyDescent="0.25">
      <c r="A27" s="62">
        <v>324</v>
      </c>
      <c r="B27" s="62" t="s">
        <v>2352</v>
      </c>
      <c r="C27" s="62" t="s">
        <v>32</v>
      </c>
      <c r="D27" s="62">
        <v>1</v>
      </c>
    </row>
    <row r="28" spans="1:4" x14ac:dyDescent="0.25">
      <c r="A28" s="62">
        <v>3909</v>
      </c>
      <c r="B28" s="62" t="s">
        <v>2352</v>
      </c>
      <c r="C28" s="62" t="s">
        <v>1140</v>
      </c>
      <c r="D28" s="62">
        <v>1</v>
      </c>
    </row>
    <row r="29" spans="1:4" x14ac:dyDescent="0.25">
      <c r="A29" s="62">
        <v>1005522</v>
      </c>
      <c r="B29" s="62" t="s">
        <v>2352</v>
      </c>
      <c r="C29" s="62" t="s">
        <v>2356</v>
      </c>
      <c r="D29" s="62">
        <v>5</v>
      </c>
    </row>
    <row r="30" spans="1:4" x14ac:dyDescent="0.25">
      <c r="A30" s="62">
        <v>3016056</v>
      </c>
      <c r="B30" s="62" t="s">
        <v>2352</v>
      </c>
      <c r="C30" s="62" t="s">
        <v>2357</v>
      </c>
      <c r="D30" s="62">
        <v>2</v>
      </c>
    </row>
    <row r="31" spans="1:4" x14ac:dyDescent="0.25">
      <c r="A31" s="62">
        <v>4009906</v>
      </c>
      <c r="B31" s="62" t="s">
        <v>2352</v>
      </c>
      <c r="C31" s="62" t="s">
        <v>2358</v>
      </c>
      <c r="D31" s="62">
        <v>4</v>
      </c>
    </row>
    <row r="32" spans="1:4" x14ac:dyDescent="0.25">
      <c r="A32" s="62">
        <v>5004654</v>
      </c>
      <c r="B32" s="62" t="s">
        <v>2352</v>
      </c>
      <c r="C32" s="62" t="s">
        <v>33</v>
      </c>
      <c r="D32" s="62">
        <v>1</v>
      </c>
    </row>
    <row r="33" spans="1:4" x14ac:dyDescent="0.25">
      <c r="A33" s="62">
        <v>2003539</v>
      </c>
      <c r="B33" s="62" t="s">
        <v>2352</v>
      </c>
      <c r="C33" s="62" t="s">
        <v>1012</v>
      </c>
      <c r="D33" s="62">
        <v>1</v>
      </c>
    </row>
    <row r="34" spans="1:4" x14ac:dyDescent="0.25">
      <c r="A34" s="62">
        <v>3010583</v>
      </c>
      <c r="B34" s="62" t="s">
        <v>2352</v>
      </c>
      <c r="C34" s="62" t="s">
        <v>1027</v>
      </c>
      <c r="D34" s="62">
        <v>1</v>
      </c>
    </row>
    <row r="35" spans="1:4" x14ac:dyDescent="0.25">
      <c r="A35" s="62">
        <v>6015647</v>
      </c>
      <c r="B35" s="62" t="s">
        <v>2352</v>
      </c>
      <c r="C35" s="62" t="s">
        <v>32</v>
      </c>
      <c r="D35" s="62">
        <v>1</v>
      </c>
    </row>
    <row r="36" spans="1:4" x14ac:dyDescent="0.25">
      <c r="A36" s="62">
        <v>10102021</v>
      </c>
      <c r="B36" s="62" t="s">
        <v>2352</v>
      </c>
      <c r="C36" s="62" t="s">
        <v>57</v>
      </c>
      <c r="D36" s="62">
        <v>1</v>
      </c>
    </row>
    <row r="37" spans="1:4" x14ac:dyDescent="0.25">
      <c r="A37" s="62">
        <v>2012014</v>
      </c>
      <c r="B37" s="62" t="s">
        <v>2352</v>
      </c>
      <c r="C37" s="62" t="s">
        <v>2359</v>
      </c>
      <c r="D37" s="62">
        <v>2</v>
      </c>
    </row>
    <row r="38" spans="1:4" x14ac:dyDescent="0.25">
      <c r="A38" s="62">
        <v>5001097</v>
      </c>
      <c r="B38" s="62" t="s">
        <v>2352</v>
      </c>
      <c r="C38" s="62" t="s">
        <v>2360</v>
      </c>
      <c r="D38" s="62">
        <v>3</v>
      </c>
    </row>
    <row r="39" spans="1:4" x14ac:dyDescent="0.25">
      <c r="A39" s="62">
        <v>5001098</v>
      </c>
      <c r="B39" s="62" t="s">
        <v>2352</v>
      </c>
      <c r="C39" s="62" t="s">
        <v>2361</v>
      </c>
      <c r="D39" s="62">
        <v>2</v>
      </c>
    </row>
    <row r="40" spans="1:4" x14ac:dyDescent="0.25">
      <c r="A40" s="62">
        <v>7071198</v>
      </c>
      <c r="B40" s="62" t="s">
        <v>2352</v>
      </c>
      <c r="C40" s="62" t="s">
        <v>1137</v>
      </c>
      <c r="D40" s="62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4E10-CF70-47D7-A849-73F9145BB435}">
  <dimension ref="A1:BA239"/>
  <sheetViews>
    <sheetView workbookViewId="0">
      <selection activeCell="C22" sqref="C22"/>
    </sheetView>
  </sheetViews>
  <sheetFormatPr baseColWidth="10" defaultRowHeight="15" x14ac:dyDescent="0.25"/>
  <cols>
    <col min="1" max="1" width="17.140625" customWidth="1"/>
    <col min="2" max="2" width="31.7109375" customWidth="1"/>
    <col min="3" max="4" width="37.5703125" customWidth="1"/>
    <col min="5" max="6" width="32.140625" customWidth="1"/>
    <col min="7" max="7" width="37.5703125" customWidth="1"/>
    <col min="8" max="9" width="32.140625" customWidth="1"/>
    <col min="10" max="10" width="37.5703125" customWidth="1"/>
    <col min="11" max="14" width="32.140625" customWidth="1"/>
    <col min="15" max="15" width="31.140625" customWidth="1"/>
    <col min="16" max="16" width="36.5703125" customWidth="1"/>
    <col min="17" max="20" width="31.140625" customWidth="1"/>
    <col min="21" max="21" width="35.42578125" customWidth="1"/>
    <col min="22" max="22" width="27.5703125" customWidth="1"/>
    <col min="23" max="23" width="26.42578125" customWidth="1"/>
    <col min="27" max="27" width="14.28515625" customWidth="1"/>
    <col min="31" max="31" width="16.85546875" customWidth="1"/>
    <col min="35" max="35" width="16.85546875" customWidth="1"/>
    <col min="39" max="39" width="16.85546875" customWidth="1"/>
    <col min="44" max="44" width="16.85546875" customWidth="1"/>
    <col min="45" max="45" width="13.7109375" customWidth="1"/>
    <col min="46" max="47" width="19.5703125" customWidth="1"/>
    <col min="48" max="51" width="13.7109375" customWidth="1"/>
    <col min="52" max="52" width="19.5703125" customWidth="1"/>
    <col min="53" max="53" width="13.7109375" customWidth="1"/>
  </cols>
  <sheetData>
    <row r="1" spans="1:53" x14ac:dyDescent="0.25">
      <c r="A1" s="57" t="s">
        <v>43</v>
      </c>
      <c r="B1" s="58" t="s">
        <v>758</v>
      </c>
      <c r="C1" s="58" t="s">
        <v>1741</v>
      </c>
      <c r="D1" s="58" t="s">
        <v>1142</v>
      </c>
      <c r="E1" s="58" t="s">
        <v>714</v>
      </c>
      <c r="F1" s="58" t="s">
        <v>718</v>
      </c>
      <c r="G1" s="58" t="s">
        <v>1143</v>
      </c>
      <c r="H1" s="58" t="s">
        <v>930</v>
      </c>
      <c r="I1" s="58" t="s">
        <v>876</v>
      </c>
      <c r="J1" s="58" t="s">
        <v>1144</v>
      </c>
      <c r="K1" s="58" t="s">
        <v>895</v>
      </c>
      <c r="L1" s="58" t="s">
        <v>1585</v>
      </c>
      <c r="M1" s="58" t="s">
        <v>1427</v>
      </c>
      <c r="N1" s="58" t="s">
        <v>1369</v>
      </c>
      <c r="O1" s="58" t="s">
        <v>787</v>
      </c>
      <c r="P1" s="58" t="s">
        <v>1145</v>
      </c>
      <c r="Q1" s="58" t="s">
        <v>1414</v>
      </c>
      <c r="R1" s="58" t="s">
        <v>1415</v>
      </c>
      <c r="S1" s="58" t="s">
        <v>997</v>
      </c>
      <c r="T1" s="58" t="s">
        <v>1445</v>
      </c>
      <c r="U1" s="58" t="s">
        <v>1146</v>
      </c>
      <c r="V1" s="58" t="s">
        <v>1161</v>
      </c>
      <c r="W1" s="59" t="s">
        <v>1162</v>
      </c>
      <c r="X1" s="58" t="s">
        <v>1147</v>
      </c>
      <c r="Y1" s="58" t="s">
        <v>62</v>
      </c>
      <c r="Z1" s="58" t="s">
        <v>63</v>
      </c>
      <c r="AA1" s="58" t="s">
        <v>1148</v>
      </c>
      <c r="AB1" s="58" t="s">
        <v>44</v>
      </c>
      <c r="AC1" s="58" t="s">
        <v>956</v>
      </c>
      <c r="AD1" s="58" t="s">
        <v>976</v>
      </c>
      <c r="AE1" s="58" t="s">
        <v>1149</v>
      </c>
      <c r="AF1" s="58" t="s">
        <v>539</v>
      </c>
      <c r="AG1" s="58" t="s">
        <v>980</v>
      </c>
      <c r="AH1" s="58" t="s">
        <v>64</v>
      </c>
      <c r="AI1" s="58" t="s">
        <v>1150</v>
      </c>
      <c r="AJ1" s="58" t="s">
        <v>127</v>
      </c>
      <c r="AK1" s="58" t="s">
        <v>794</v>
      </c>
      <c r="AL1" s="58" t="s">
        <v>719</v>
      </c>
      <c r="AM1" s="58" t="s">
        <v>1151</v>
      </c>
      <c r="AN1" s="58" t="s">
        <v>1360</v>
      </c>
      <c r="AO1" s="58" t="s">
        <v>715</v>
      </c>
      <c r="AP1" s="58" t="s">
        <v>726</v>
      </c>
      <c r="AQ1" s="58" t="s">
        <v>1020</v>
      </c>
      <c r="AR1" s="58" t="s">
        <v>1152</v>
      </c>
      <c r="AS1" s="58" t="s">
        <v>965</v>
      </c>
      <c r="AT1" s="58" t="s">
        <v>1722</v>
      </c>
      <c r="AU1" s="58" t="s">
        <v>1153</v>
      </c>
      <c r="AV1" s="58" t="s">
        <v>889</v>
      </c>
      <c r="AW1" s="58" t="s">
        <v>966</v>
      </c>
      <c r="AX1" s="58" t="s">
        <v>1732</v>
      </c>
      <c r="AY1" s="58" t="s">
        <v>1155</v>
      </c>
      <c r="AZ1" s="58" t="s">
        <v>1154</v>
      </c>
      <c r="BA1" s="58" t="s">
        <v>1156</v>
      </c>
    </row>
    <row r="2" spans="1:53" x14ac:dyDescent="0.25">
      <c r="A2" s="40" t="s">
        <v>512</v>
      </c>
    </row>
    <row r="3" spans="1:53" x14ac:dyDescent="0.25">
      <c r="A3" s="10" t="s">
        <v>1868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x14ac:dyDescent="0.25">
      <c r="A4" s="48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>
        <v>8</v>
      </c>
    </row>
    <row r="5" spans="1:53" x14ac:dyDescent="0.25">
      <c r="A5" s="48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x14ac:dyDescent="0.25">
      <c r="A6" s="48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x14ac:dyDescent="0.25">
      <c r="A7" s="48">
        <v>95005911</v>
      </c>
    </row>
    <row r="8" spans="1:53" x14ac:dyDescent="0.25">
      <c r="A8" s="48">
        <v>99001908</v>
      </c>
    </row>
    <row r="9" spans="1:53" x14ac:dyDescent="0.25">
      <c r="A9" s="48">
        <v>99004067</v>
      </c>
    </row>
    <row r="10" spans="1:53" x14ac:dyDescent="0.25">
      <c r="A10" s="48">
        <v>97002136</v>
      </c>
    </row>
    <row r="11" spans="1:53" x14ac:dyDescent="0.25">
      <c r="A11" s="48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x14ac:dyDescent="0.25">
      <c r="A12" s="48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x14ac:dyDescent="0.25">
      <c r="A13" s="48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x14ac:dyDescent="0.25">
      <c r="A14" s="48"/>
    </row>
    <row r="15" spans="1:53" x14ac:dyDescent="0.25">
      <c r="A15" s="50" t="s">
        <v>1869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x14ac:dyDescent="0.25">
      <c r="A16" s="48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>
        <v>12.1</v>
      </c>
    </row>
    <row r="17" spans="1:53" x14ac:dyDescent="0.25">
      <c r="A17" s="48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53" x14ac:dyDescent="0.25">
      <c r="A18" s="4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7"/>
      <c r="X18" s="7"/>
      <c r="Y18" s="7"/>
      <c r="Z18" s="7"/>
      <c r="AA18">
        <v>14.1</v>
      </c>
      <c r="AB18">
        <v>8</v>
      </c>
      <c r="AS18">
        <v>12.3</v>
      </c>
    </row>
    <row r="19" spans="1:53" x14ac:dyDescent="0.25">
      <c r="A19" s="48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x14ac:dyDescent="0.25">
      <c r="A20" s="49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spans="1:53" x14ac:dyDescent="0.25">
      <c r="A21" s="50" t="s">
        <v>1870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 x14ac:dyDescent="0.25">
      <c r="A22" s="48">
        <v>1480</v>
      </c>
    </row>
    <row r="23" spans="1:53" x14ac:dyDescent="0.25">
      <c r="A23" s="48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 spans="1:53" x14ac:dyDescent="0.25">
      <c r="A24" s="48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8">
        <v>14</v>
      </c>
      <c r="W24" s="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spans="1:53" x14ac:dyDescent="0.25">
      <c r="A25" s="48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 spans="1:53" x14ac:dyDescent="0.25">
      <c r="A26" s="48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 spans="1:53" x14ac:dyDescent="0.25">
      <c r="A27" s="48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 spans="1:53" x14ac:dyDescent="0.25">
      <c r="A28" s="4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 spans="1:53" x14ac:dyDescent="0.25">
      <c r="A29" s="48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</row>
    <row r="30" spans="1:53" x14ac:dyDescent="0.25">
      <c r="A30" s="48">
        <v>99000897</v>
      </c>
    </row>
    <row r="31" spans="1:53" x14ac:dyDescent="0.25">
      <c r="A31" s="48">
        <v>99001245</v>
      </c>
    </row>
    <row r="32" spans="1:53" x14ac:dyDescent="0.25">
      <c r="A32" s="48">
        <v>99001902</v>
      </c>
    </row>
    <row r="33" spans="1:53" x14ac:dyDescent="0.25">
      <c r="A33" s="48">
        <v>99001912</v>
      </c>
    </row>
    <row r="34" spans="1:53" x14ac:dyDescent="0.25">
      <c r="A34" s="48">
        <v>99001913</v>
      </c>
    </row>
    <row r="35" spans="1:53" x14ac:dyDescent="0.25">
      <c r="A35" s="48">
        <v>99001937</v>
      </c>
    </row>
    <row r="36" spans="1:53" x14ac:dyDescent="0.25">
      <c r="A36" s="48">
        <v>99001943</v>
      </c>
    </row>
    <row r="37" spans="1:53" x14ac:dyDescent="0.25">
      <c r="A37" s="48">
        <v>99001927</v>
      </c>
    </row>
    <row r="38" spans="1:53" x14ac:dyDescent="0.25">
      <c r="A38" s="4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 spans="1:53" x14ac:dyDescent="0.25">
      <c r="A39" s="48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53" x14ac:dyDescent="0.25">
      <c r="A40" s="48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>
        <v>15.2</v>
      </c>
      <c r="Y40">
        <v>14.4</v>
      </c>
      <c r="Z40">
        <v>13.4</v>
      </c>
      <c r="AA40" s="6"/>
      <c r="AB40">
        <v>11.8</v>
      </c>
      <c r="AE40">
        <v>10.7</v>
      </c>
      <c r="AH40">
        <v>8.6</v>
      </c>
      <c r="AJ40">
        <v>10.5</v>
      </c>
      <c r="AM40">
        <v>10</v>
      </c>
      <c r="AS40" s="7"/>
      <c r="AT40" s="7"/>
      <c r="AU40" s="7"/>
      <c r="AV40" s="7"/>
      <c r="AW40" s="7"/>
      <c r="AX40" s="7"/>
      <c r="AY40" s="7"/>
      <c r="AZ40" s="7"/>
      <c r="BA40" s="7"/>
    </row>
    <row r="41" spans="1:53" x14ac:dyDescent="0.25">
      <c r="A41" s="48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 spans="1:53" x14ac:dyDescent="0.25">
      <c r="A42" s="48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 spans="1:53" x14ac:dyDescent="0.25">
      <c r="A43" s="4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1:53" x14ac:dyDescent="0.25">
      <c r="A44" s="25" t="s">
        <v>129</v>
      </c>
    </row>
    <row r="45" spans="1:53" x14ac:dyDescent="0.25">
      <c r="A45" s="50" t="s">
        <v>106</v>
      </c>
    </row>
    <row r="46" spans="1:53" x14ac:dyDescent="0.25">
      <c r="A46" s="48">
        <v>6016435</v>
      </c>
      <c r="X46">
        <v>9.3000000000000007</v>
      </c>
    </row>
    <row r="47" spans="1:53" x14ac:dyDescent="0.25">
      <c r="A47" s="48">
        <v>8045149</v>
      </c>
    </row>
    <row r="48" spans="1:53" x14ac:dyDescent="0.25">
      <c r="A48" s="48">
        <v>10023001</v>
      </c>
      <c r="V48">
        <v>14</v>
      </c>
    </row>
    <row r="49" spans="1:53" x14ac:dyDescent="0.25">
      <c r="A49" s="48">
        <v>10027526</v>
      </c>
    </row>
    <row r="50" spans="1:53" x14ac:dyDescent="0.25">
      <c r="A50" s="48">
        <v>14222171</v>
      </c>
      <c r="V50">
        <v>13</v>
      </c>
    </row>
    <row r="51" spans="1:53" x14ac:dyDescent="0.25">
      <c r="A51" s="48">
        <v>1006143</v>
      </c>
      <c r="V51">
        <v>17.7</v>
      </c>
    </row>
    <row r="52" spans="1:53" x14ac:dyDescent="0.25">
      <c r="A52" s="48">
        <v>6006917</v>
      </c>
    </row>
    <row r="53" spans="1:53" x14ac:dyDescent="0.25">
      <c r="A53" s="48"/>
    </row>
    <row r="54" spans="1:53" x14ac:dyDescent="0.25">
      <c r="A54" s="50" t="s">
        <v>109</v>
      </c>
    </row>
    <row r="55" spans="1:53" x14ac:dyDescent="0.25">
      <c r="A55" s="48">
        <v>8057159</v>
      </c>
    </row>
    <row r="56" spans="1:53" x14ac:dyDescent="0.25">
      <c r="A56" s="48">
        <v>9140312</v>
      </c>
      <c r="Y56">
        <v>11.6</v>
      </c>
    </row>
    <row r="57" spans="1:53" x14ac:dyDescent="0.25">
      <c r="A57" s="48">
        <v>12008230</v>
      </c>
    </row>
    <row r="58" spans="1:53" x14ac:dyDescent="0.25">
      <c r="A58" s="48">
        <v>12088444</v>
      </c>
      <c r="Z58">
        <v>13.1</v>
      </c>
      <c r="AF58">
        <v>12.5</v>
      </c>
      <c r="AY58">
        <v>12.3</v>
      </c>
      <c r="BA58">
        <v>12.7</v>
      </c>
    </row>
    <row r="59" spans="1:53" x14ac:dyDescent="0.25">
      <c r="A59" s="48">
        <v>13118872</v>
      </c>
    </row>
    <row r="60" spans="1:53" x14ac:dyDescent="0.25">
      <c r="A60" s="48">
        <v>12012030</v>
      </c>
    </row>
    <row r="61" spans="1:53" x14ac:dyDescent="0.25">
      <c r="A61" s="48"/>
    </row>
    <row r="62" spans="1:53" x14ac:dyDescent="0.25">
      <c r="A62" s="50" t="s">
        <v>83</v>
      </c>
    </row>
    <row r="63" spans="1:53" x14ac:dyDescent="0.25">
      <c r="A63" s="48">
        <v>9074418</v>
      </c>
    </row>
    <row r="64" spans="1:53" x14ac:dyDescent="0.25">
      <c r="A64" s="48">
        <v>1263</v>
      </c>
    </row>
    <row r="65" spans="1:53" x14ac:dyDescent="0.25">
      <c r="A65" s="48">
        <v>98004910</v>
      </c>
    </row>
    <row r="66" spans="1:53" x14ac:dyDescent="0.25">
      <c r="A66" s="48">
        <v>7103068</v>
      </c>
    </row>
    <row r="67" spans="1:53" x14ac:dyDescent="0.25">
      <c r="A67" s="48">
        <v>11240728</v>
      </c>
    </row>
    <row r="68" spans="1:53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 spans="1:53" x14ac:dyDescent="0.25">
      <c r="A69" s="26" t="s">
        <v>130</v>
      </c>
    </row>
    <row r="70" spans="1:53" x14ac:dyDescent="0.25">
      <c r="A70" s="10" t="s">
        <v>106</v>
      </c>
    </row>
    <row r="71" spans="1:53" x14ac:dyDescent="0.25">
      <c r="A71" s="48">
        <v>5015869</v>
      </c>
    </row>
    <row r="72" spans="1:53" x14ac:dyDescent="0.25">
      <c r="A72" s="48">
        <v>5016969</v>
      </c>
      <c r="W72">
        <v>8.1999999999999993</v>
      </c>
    </row>
    <row r="73" spans="1:53" x14ac:dyDescent="0.25">
      <c r="A73" s="48">
        <v>6023231</v>
      </c>
    </row>
    <row r="74" spans="1:53" x14ac:dyDescent="0.25">
      <c r="A74" s="48">
        <v>6010712</v>
      </c>
      <c r="V74">
        <v>7.3</v>
      </c>
    </row>
    <row r="75" spans="1:53" x14ac:dyDescent="0.25">
      <c r="A75" s="48">
        <v>6011198</v>
      </c>
      <c r="V75">
        <v>4.5999999999999996</v>
      </c>
    </row>
    <row r="76" spans="1:53" x14ac:dyDescent="0.25">
      <c r="A76" s="48">
        <v>6012681</v>
      </c>
      <c r="U76">
        <v>11.2</v>
      </c>
      <c r="W76">
        <v>8.1</v>
      </c>
      <c r="X76">
        <v>6.6</v>
      </c>
      <c r="Y76">
        <v>8.5</v>
      </c>
      <c r="AJ76">
        <v>11.7</v>
      </c>
    </row>
    <row r="77" spans="1:53" x14ac:dyDescent="0.25">
      <c r="A77" s="48">
        <v>6014511</v>
      </c>
    </row>
    <row r="78" spans="1:53" x14ac:dyDescent="0.25">
      <c r="A78" s="48">
        <v>6045127</v>
      </c>
    </row>
    <row r="79" spans="1:53" x14ac:dyDescent="0.25">
      <c r="A79" s="48">
        <v>7000458</v>
      </c>
    </row>
    <row r="80" spans="1:53" x14ac:dyDescent="0.25">
      <c r="A80" s="48">
        <v>7015502</v>
      </c>
    </row>
    <row r="81" spans="1:42" x14ac:dyDescent="0.25">
      <c r="A81" s="48">
        <v>7025847</v>
      </c>
    </row>
    <row r="82" spans="1:42" x14ac:dyDescent="0.25">
      <c r="A82" s="48">
        <v>7082707</v>
      </c>
    </row>
    <row r="83" spans="1:42" x14ac:dyDescent="0.25">
      <c r="A83" s="48">
        <v>7083159</v>
      </c>
    </row>
    <row r="84" spans="1:42" x14ac:dyDescent="0.25">
      <c r="A84" s="48">
        <v>7084659</v>
      </c>
    </row>
    <row r="85" spans="1:42" x14ac:dyDescent="0.25">
      <c r="A85" s="48">
        <v>7076814</v>
      </c>
      <c r="E85">
        <v>10.3</v>
      </c>
      <c r="W85">
        <v>7.7</v>
      </c>
      <c r="X85">
        <v>7.3</v>
      </c>
      <c r="AO85">
        <v>8.8000000000000007</v>
      </c>
    </row>
    <row r="86" spans="1:42" x14ac:dyDescent="0.25">
      <c r="A86" s="48">
        <v>7076815</v>
      </c>
      <c r="F86">
        <v>19.3368</v>
      </c>
      <c r="J86">
        <v>11.9244</v>
      </c>
      <c r="W86">
        <v>8.8627000000000002</v>
      </c>
      <c r="AE86">
        <v>10.4741</v>
      </c>
      <c r="AL86">
        <v>12.246600000000001</v>
      </c>
    </row>
    <row r="87" spans="1:42" x14ac:dyDescent="0.25">
      <c r="A87" s="48">
        <v>7089231</v>
      </c>
      <c r="V87">
        <v>9.3000000000000007</v>
      </c>
    </row>
    <row r="88" spans="1:42" x14ac:dyDescent="0.25">
      <c r="A88" s="48">
        <v>7116004</v>
      </c>
    </row>
    <row r="89" spans="1:42" x14ac:dyDescent="0.25">
      <c r="A89" s="48">
        <v>8003819</v>
      </c>
    </row>
    <row r="90" spans="1:42" x14ac:dyDescent="0.25">
      <c r="A90" s="48">
        <v>8091779</v>
      </c>
      <c r="V90" s="48"/>
    </row>
    <row r="91" spans="1:42" x14ac:dyDescent="0.25">
      <c r="A91" s="48">
        <v>8097989</v>
      </c>
    </row>
    <row r="92" spans="1:42" x14ac:dyDescent="0.25">
      <c r="A92" s="48">
        <v>8112522</v>
      </c>
    </row>
    <row r="93" spans="1:42" x14ac:dyDescent="0.25">
      <c r="A93" s="48">
        <v>8127397</v>
      </c>
      <c r="V93">
        <v>2.6</v>
      </c>
    </row>
    <row r="94" spans="1:42" x14ac:dyDescent="0.25">
      <c r="A94" s="48">
        <v>8130998</v>
      </c>
    </row>
    <row r="95" spans="1:42" x14ac:dyDescent="0.25">
      <c r="A95" s="48">
        <v>9002836</v>
      </c>
    </row>
    <row r="96" spans="1:42" x14ac:dyDescent="0.25">
      <c r="A96" s="48">
        <v>9003331</v>
      </c>
      <c r="AP96">
        <v>16.5974</v>
      </c>
    </row>
    <row r="97" spans="1:44" x14ac:dyDescent="0.25">
      <c r="A97" s="48">
        <v>9003370</v>
      </c>
      <c r="W97">
        <v>14.293100000000001</v>
      </c>
    </row>
    <row r="98" spans="1:44" x14ac:dyDescent="0.25">
      <c r="A98" s="48">
        <v>9016278</v>
      </c>
      <c r="B98" s="3">
        <v>11.9244</v>
      </c>
      <c r="C98" s="3"/>
      <c r="P98" s="3">
        <v>12.246600000000001</v>
      </c>
      <c r="Q98" s="3"/>
      <c r="R98" s="3"/>
      <c r="S98" s="3"/>
      <c r="T98" s="3"/>
      <c r="Y98" s="3">
        <v>11.2798</v>
      </c>
    </row>
    <row r="99" spans="1:44" x14ac:dyDescent="0.25">
      <c r="A99" s="48">
        <v>9030684</v>
      </c>
      <c r="W99">
        <v>7.1</v>
      </c>
      <c r="X99">
        <v>8.9</v>
      </c>
      <c r="AH99">
        <v>11.3</v>
      </c>
    </row>
    <row r="100" spans="1:44" x14ac:dyDescent="0.25">
      <c r="A100" s="48">
        <v>9031387</v>
      </c>
      <c r="AP100">
        <v>14.2</v>
      </c>
    </row>
    <row r="101" spans="1:44" x14ac:dyDescent="0.25">
      <c r="A101" s="48">
        <v>9038676</v>
      </c>
      <c r="W101" s="3">
        <v>14.986000000000001</v>
      </c>
      <c r="Y101" s="3">
        <v>13.374599999999999</v>
      </c>
    </row>
    <row r="102" spans="1:44" x14ac:dyDescent="0.25">
      <c r="A102" s="48">
        <v>9039416</v>
      </c>
      <c r="Z102" s="3">
        <v>10.1518</v>
      </c>
      <c r="AA102">
        <v>9.0237999999999996</v>
      </c>
      <c r="AH102" s="3">
        <v>8.5404</v>
      </c>
      <c r="AI102" s="3"/>
      <c r="AR102" s="3">
        <v>9.8294999999999995</v>
      </c>
    </row>
    <row r="103" spans="1:44" x14ac:dyDescent="0.25">
      <c r="A103" s="48">
        <v>9042861</v>
      </c>
    </row>
    <row r="104" spans="1:44" x14ac:dyDescent="0.25">
      <c r="A104" s="48">
        <v>9044899</v>
      </c>
      <c r="O104">
        <v>11.9</v>
      </c>
      <c r="U104">
        <v>10.8</v>
      </c>
      <c r="W104">
        <v>12.6</v>
      </c>
      <c r="Y104">
        <v>12.5</v>
      </c>
      <c r="AE104">
        <v>12.7</v>
      </c>
    </row>
    <row r="105" spans="1:44" x14ac:dyDescent="0.25">
      <c r="A105" s="48">
        <v>9052398</v>
      </c>
      <c r="W105" s="3">
        <v>12.1983</v>
      </c>
    </row>
    <row r="106" spans="1:44" x14ac:dyDescent="0.25">
      <c r="A106" s="48">
        <v>9085204</v>
      </c>
    </row>
    <row r="107" spans="1:44" x14ac:dyDescent="0.25">
      <c r="A107" s="48">
        <v>9090323</v>
      </c>
    </row>
    <row r="108" spans="1:44" x14ac:dyDescent="0.25">
      <c r="A108" s="48">
        <v>9105492</v>
      </c>
    </row>
    <row r="109" spans="1:44" x14ac:dyDescent="0.25">
      <c r="A109" s="48">
        <v>9138470</v>
      </c>
    </row>
    <row r="110" spans="1:44" x14ac:dyDescent="0.25">
      <c r="A110" s="48">
        <v>9150676</v>
      </c>
    </row>
    <row r="111" spans="1:44" x14ac:dyDescent="0.25">
      <c r="A111" s="48">
        <v>10010926</v>
      </c>
      <c r="W111" s="3">
        <v>10.313000000000001</v>
      </c>
      <c r="X111" s="3">
        <v>9.3460999999999999</v>
      </c>
      <c r="Y111" s="3">
        <v>9.3460999999999999</v>
      </c>
      <c r="AE111" s="3">
        <v>8.2180999999999997</v>
      </c>
      <c r="AI111" s="3">
        <v>10.9575</v>
      </c>
      <c r="AK111">
        <v>9.8294999999999995</v>
      </c>
    </row>
    <row r="112" spans="1:44" x14ac:dyDescent="0.25">
      <c r="A112" s="48">
        <v>10016588</v>
      </c>
    </row>
    <row r="113" spans="1:48" x14ac:dyDescent="0.25">
      <c r="A113" s="48">
        <v>10030897</v>
      </c>
      <c r="I113">
        <v>12.9</v>
      </c>
      <c r="W113">
        <v>12.4</v>
      </c>
      <c r="AB113">
        <v>13.1</v>
      </c>
      <c r="AJ113">
        <v>14</v>
      </c>
    </row>
    <row r="114" spans="1:48" x14ac:dyDescent="0.25">
      <c r="A114" s="48">
        <v>324</v>
      </c>
      <c r="W114">
        <v>15.3</v>
      </c>
    </row>
    <row r="115" spans="1:48" x14ac:dyDescent="0.25">
      <c r="A115" s="48">
        <v>3909</v>
      </c>
      <c r="AA115">
        <v>12.9</v>
      </c>
      <c r="AV115">
        <v>14.7</v>
      </c>
    </row>
    <row r="116" spans="1:48" x14ac:dyDescent="0.25">
      <c r="A116" s="48">
        <v>4663</v>
      </c>
    </row>
    <row r="117" spans="1:48" x14ac:dyDescent="0.25">
      <c r="A117" s="48">
        <v>1005522</v>
      </c>
      <c r="G117">
        <v>15.2</v>
      </c>
      <c r="K117">
        <v>15.2</v>
      </c>
      <c r="W117">
        <v>15.4</v>
      </c>
      <c r="AE117">
        <v>15</v>
      </c>
      <c r="AK117">
        <v>14.9</v>
      </c>
    </row>
    <row r="118" spans="1:48" x14ac:dyDescent="0.25">
      <c r="A118" s="48">
        <v>1007631</v>
      </c>
      <c r="X118">
        <v>14</v>
      </c>
    </row>
    <row r="119" spans="1:48" x14ac:dyDescent="0.25">
      <c r="A119" s="48">
        <v>1009760</v>
      </c>
      <c r="Z119">
        <v>13.8</v>
      </c>
      <c r="AF119">
        <v>13.6</v>
      </c>
      <c r="AH119">
        <v>13.7</v>
      </c>
      <c r="AL119">
        <v>13.9</v>
      </c>
    </row>
    <row r="120" spans="1:48" x14ac:dyDescent="0.25">
      <c r="A120" s="48">
        <v>2000646</v>
      </c>
    </row>
    <row r="121" spans="1:48" x14ac:dyDescent="0.25">
      <c r="A121" s="48">
        <v>2003761</v>
      </c>
      <c r="W121">
        <v>6</v>
      </c>
    </row>
    <row r="122" spans="1:48" x14ac:dyDescent="0.25">
      <c r="A122" s="48">
        <v>2004061</v>
      </c>
    </row>
    <row r="123" spans="1:48" x14ac:dyDescent="0.25">
      <c r="A123" s="48">
        <v>2006469</v>
      </c>
    </row>
    <row r="124" spans="1:48" x14ac:dyDescent="0.25">
      <c r="A124" s="48">
        <v>3005132</v>
      </c>
      <c r="W124">
        <v>11.5</v>
      </c>
    </row>
    <row r="125" spans="1:48" x14ac:dyDescent="0.25">
      <c r="A125" s="48">
        <v>3009119</v>
      </c>
    </row>
    <row r="126" spans="1:48" x14ac:dyDescent="0.25">
      <c r="A126" s="48">
        <v>3009936</v>
      </c>
    </row>
    <row r="127" spans="1:48" x14ac:dyDescent="0.25">
      <c r="A127" s="48">
        <v>3011094</v>
      </c>
      <c r="W127">
        <v>18.2</v>
      </c>
      <c r="Y127">
        <v>15.9</v>
      </c>
    </row>
    <row r="128" spans="1:48" x14ac:dyDescent="0.25">
      <c r="A128" s="48">
        <v>3014643</v>
      </c>
    </row>
    <row r="129" spans="1:49" x14ac:dyDescent="0.25">
      <c r="A129" s="48">
        <v>3016056</v>
      </c>
      <c r="W129">
        <v>13.3</v>
      </c>
    </row>
    <row r="130" spans="1:49" x14ac:dyDescent="0.25">
      <c r="A130" s="48">
        <v>3900219</v>
      </c>
    </row>
    <row r="131" spans="1:49" x14ac:dyDescent="0.25">
      <c r="A131" s="48">
        <v>4000158</v>
      </c>
    </row>
    <row r="132" spans="1:49" x14ac:dyDescent="0.25">
      <c r="A132" s="48">
        <v>4000304</v>
      </c>
    </row>
    <row r="133" spans="1:49" x14ac:dyDescent="0.25">
      <c r="A133" s="48">
        <v>4001905</v>
      </c>
    </row>
    <row r="134" spans="1:49" x14ac:dyDescent="0.25">
      <c r="A134" s="48">
        <v>4002206</v>
      </c>
      <c r="W134" s="3">
        <v>16.500699999999998</v>
      </c>
      <c r="AB134" s="3">
        <v>14.696</v>
      </c>
      <c r="AC134" s="3"/>
      <c r="AD134" s="3"/>
    </row>
    <row r="135" spans="1:49" x14ac:dyDescent="0.25">
      <c r="A135" s="48">
        <v>4002715</v>
      </c>
    </row>
    <row r="136" spans="1:49" x14ac:dyDescent="0.25">
      <c r="A136" s="48">
        <v>4003924</v>
      </c>
    </row>
    <row r="137" spans="1:49" x14ac:dyDescent="0.25">
      <c r="A137" s="48">
        <v>4006051</v>
      </c>
      <c r="W137">
        <v>11.6</v>
      </c>
      <c r="AC137">
        <v>3.3</v>
      </c>
    </row>
    <row r="138" spans="1:49" x14ac:dyDescent="0.25">
      <c r="A138" s="48">
        <v>4008140</v>
      </c>
      <c r="V138">
        <v>12</v>
      </c>
    </row>
    <row r="139" spans="1:49" x14ac:dyDescent="0.25">
      <c r="A139" s="48">
        <v>4009906</v>
      </c>
      <c r="X139">
        <v>13.4</v>
      </c>
      <c r="AS139">
        <v>12.1</v>
      </c>
      <c r="AW139">
        <v>12.9</v>
      </c>
    </row>
    <row r="140" spans="1:49" x14ac:dyDescent="0.25">
      <c r="A140" s="48">
        <v>4011027</v>
      </c>
      <c r="X140" s="3">
        <v>8.0570000000000004</v>
      </c>
      <c r="Y140" s="3">
        <v>9.5073000000000008</v>
      </c>
      <c r="Z140" s="3">
        <v>10.635199999999999</v>
      </c>
      <c r="AD140" s="3">
        <v>10.9575</v>
      </c>
      <c r="AK140" s="3">
        <v>11.440899999999999</v>
      </c>
    </row>
    <row r="141" spans="1:49" x14ac:dyDescent="0.25">
      <c r="A141" s="48">
        <v>4011920</v>
      </c>
    </row>
    <row r="142" spans="1:49" x14ac:dyDescent="0.25">
      <c r="A142" s="48">
        <v>4012248</v>
      </c>
    </row>
    <row r="143" spans="1:49" x14ac:dyDescent="0.25">
      <c r="A143" s="48">
        <v>4013603</v>
      </c>
    </row>
    <row r="144" spans="1:49" x14ac:dyDescent="0.25">
      <c r="A144" s="48">
        <v>5004654</v>
      </c>
      <c r="X144" s="3">
        <v>11.6988</v>
      </c>
      <c r="Z144">
        <v>10.200200000000001</v>
      </c>
      <c r="AA144" s="3">
        <v>9.2655999999999992</v>
      </c>
      <c r="AB144" s="3">
        <v>12.101599999999999</v>
      </c>
      <c r="AC144" s="3">
        <v>11.2959</v>
      </c>
      <c r="AE144" s="3">
        <v>11.6988</v>
      </c>
      <c r="AG144" s="3">
        <v>11.3926</v>
      </c>
      <c r="AK144" s="3">
        <v>11.5054</v>
      </c>
    </row>
    <row r="145" spans="1:43" x14ac:dyDescent="0.25">
      <c r="A145" s="52"/>
    </row>
    <row r="146" spans="1:43" x14ac:dyDescent="0.25">
      <c r="A146" s="50" t="s">
        <v>109</v>
      </c>
    </row>
    <row r="147" spans="1:43" x14ac:dyDescent="0.25">
      <c r="A147" s="48">
        <v>4289</v>
      </c>
    </row>
    <row r="148" spans="1:43" x14ac:dyDescent="0.25">
      <c r="A148" s="48">
        <v>500245</v>
      </c>
      <c r="W148" s="3">
        <v>12.7301</v>
      </c>
      <c r="Z148" s="3">
        <v>12.0855</v>
      </c>
      <c r="AF148" s="3">
        <v>13.858000000000001</v>
      </c>
    </row>
    <row r="149" spans="1:43" x14ac:dyDescent="0.25">
      <c r="A149" s="48">
        <v>2002573</v>
      </c>
      <c r="T149" s="3"/>
      <c r="AD149" s="3">
        <v>13.858000000000001</v>
      </c>
    </row>
    <row r="150" spans="1:43" x14ac:dyDescent="0.25">
      <c r="A150" s="48">
        <v>2003539</v>
      </c>
    </row>
    <row r="151" spans="1:43" x14ac:dyDescent="0.25">
      <c r="A151" s="48">
        <v>2003649</v>
      </c>
    </row>
    <row r="152" spans="1:43" x14ac:dyDescent="0.25">
      <c r="A152" s="48">
        <v>2005572</v>
      </c>
      <c r="W152" s="3">
        <v>15.1472</v>
      </c>
      <c r="Y152" s="3">
        <v>15.630599999999999</v>
      </c>
      <c r="AB152" s="3">
        <v>14.986000000000001</v>
      </c>
    </row>
    <row r="153" spans="1:43" x14ac:dyDescent="0.25">
      <c r="A153" s="48">
        <v>2013117</v>
      </c>
    </row>
    <row r="154" spans="1:43" x14ac:dyDescent="0.25">
      <c r="A154" s="48">
        <v>3009633</v>
      </c>
      <c r="AK154" s="3">
        <v>14.293100000000001</v>
      </c>
      <c r="AO154" s="3">
        <v>14.599299999999999</v>
      </c>
      <c r="AQ154" s="3">
        <v>14.0031</v>
      </c>
    </row>
    <row r="155" spans="1:43" x14ac:dyDescent="0.25">
      <c r="A155" s="48">
        <v>3010583</v>
      </c>
    </row>
    <row r="156" spans="1:43" x14ac:dyDescent="0.25">
      <c r="A156" s="23">
        <v>3011892</v>
      </c>
      <c r="AF156" s="3">
        <v>14.502599999999999</v>
      </c>
    </row>
    <row r="157" spans="1:43" x14ac:dyDescent="0.25">
      <c r="A157">
        <v>4001382</v>
      </c>
    </row>
    <row r="158" spans="1:43" x14ac:dyDescent="0.25">
      <c r="A158" s="48">
        <v>5018675</v>
      </c>
    </row>
    <row r="159" spans="1:43" x14ac:dyDescent="0.25">
      <c r="A159" s="48">
        <v>6050168</v>
      </c>
    </row>
    <row r="160" spans="1:43" x14ac:dyDescent="0.25">
      <c r="A160" s="48">
        <v>5006592</v>
      </c>
    </row>
    <row r="161" spans="1:40" x14ac:dyDescent="0.25">
      <c r="A161" s="48">
        <v>5007274</v>
      </c>
    </row>
    <row r="162" spans="1:40" x14ac:dyDescent="0.25">
      <c r="A162" s="48">
        <v>5015851</v>
      </c>
    </row>
    <row r="163" spans="1:40" x14ac:dyDescent="0.25">
      <c r="A163" s="48">
        <v>6015647</v>
      </c>
      <c r="W163">
        <v>16</v>
      </c>
      <c r="Y163">
        <v>15.2</v>
      </c>
      <c r="Z163">
        <v>14.5</v>
      </c>
      <c r="AC163">
        <v>15.2</v>
      </c>
      <c r="AF163">
        <v>14.7</v>
      </c>
      <c r="AK163">
        <v>13.5</v>
      </c>
      <c r="AN163">
        <v>13.6</v>
      </c>
    </row>
    <row r="164" spans="1:40" x14ac:dyDescent="0.25">
      <c r="A164" s="48">
        <v>6056633</v>
      </c>
      <c r="V164" s="48"/>
    </row>
    <row r="165" spans="1:40" x14ac:dyDescent="0.25">
      <c r="A165" s="48">
        <v>7086224</v>
      </c>
      <c r="AG165">
        <v>13.29</v>
      </c>
    </row>
    <row r="166" spans="1:40" x14ac:dyDescent="0.25">
      <c r="A166" s="48">
        <v>8040959</v>
      </c>
    </row>
    <row r="167" spans="1:40" x14ac:dyDescent="0.25">
      <c r="A167" s="48">
        <v>8107048</v>
      </c>
    </row>
    <row r="168" spans="1:40" x14ac:dyDescent="0.25">
      <c r="A168" s="48">
        <v>8124044</v>
      </c>
    </row>
    <row r="169" spans="1:40" x14ac:dyDescent="0.25">
      <c r="A169" s="48">
        <v>8142949</v>
      </c>
    </row>
    <row r="170" spans="1:40" x14ac:dyDescent="0.25">
      <c r="A170" s="48">
        <v>9023306</v>
      </c>
    </row>
    <row r="171" spans="1:40" x14ac:dyDescent="0.25">
      <c r="A171" s="48">
        <v>9030615</v>
      </c>
      <c r="Z171">
        <v>13.91</v>
      </c>
      <c r="AF171">
        <v>13.6</v>
      </c>
    </row>
    <row r="172" spans="1:40" x14ac:dyDescent="0.25">
      <c r="A172" s="48">
        <v>9034464</v>
      </c>
      <c r="L172">
        <v>23.69</v>
      </c>
      <c r="Q172">
        <v>14.82</v>
      </c>
      <c r="W172">
        <v>7.9</v>
      </c>
      <c r="Y172">
        <v>8.3800000000000008</v>
      </c>
      <c r="AA172">
        <v>9.1</v>
      </c>
      <c r="AB172">
        <v>10.31</v>
      </c>
      <c r="AC172">
        <v>11.76</v>
      </c>
    </row>
    <row r="173" spans="1:40" x14ac:dyDescent="0.25">
      <c r="A173" s="48">
        <v>9040167</v>
      </c>
      <c r="T173">
        <v>13.86</v>
      </c>
    </row>
    <row r="174" spans="1:40" x14ac:dyDescent="0.25">
      <c r="A174" s="48">
        <v>9054567</v>
      </c>
    </row>
    <row r="175" spans="1:40" x14ac:dyDescent="0.25">
      <c r="A175" s="48">
        <v>9083682</v>
      </c>
      <c r="V175">
        <v>15.5</v>
      </c>
    </row>
    <row r="176" spans="1:40" x14ac:dyDescent="0.25">
      <c r="A176" s="48">
        <v>9102044</v>
      </c>
    </row>
    <row r="177" spans="1:35" x14ac:dyDescent="0.25">
      <c r="A177" s="48">
        <v>9119854</v>
      </c>
    </row>
    <row r="178" spans="1:35" x14ac:dyDescent="0.25">
      <c r="A178" s="48">
        <v>9125126</v>
      </c>
    </row>
    <row r="179" spans="1:35" x14ac:dyDescent="0.25">
      <c r="A179" s="48">
        <v>9174811</v>
      </c>
    </row>
    <row r="180" spans="1:35" x14ac:dyDescent="0.25">
      <c r="A180" s="48">
        <v>10002875</v>
      </c>
    </row>
    <row r="181" spans="1:35" x14ac:dyDescent="0.25">
      <c r="A181" s="48">
        <v>10023080</v>
      </c>
    </row>
    <row r="182" spans="1:35" x14ac:dyDescent="0.25">
      <c r="A182" s="48">
        <v>10025212</v>
      </c>
    </row>
    <row r="183" spans="1:35" x14ac:dyDescent="0.25">
      <c r="A183" s="48">
        <v>10069407</v>
      </c>
    </row>
    <row r="184" spans="1:35" x14ac:dyDescent="0.25">
      <c r="A184" s="48">
        <v>10071135</v>
      </c>
      <c r="AI184">
        <v>16.59</v>
      </c>
    </row>
    <row r="185" spans="1:35" x14ac:dyDescent="0.25">
      <c r="A185" s="48">
        <v>10083649</v>
      </c>
    </row>
    <row r="186" spans="1:35" x14ac:dyDescent="0.25">
      <c r="A186" s="48">
        <v>10102021</v>
      </c>
    </row>
    <row r="187" spans="1:35" x14ac:dyDescent="0.25">
      <c r="A187" s="48">
        <v>10123729</v>
      </c>
    </row>
    <row r="188" spans="1:35" x14ac:dyDescent="0.25">
      <c r="A188" s="48">
        <v>10144736</v>
      </c>
    </row>
    <row r="189" spans="1:35" x14ac:dyDescent="0.25">
      <c r="A189" s="48">
        <v>10157275</v>
      </c>
    </row>
    <row r="190" spans="1:35" x14ac:dyDescent="0.25">
      <c r="A190" s="52"/>
    </row>
    <row r="191" spans="1:35" x14ac:dyDescent="0.25">
      <c r="A191" s="50" t="s">
        <v>83</v>
      </c>
    </row>
    <row r="192" spans="1:35" x14ac:dyDescent="0.25">
      <c r="A192" s="48">
        <v>5281</v>
      </c>
    </row>
    <row r="193" spans="1:40" x14ac:dyDescent="0.25">
      <c r="A193" s="48">
        <v>200085</v>
      </c>
    </row>
    <row r="194" spans="1:40" x14ac:dyDescent="0.25">
      <c r="A194" s="48">
        <v>500129</v>
      </c>
    </row>
    <row r="195" spans="1:40" x14ac:dyDescent="0.25">
      <c r="A195" s="51">
        <v>1002033</v>
      </c>
    </row>
    <row r="196" spans="1:40" x14ac:dyDescent="0.25">
      <c r="A196" s="48">
        <v>1003457</v>
      </c>
    </row>
    <row r="197" spans="1:40" x14ac:dyDescent="0.25">
      <c r="A197" s="48">
        <v>2005223</v>
      </c>
      <c r="AN197">
        <v>8.1</v>
      </c>
    </row>
    <row r="198" spans="1:40" x14ac:dyDescent="0.25">
      <c r="A198" s="48">
        <v>2006107</v>
      </c>
    </row>
    <row r="199" spans="1:40" x14ac:dyDescent="0.25">
      <c r="A199" s="48">
        <v>2012014</v>
      </c>
      <c r="N199">
        <v>13.4</v>
      </c>
      <c r="Z199">
        <v>10.8</v>
      </c>
    </row>
    <row r="200" spans="1:40" x14ac:dyDescent="0.25">
      <c r="A200" s="48">
        <v>3000152</v>
      </c>
      <c r="V200">
        <v>9.1999999999999993</v>
      </c>
    </row>
    <row r="201" spans="1:40" x14ac:dyDescent="0.25">
      <c r="A201" s="48">
        <v>3014566</v>
      </c>
    </row>
    <row r="202" spans="1:40" x14ac:dyDescent="0.25">
      <c r="A202" s="48">
        <v>3015058</v>
      </c>
      <c r="N202">
        <v>11.4</v>
      </c>
      <c r="O202" s="14">
        <v>11.25</v>
      </c>
      <c r="P202">
        <v>10</v>
      </c>
      <c r="R202">
        <v>10.199999999999999</v>
      </c>
      <c r="X202">
        <v>10.4</v>
      </c>
      <c r="Y202">
        <v>11.2</v>
      </c>
      <c r="AC202">
        <v>10.199999999999999</v>
      </c>
      <c r="AE202">
        <v>10.9</v>
      </c>
    </row>
    <row r="203" spans="1:40" x14ac:dyDescent="0.25">
      <c r="A203" s="51">
        <v>4000996</v>
      </c>
      <c r="X203">
        <v>12.9</v>
      </c>
    </row>
    <row r="204" spans="1:40" x14ac:dyDescent="0.25">
      <c r="A204" s="48">
        <v>4003768</v>
      </c>
    </row>
    <row r="205" spans="1:40" x14ac:dyDescent="0.25">
      <c r="A205" s="48">
        <v>4006540</v>
      </c>
      <c r="AG205" s="3">
        <v>14.3415</v>
      </c>
      <c r="AN205" s="3">
        <v>14.502599999999999</v>
      </c>
    </row>
    <row r="206" spans="1:40" x14ac:dyDescent="0.25">
      <c r="A206" s="48">
        <v>4007054</v>
      </c>
      <c r="AA206" s="3">
        <v>13.696899999999999</v>
      </c>
    </row>
    <row r="207" spans="1:40" x14ac:dyDescent="0.25">
      <c r="A207" s="48">
        <v>4011002</v>
      </c>
      <c r="W207" s="3">
        <v>14.8249</v>
      </c>
      <c r="X207" s="3">
        <v>13.2135</v>
      </c>
      <c r="AB207" s="3">
        <v>13.5358</v>
      </c>
      <c r="AE207" s="3">
        <v>13.37462</v>
      </c>
    </row>
    <row r="208" spans="1:40" x14ac:dyDescent="0.25">
      <c r="A208" s="48">
        <v>4900268</v>
      </c>
    </row>
    <row r="209" spans="1:36" x14ac:dyDescent="0.25">
      <c r="A209" s="48">
        <v>5001097</v>
      </c>
      <c r="P209">
        <v>13.7</v>
      </c>
      <c r="Q209">
        <v>13.4</v>
      </c>
      <c r="W209">
        <v>13.4</v>
      </c>
      <c r="AE209">
        <v>14.3</v>
      </c>
    </row>
    <row r="210" spans="1:36" x14ac:dyDescent="0.25">
      <c r="A210" s="48">
        <v>5001098</v>
      </c>
      <c r="M210">
        <v>14.3</v>
      </c>
      <c r="O210">
        <v>14.1</v>
      </c>
      <c r="P210">
        <v>14.1</v>
      </c>
    </row>
    <row r="211" spans="1:36" x14ac:dyDescent="0.25">
      <c r="A211" s="48">
        <v>5006152</v>
      </c>
    </row>
    <row r="212" spans="1:36" x14ac:dyDescent="0.25">
      <c r="A212" s="48">
        <v>6012361</v>
      </c>
    </row>
    <row r="213" spans="1:36" x14ac:dyDescent="0.25">
      <c r="A213" s="48">
        <v>6015793</v>
      </c>
    </row>
    <row r="214" spans="1:36" x14ac:dyDescent="0.25">
      <c r="A214" s="48">
        <v>6043619</v>
      </c>
    </row>
    <row r="215" spans="1:36" x14ac:dyDescent="0.25">
      <c r="A215" s="48">
        <v>7001097</v>
      </c>
    </row>
    <row r="216" spans="1:36" x14ac:dyDescent="0.25">
      <c r="A216" s="48">
        <v>7011435</v>
      </c>
      <c r="W216" s="3">
        <v>13</v>
      </c>
      <c r="Y216" s="3">
        <v>11.1</v>
      </c>
      <c r="AC216">
        <v>12.1</v>
      </c>
    </row>
    <row r="217" spans="1:36" x14ac:dyDescent="0.25">
      <c r="A217" s="48">
        <v>7045811</v>
      </c>
      <c r="Z217" s="48"/>
      <c r="AA217" s="48"/>
      <c r="AB217" s="48"/>
      <c r="AC217" s="48"/>
    </row>
    <row r="218" spans="1:36" x14ac:dyDescent="0.25">
      <c r="A218" s="48">
        <v>7071198</v>
      </c>
      <c r="Z218" s="48"/>
      <c r="AA218" s="51"/>
      <c r="AB218" s="48"/>
      <c r="AC218" s="48"/>
    </row>
    <row r="219" spans="1:36" x14ac:dyDescent="0.25">
      <c r="A219" s="48">
        <v>7101143</v>
      </c>
      <c r="Z219" s="48"/>
      <c r="AA219" s="48"/>
      <c r="AB219" s="48"/>
      <c r="AC219" s="48"/>
    </row>
    <row r="220" spans="1:36" x14ac:dyDescent="0.25">
      <c r="A220" s="48">
        <v>8073350</v>
      </c>
      <c r="Z220" s="48"/>
      <c r="AA220" s="48"/>
      <c r="AB220" s="48"/>
      <c r="AC220" s="48"/>
    </row>
    <row r="221" spans="1:36" x14ac:dyDescent="0.25">
      <c r="A221" s="48">
        <v>8073645</v>
      </c>
      <c r="X221">
        <v>9.9</v>
      </c>
    </row>
    <row r="222" spans="1:36" x14ac:dyDescent="0.25">
      <c r="A222" s="51">
        <v>8089666</v>
      </c>
      <c r="S222">
        <v>11</v>
      </c>
      <c r="T222" s="14">
        <v>9.4666666666666597</v>
      </c>
      <c r="U222">
        <v>12.5</v>
      </c>
      <c r="W222" s="14">
        <v>86</v>
      </c>
      <c r="X222">
        <v>98</v>
      </c>
    </row>
    <row r="223" spans="1:36" x14ac:dyDescent="0.25">
      <c r="A223" s="48">
        <v>8103536</v>
      </c>
      <c r="V223">
        <v>12.3</v>
      </c>
    </row>
    <row r="224" spans="1:36" x14ac:dyDescent="0.25">
      <c r="A224" s="48">
        <v>8124816</v>
      </c>
      <c r="W224">
        <v>13.5</v>
      </c>
      <c r="Z224">
        <v>12.4</v>
      </c>
      <c r="AD224">
        <v>13.1</v>
      </c>
      <c r="AJ224">
        <v>13.2</v>
      </c>
    </row>
    <row r="225" spans="1:29" x14ac:dyDescent="0.25">
      <c r="A225" s="48">
        <v>9003267</v>
      </c>
    </row>
    <row r="226" spans="1:29" x14ac:dyDescent="0.25">
      <c r="A226" s="48">
        <v>9036964</v>
      </c>
      <c r="X226">
        <v>15.79</v>
      </c>
    </row>
    <row r="227" spans="1:29" x14ac:dyDescent="0.25">
      <c r="A227" s="48">
        <v>9090287</v>
      </c>
      <c r="Y227">
        <v>13.21</v>
      </c>
      <c r="Z227">
        <v>11.76</v>
      </c>
      <c r="AB227">
        <v>12.41</v>
      </c>
      <c r="AC227">
        <v>12.09</v>
      </c>
    </row>
    <row r="228" spans="1:29" x14ac:dyDescent="0.25">
      <c r="A228" s="48">
        <v>9095148</v>
      </c>
    </row>
    <row r="229" spans="1:29" x14ac:dyDescent="0.25">
      <c r="A229" s="48">
        <v>9104979</v>
      </c>
    </row>
    <row r="230" spans="1:29" x14ac:dyDescent="0.25">
      <c r="A230" s="48">
        <v>9139514</v>
      </c>
    </row>
    <row r="231" spans="1:29" x14ac:dyDescent="0.25">
      <c r="A231" s="48">
        <v>10020659</v>
      </c>
    </row>
    <row r="232" spans="1:29" x14ac:dyDescent="0.25">
      <c r="A232" s="48">
        <v>10025902</v>
      </c>
    </row>
    <row r="233" spans="1:29" x14ac:dyDescent="0.25">
      <c r="A233" s="48">
        <v>10027654</v>
      </c>
    </row>
    <row r="234" spans="1:29" x14ac:dyDescent="0.25">
      <c r="A234" s="48">
        <v>10084485</v>
      </c>
    </row>
    <row r="235" spans="1:29" x14ac:dyDescent="0.25">
      <c r="A235" s="48">
        <v>10098420</v>
      </c>
    </row>
    <row r="236" spans="1:29" x14ac:dyDescent="0.25">
      <c r="A236" s="48">
        <v>10129565</v>
      </c>
    </row>
    <row r="237" spans="1:29" x14ac:dyDescent="0.25">
      <c r="A237" s="48">
        <v>10146828</v>
      </c>
    </row>
    <row r="238" spans="1:29" x14ac:dyDescent="0.25">
      <c r="A238">
        <v>10163776</v>
      </c>
    </row>
    <row r="239" spans="1:29" x14ac:dyDescent="0.25">
      <c r="A239">
        <v>10173664</v>
      </c>
      <c r="Z239">
        <v>15.9</v>
      </c>
    </row>
  </sheetData>
  <conditionalFormatting sqref="A19">
    <cfRule type="duplicateValues" dxfId="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DF6B-F675-4F1C-89E1-B64CE3B9AD81}">
  <dimension ref="A1:D76"/>
  <sheetViews>
    <sheetView workbookViewId="0">
      <selection activeCell="F35" sqref="F35"/>
    </sheetView>
  </sheetViews>
  <sheetFormatPr baseColWidth="10" defaultRowHeight="15" x14ac:dyDescent="0.25"/>
  <cols>
    <col min="1" max="1" width="17.28515625" bestFit="1" customWidth="1"/>
    <col min="2" max="2" width="5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2362</v>
      </c>
      <c r="C1" s="62" t="s">
        <v>1914</v>
      </c>
      <c r="D1" s="62" t="s">
        <v>1873</v>
      </c>
    </row>
    <row r="2" spans="1:4" x14ac:dyDescent="0.25">
      <c r="A2" s="62">
        <v>7072184</v>
      </c>
      <c r="B2" s="62" t="s">
        <v>2362</v>
      </c>
      <c r="C2" s="62" t="s">
        <v>1161</v>
      </c>
      <c r="D2" s="62">
        <v>1</v>
      </c>
    </row>
    <row r="3" spans="1:4" x14ac:dyDescent="0.25">
      <c r="A3" s="62">
        <v>14242856</v>
      </c>
      <c r="B3" s="62" t="s">
        <v>2362</v>
      </c>
      <c r="C3" s="62" t="s">
        <v>1161</v>
      </c>
      <c r="D3" s="62">
        <v>1</v>
      </c>
    </row>
    <row r="4" spans="1:4" x14ac:dyDescent="0.25">
      <c r="A4" s="62">
        <v>3000983</v>
      </c>
      <c r="B4" s="62" t="s">
        <v>2362</v>
      </c>
      <c r="C4" s="62" t="s">
        <v>2363</v>
      </c>
      <c r="D4" s="62">
        <v>3</v>
      </c>
    </row>
    <row r="5" spans="1:4" x14ac:dyDescent="0.25">
      <c r="A5" s="62">
        <v>1003215</v>
      </c>
      <c r="B5" s="62" t="s">
        <v>2362</v>
      </c>
      <c r="C5" s="62" t="s">
        <v>1161</v>
      </c>
      <c r="D5" s="62">
        <v>1</v>
      </c>
    </row>
    <row r="6" spans="1:4" x14ac:dyDescent="0.25">
      <c r="A6" s="62">
        <v>96018835</v>
      </c>
      <c r="B6" s="62" t="s">
        <v>2362</v>
      </c>
      <c r="C6" s="62" t="s">
        <v>2364</v>
      </c>
      <c r="D6" s="62">
        <v>8</v>
      </c>
    </row>
    <row r="7" spans="1:4" x14ac:dyDescent="0.25">
      <c r="A7" s="62">
        <v>6016435</v>
      </c>
      <c r="B7" s="62" t="s">
        <v>2362</v>
      </c>
      <c r="C7" s="62" t="s">
        <v>1147</v>
      </c>
      <c r="D7" s="62">
        <v>1</v>
      </c>
    </row>
    <row r="8" spans="1:4" x14ac:dyDescent="0.25">
      <c r="A8" s="62">
        <v>10023001</v>
      </c>
      <c r="B8" s="62" t="s">
        <v>2362</v>
      </c>
      <c r="C8" s="62" t="s">
        <v>1161</v>
      </c>
      <c r="D8" s="62">
        <v>1</v>
      </c>
    </row>
    <row r="9" spans="1:4" x14ac:dyDescent="0.25">
      <c r="A9" s="62">
        <v>14222171</v>
      </c>
      <c r="B9" s="62" t="s">
        <v>2362</v>
      </c>
      <c r="C9" s="62" t="s">
        <v>1161</v>
      </c>
      <c r="D9" s="62">
        <v>1</v>
      </c>
    </row>
    <row r="10" spans="1:4" x14ac:dyDescent="0.25">
      <c r="A10" s="62">
        <v>1006143</v>
      </c>
      <c r="B10" s="62" t="s">
        <v>2362</v>
      </c>
      <c r="C10" s="62" t="s">
        <v>1161</v>
      </c>
      <c r="D10" s="62">
        <v>1</v>
      </c>
    </row>
    <row r="11" spans="1:4" x14ac:dyDescent="0.25">
      <c r="A11" s="62">
        <v>9140312</v>
      </c>
      <c r="B11" s="62" t="s">
        <v>2362</v>
      </c>
      <c r="C11" s="62" t="s">
        <v>62</v>
      </c>
      <c r="D11" s="62">
        <v>1</v>
      </c>
    </row>
    <row r="12" spans="1:4" x14ac:dyDescent="0.25">
      <c r="A12" s="62">
        <v>12088444</v>
      </c>
      <c r="B12" s="62" t="s">
        <v>2362</v>
      </c>
      <c r="C12" s="62" t="s">
        <v>2365</v>
      </c>
      <c r="D12" s="62">
        <v>4</v>
      </c>
    </row>
    <row r="13" spans="1:4" x14ac:dyDescent="0.25">
      <c r="A13" s="62">
        <v>5016969</v>
      </c>
      <c r="B13" s="62" t="s">
        <v>2362</v>
      </c>
      <c r="C13" s="62" t="s">
        <v>1162</v>
      </c>
      <c r="D13" s="62">
        <v>1</v>
      </c>
    </row>
    <row r="14" spans="1:4" x14ac:dyDescent="0.25">
      <c r="A14" s="62">
        <v>6010712</v>
      </c>
      <c r="B14" s="62" t="s">
        <v>2362</v>
      </c>
      <c r="C14" s="62" t="s">
        <v>1161</v>
      </c>
      <c r="D14" s="62">
        <v>1</v>
      </c>
    </row>
    <row r="15" spans="1:4" x14ac:dyDescent="0.25">
      <c r="A15" s="62">
        <v>6011198</v>
      </c>
      <c r="B15" s="62" t="s">
        <v>2362</v>
      </c>
      <c r="C15" s="62" t="s">
        <v>1161</v>
      </c>
      <c r="D15" s="62">
        <v>1</v>
      </c>
    </row>
    <row r="16" spans="1:4" x14ac:dyDescent="0.25">
      <c r="A16" s="62">
        <v>6012681</v>
      </c>
      <c r="B16" s="62" t="s">
        <v>2362</v>
      </c>
      <c r="C16" s="62" t="s">
        <v>2366</v>
      </c>
      <c r="D16" s="62">
        <v>5</v>
      </c>
    </row>
    <row r="17" spans="1:4" x14ac:dyDescent="0.25">
      <c r="A17" s="62">
        <v>7076814</v>
      </c>
      <c r="B17" s="62" t="s">
        <v>2362</v>
      </c>
      <c r="C17" s="62" t="s">
        <v>2367</v>
      </c>
      <c r="D17" s="62">
        <v>4</v>
      </c>
    </row>
    <row r="18" spans="1:4" x14ac:dyDescent="0.25">
      <c r="A18" s="62">
        <v>7076815</v>
      </c>
      <c r="B18" s="62" t="s">
        <v>2362</v>
      </c>
      <c r="C18" s="62" t="s">
        <v>2368</v>
      </c>
      <c r="D18" s="62">
        <v>5</v>
      </c>
    </row>
    <row r="19" spans="1:4" x14ac:dyDescent="0.25">
      <c r="A19" s="62">
        <v>7089231</v>
      </c>
      <c r="B19" s="62" t="s">
        <v>2362</v>
      </c>
      <c r="C19" s="62" t="s">
        <v>1161</v>
      </c>
      <c r="D19" s="62">
        <v>1</v>
      </c>
    </row>
    <row r="20" spans="1:4" x14ac:dyDescent="0.25">
      <c r="A20" s="62">
        <v>8127397</v>
      </c>
      <c r="B20" s="62" t="s">
        <v>2362</v>
      </c>
      <c r="C20" s="62" t="s">
        <v>1161</v>
      </c>
      <c r="D20" s="62">
        <v>1</v>
      </c>
    </row>
    <row r="21" spans="1:4" x14ac:dyDescent="0.25">
      <c r="A21" s="62">
        <v>9003331</v>
      </c>
      <c r="B21" s="62" t="s">
        <v>2362</v>
      </c>
      <c r="C21" s="62" t="s">
        <v>726</v>
      </c>
      <c r="D21" s="62">
        <v>1</v>
      </c>
    </row>
    <row r="22" spans="1:4" x14ac:dyDescent="0.25">
      <c r="A22" s="62">
        <v>9003370</v>
      </c>
      <c r="B22" s="62" t="s">
        <v>2362</v>
      </c>
      <c r="C22" s="62" t="s">
        <v>1162</v>
      </c>
      <c r="D22" s="62">
        <v>1</v>
      </c>
    </row>
    <row r="23" spans="1:4" x14ac:dyDescent="0.25">
      <c r="A23" s="62">
        <v>9016278</v>
      </c>
      <c r="B23" s="62" t="s">
        <v>2362</v>
      </c>
      <c r="C23" s="62" t="s">
        <v>2369</v>
      </c>
      <c r="D23" s="62">
        <v>3</v>
      </c>
    </row>
    <row r="24" spans="1:4" x14ac:dyDescent="0.25">
      <c r="A24" s="62">
        <v>9030684</v>
      </c>
      <c r="B24" s="62" t="s">
        <v>2362</v>
      </c>
      <c r="C24" s="62" t="s">
        <v>2370</v>
      </c>
      <c r="D24" s="62">
        <v>3</v>
      </c>
    </row>
    <row r="25" spans="1:4" x14ac:dyDescent="0.25">
      <c r="A25" s="62">
        <v>9031387</v>
      </c>
      <c r="B25" s="62" t="s">
        <v>2362</v>
      </c>
      <c r="C25" s="62" t="s">
        <v>726</v>
      </c>
      <c r="D25" s="62">
        <v>1</v>
      </c>
    </row>
    <row r="26" spans="1:4" x14ac:dyDescent="0.25">
      <c r="A26" s="62">
        <v>9038676</v>
      </c>
      <c r="B26" s="62" t="s">
        <v>2362</v>
      </c>
      <c r="C26" s="62" t="s">
        <v>2371</v>
      </c>
      <c r="D26" s="62">
        <v>2</v>
      </c>
    </row>
    <row r="27" spans="1:4" x14ac:dyDescent="0.25">
      <c r="A27" s="62">
        <v>9039416</v>
      </c>
      <c r="B27" s="62" t="s">
        <v>2362</v>
      </c>
      <c r="C27" s="62" t="s">
        <v>2372</v>
      </c>
      <c r="D27" s="62">
        <v>4</v>
      </c>
    </row>
    <row r="28" spans="1:4" x14ac:dyDescent="0.25">
      <c r="A28" s="62">
        <v>9044899</v>
      </c>
      <c r="B28" s="62" t="s">
        <v>2362</v>
      </c>
      <c r="C28" s="62" t="s">
        <v>2373</v>
      </c>
      <c r="D28" s="62">
        <v>5</v>
      </c>
    </row>
    <row r="29" spans="1:4" x14ac:dyDescent="0.25">
      <c r="A29" s="62">
        <v>9052398</v>
      </c>
      <c r="B29" s="62" t="s">
        <v>2362</v>
      </c>
      <c r="C29" s="62" t="s">
        <v>1162</v>
      </c>
      <c r="D29" s="62">
        <v>1</v>
      </c>
    </row>
    <row r="30" spans="1:4" x14ac:dyDescent="0.25">
      <c r="A30" s="62">
        <v>10010926</v>
      </c>
      <c r="B30" s="62" t="s">
        <v>2362</v>
      </c>
      <c r="C30" s="62" t="s">
        <v>2374</v>
      </c>
      <c r="D30" s="62">
        <v>6</v>
      </c>
    </row>
    <row r="31" spans="1:4" x14ac:dyDescent="0.25">
      <c r="A31" s="62">
        <v>10030897</v>
      </c>
      <c r="B31" s="62" t="s">
        <v>2362</v>
      </c>
      <c r="C31" s="62" t="s">
        <v>2375</v>
      </c>
      <c r="D31" s="62">
        <v>4</v>
      </c>
    </row>
    <row r="32" spans="1:4" x14ac:dyDescent="0.25">
      <c r="A32" s="62">
        <v>324</v>
      </c>
      <c r="B32" s="62" t="s">
        <v>2362</v>
      </c>
      <c r="C32" s="62" t="s">
        <v>1162</v>
      </c>
      <c r="D32" s="62">
        <v>1</v>
      </c>
    </row>
    <row r="33" spans="1:4" x14ac:dyDescent="0.25">
      <c r="A33" s="62">
        <v>3909</v>
      </c>
      <c r="B33" s="62" t="s">
        <v>2362</v>
      </c>
      <c r="C33" s="62" t="s">
        <v>2376</v>
      </c>
      <c r="D33" s="62">
        <v>2</v>
      </c>
    </row>
    <row r="34" spans="1:4" x14ac:dyDescent="0.25">
      <c r="A34" s="62">
        <v>1005522</v>
      </c>
      <c r="B34" s="62" t="s">
        <v>2362</v>
      </c>
      <c r="C34" s="62" t="s">
        <v>2377</v>
      </c>
      <c r="D34" s="62">
        <v>5</v>
      </c>
    </row>
    <row r="35" spans="1:4" x14ac:dyDescent="0.25">
      <c r="A35" s="62">
        <v>1007631</v>
      </c>
      <c r="B35" s="62" t="s">
        <v>2362</v>
      </c>
      <c r="C35" s="62" t="s">
        <v>1147</v>
      </c>
      <c r="D35" s="62">
        <v>1</v>
      </c>
    </row>
    <row r="36" spans="1:4" x14ac:dyDescent="0.25">
      <c r="A36" s="62">
        <v>1009760</v>
      </c>
      <c r="B36" s="62" t="s">
        <v>2362</v>
      </c>
      <c r="C36" s="62" t="s">
        <v>2378</v>
      </c>
      <c r="D36" s="62">
        <v>4</v>
      </c>
    </row>
    <row r="37" spans="1:4" x14ac:dyDescent="0.25">
      <c r="A37" s="62">
        <v>2003761</v>
      </c>
      <c r="B37" s="62" t="s">
        <v>2362</v>
      </c>
      <c r="C37" s="62" t="s">
        <v>1162</v>
      </c>
      <c r="D37" s="62">
        <v>1</v>
      </c>
    </row>
    <row r="38" spans="1:4" x14ac:dyDescent="0.25">
      <c r="A38" s="62">
        <v>3005132</v>
      </c>
      <c r="B38" s="62" t="s">
        <v>2362</v>
      </c>
      <c r="C38" s="62" t="s">
        <v>1162</v>
      </c>
      <c r="D38" s="62">
        <v>1</v>
      </c>
    </row>
    <row r="39" spans="1:4" x14ac:dyDescent="0.25">
      <c r="A39" s="62">
        <v>3011094</v>
      </c>
      <c r="B39" s="62" t="s">
        <v>2362</v>
      </c>
      <c r="C39" s="62" t="s">
        <v>2371</v>
      </c>
      <c r="D39" s="62">
        <v>2</v>
      </c>
    </row>
    <row r="40" spans="1:4" x14ac:dyDescent="0.25">
      <c r="A40" s="62">
        <v>3016056</v>
      </c>
      <c r="B40" s="62" t="s">
        <v>2362</v>
      </c>
      <c r="C40" s="62" t="s">
        <v>1162</v>
      </c>
      <c r="D40" s="62">
        <v>1</v>
      </c>
    </row>
    <row r="41" spans="1:4" x14ac:dyDescent="0.25">
      <c r="A41" s="62">
        <v>4002206</v>
      </c>
      <c r="B41" s="62" t="s">
        <v>2362</v>
      </c>
      <c r="C41" s="62" t="s">
        <v>2379</v>
      </c>
      <c r="D41" s="62">
        <v>2</v>
      </c>
    </row>
    <row r="42" spans="1:4" x14ac:dyDescent="0.25">
      <c r="A42" s="62">
        <v>4006051</v>
      </c>
      <c r="B42" s="62" t="s">
        <v>2362</v>
      </c>
      <c r="C42" s="62" t="s">
        <v>2380</v>
      </c>
      <c r="D42" s="62">
        <v>2</v>
      </c>
    </row>
    <row r="43" spans="1:4" x14ac:dyDescent="0.25">
      <c r="A43" s="62">
        <v>4008140</v>
      </c>
      <c r="B43" s="62" t="s">
        <v>2362</v>
      </c>
      <c r="C43" s="62" t="s">
        <v>1161</v>
      </c>
      <c r="D43" s="62">
        <v>1</v>
      </c>
    </row>
    <row r="44" spans="1:4" x14ac:dyDescent="0.25">
      <c r="A44" s="62">
        <v>4009906</v>
      </c>
      <c r="B44" s="62" t="s">
        <v>2362</v>
      </c>
      <c r="C44" s="62" t="s">
        <v>2381</v>
      </c>
      <c r="D44" s="62">
        <v>3</v>
      </c>
    </row>
    <row r="45" spans="1:4" x14ac:dyDescent="0.25">
      <c r="A45" s="62">
        <v>4011027</v>
      </c>
      <c r="B45" s="62" t="s">
        <v>2362</v>
      </c>
      <c r="C45" s="62" t="s">
        <v>2382</v>
      </c>
      <c r="D45" s="62">
        <v>5</v>
      </c>
    </row>
    <row r="46" spans="1:4" x14ac:dyDescent="0.25">
      <c r="A46" s="62">
        <v>5004654</v>
      </c>
      <c r="B46" s="62" t="s">
        <v>2362</v>
      </c>
      <c r="C46" s="62" t="s">
        <v>2383</v>
      </c>
      <c r="D46" s="62">
        <v>8</v>
      </c>
    </row>
    <row r="47" spans="1:4" x14ac:dyDescent="0.25">
      <c r="A47" s="62">
        <v>500245</v>
      </c>
      <c r="B47" s="62" t="s">
        <v>2362</v>
      </c>
      <c r="C47" s="62" t="s">
        <v>2384</v>
      </c>
      <c r="D47" s="62">
        <v>3</v>
      </c>
    </row>
    <row r="48" spans="1:4" x14ac:dyDescent="0.25">
      <c r="A48" s="62">
        <v>2002573</v>
      </c>
      <c r="B48" s="62" t="s">
        <v>2362</v>
      </c>
      <c r="C48" s="62" t="s">
        <v>976</v>
      </c>
      <c r="D48" s="62">
        <v>1</v>
      </c>
    </row>
    <row r="49" spans="1:4" x14ac:dyDescent="0.25">
      <c r="A49" s="62">
        <v>2005572</v>
      </c>
      <c r="B49" s="62" t="s">
        <v>2362</v>
      </c>
      <c r="C49" s="62" t="s">
        <v>2385</v>
      </c>
      <c r="D49" s="62">
        <v>3</v>
      </c>
    </row>
    <row r="50" spans="1:4" x14ac:dyDescent="0.25">
      <c r="A50" s="62">
        <v>3009633</v>
      </c>
      <c r="B50" s="62" t="s">
        <v>2362</v>
      </c>
      <c r="C50" s="62" t="s">
        <v>2386</v>
      </c>
      <c r="D50" s="62">
        <v>3</v>
      </c>
    </row>
    <row r="51" spans="1:4" x14ac:dyDescent="0.25">
      <c r="A51">
        <v>3011892</v>
      </c>
      <c r="B51" s="62" t="s">
        <v>2362</v>
      </c>
      <c r="C51" t="s">
        <v>539</v>
      </c>
      <c r="D51">
        <v>1</v>
      </c>
    </row>
    <row r="52" spans="1:4" x14ac:dyDescent="0.25">
      <c r="A52">
        <v>6015647</v>
      </c>
      <c r="B52" s="62" t="s">
        <v>2362</v>
      </c>
      <c r="C52" t="s">
        <v>2387</v>
      </c>
      <c r="D52">
        <v>7</v>
      </c>
    </row>
    <row r="53" spans="1:4" x14ac:dyDescent="0.25">
      <c r="A53">
        <v>7086224</v>
      </c>
      <c r="B53" s="62" t="s">
        <v>2362</v>
      </c>
      <c r="C53" t="s">
        <v>980</v>
      </c>
      <c r="D53">
        <v>1</v>
      </c>
    </row>
    <row r="54" spans="1:4" x14ac:dyDescent="0.25">
      <c r="A54">
        <v>9030615</v>
      </c>
      <c r="B54" s="62" t="s">
        <v>2362</v>
      </c>
      <c r="C54" t="s">
        <v>2388</v>
      </c>
      <c r="D54">
        <v>2</v>
      </c>
    </row>
    <row r="55" spans="1:4" x14ac:dyDescent="0.25">
      <c r="A55">
        <v>9034464</v>
      </c>
      <c r="B55" s="62" t="s">
        <v>2362</v>
      </c>
      <c r="C55" t="s">
        <v>2389</v>
      </c>
      <c r="D55">
        <v>7</v>
      </c>
    </row>
    <row r="56" spans="1:4" x14ac:dyDescent="0.25">
      <c r="A56">
        <v>9040167</v>
      </c>
      <c r="B56" s="62" t="s">
        <v>2362</v>
      </c>
      <c r="C56" t="s">
        <v>1445</v>
      </c>
      <c r="D56">
        <v>1</v>
      </c>
    </row>
    <row r="57" spans="1:4" x14ac:dyDescent="0.25">
      <c r="A57">
        <v>9083682</v>
      </c>
      <c r="B57" s="62" t="s">
        <v>2362</v>
      </c>
      <c r="C57" t="s">
        <v>1161</v>
      </c>
      <c r="D57">
        <v>1</v>
      </c>
    </row>
    <row r="58" spans="1:4" x14ac:dyDescent="0.25">
      <c r="A58">
        <v>10071135</v>
      </c>
      <c r="B58" s="62" t="s">
        <v>2362</v>
      </c>
      <c r="C58" t="s">
        <v>1150</v>
      </c>
      <c r="D58">
        <v>1</v>
      </c>
    </row>
    <row r="59" spans="1:4" x14ac:dyDescent="0.25">
      <c r="A59">
        <v>2005223</v>
      </c>
      <c r="B59" s="62" t="s">
        <v>2362</v>
      </c>
      <c r="C59" t="s">
        <v>1360</v>
      </c>
      <c r="D59">
        <v>1</v>
      </c>
    </row>
    <row r="60" spans="1:4" x14ac:dyDescent="0.25">
      <c r="A60">
        <v>2012014</v>
      </c>
      <c r="B60" s="62" t="s">
        <v>2362</v>
      </c>
      <c r="C60" t="s">
        <v>2390</v>
      </c>
      <c r="D60">
        <v>2</v>
      </c>
    </row>
    <row r="61" spans="1:4" x14ac:dyDescent="0.25">
      <c r="A61">
        <v>3000152</v>
      </c>
      <c r="B61" s="62" t="s">
        <v>2362</v>
      </c>
      <c r="C61" t="s">
        <v>1161</v>
      </c>
      <c r="D61">
        <v>1</v>
      </c>
    </row>
    <row r="62" spans="1:4" x14ac:dyDescent="0.25">
      <c r="A62">
        <v>3015058</v>
      </c>
      <c r="B62" s="62" t="s">
        <v>2362</v>
      </c>
      <c r="C62" t="s">
        <v>2391</v>
      </c>
      <c r="D62">
        <v>8</v>
      </c>
    </row>
    <row r="63" spans="1:4" x14ac:dyDescent="0.25">
      <c r="A63">
        <v>4000996</v>
      </c>
      <c r="B63" s="62" t="s">
        <v>2362</v>
      </c>
      <c r="C63" t="s">
        <v>1147</v>
      </c>
      <c r="D63">
        <v>1</v>
      </c>
    </row>
    <row r="64" spans="1:4" x14ac:dyDescent="0.25">
      <c r="A64">
        <v>4006540</v>
      </c>
      <c r="B64" s="62" t="s">
        <v>2362</v>
      </c>
      <c r="C64" t="s">
        <v>2392</v>
      </c>
      <c r="D64">
        <v>2</v>
      </c>
    </row>
    <row r="65" spans="1:4" x14ac:dyDescent="0.25">
      <c r="A65">
        <v>4007054</v>
      </c>
      <c r="B65" s="62" t="s">
        <v>2362</v>
      </c>
      <c r="C65" t="s">
        <v>1148</v>
      </c>
      <c r="D65">
        <v>1</v>
      </c>
    </row>
    <row r="66" spans="1:4" x14ac:dyDescent="0.25">
      <c r="A66">
        <v>4011002</v>
      </c>
      <c r="B66" s="62" t="s">
        <v>2362</v>
      </c>
      <c r="C66" t="s">
        <v>2393</v>
      </c>
      <c r="D66">
        <v>4</v>
      </c>
    </row>
    <row r="67" spans="1:4" x14ac:dyDescent="0.25">
      <c r="A67">
        <v>5001097</v>
      </c>
      <c r="B67" s="62" t="s">
        <v>2362</v>
      </c>
      <c r="C67" t="s">
        <v>2394</v>
      </c>
      <c r="D67">
        <v>4</v>
      </c>
    </row>
    <row r="68" spans="1:4" x14ac:dyDescent="0.25">
      <c r="A68">
        <v>5001098</v>
      </c>
      <c r="B68" s="62" t="s">
        <v>2362</v>
      </c>
      <c r="C68" t="s">
        <v>2395</v>
      </c>
      <c r="D68">
        <v>3</v>
      </c>
    </row>
    <row r="69" spans="1:4" x14ac:dyDescent="0.25">
      <c r="A69">
        <v>7011435</v>
      </c>
      <c r="B69" s="62" t="s">
        <v>2362</v>
      </c>
      <c r="C69" t="s">
        <v>2396</v>
      </c>
      <c r="D69">
        <v>3</v>
      </c>
    </row>
    <row r="70" spans="1:4" x14ac:dyDescent="0.25">
      <c r="A70">
        <v>8073645</v>
      </c>
      <c r="B70" s="62" t="s">
        <v>2362</v>
      </c>
      <c r="C70" t="s">
        <v>1147</v>
      </c>
      <c r="D70">
        <v>1</v>
      </c>
    </row>
    <row r="71" spans="1:4" x14ac:dyDescent="0.25">
      <c r="A71">
        <v>8089666</v>
      </c>
      <c r="B71" s="62" t="s">
        <v>2362</v>
      </c>
      <c r="C71" t="s">
        <v>2397</v>
      </c>
      <c r="D71">
        <v>5</v>
      </c>
    </row>
    <row r="72" spans="1:4" x14ac:dyDescent="0.25">
      <c r="A72">
        <v>8103536</v>
      </c>
      <c r="B72" s="62" t="s">
        <v>2362</v>
      </c>
      <c r="C72" t="s">
        <v>1161</v>
      </c>
      <c r="D72">
        <v>1</v>
      </c>
    </row>
    <row r="73" spans="1:4" x14ac:dyDescent="0.25">
      <c r="A73">
        <v>8124816</v>
      </c>
      <c r="B73" s="62" t="s">
        <v>2362</v>
      </c>
      <c r="C73" t="s">
        <v>2398</v>
      </c>
      <c r="D73">
        <v>4</v>
      </c>
    </row>
    <row r="74" spans="1:4" x14ac:dyDescent="0.25">
      <c r="A74">
        <v>9036964</v>
      </c>
      <c r="B74" s="62" t="s">
        <v>2362</v>
      </c>
      <c r="C74" t="s">
        <v>1147</v>
      </c>
      <c r="D74">
        <v>1</v>
      </c>
    </row>
    <row r="75" spans="1:4" x14ac:dyDescent="0.25">
      <c r="A75">
        <v>9090287</v>
      </c>
      <c r="B75" s="62" t="s">
        <v>2362</v>
      </c>
      <c r="C75" t="s">
        <v>2399</v>
      </c>
      <c r="D75">
        <v>4</v>
      </c>
    </row>
    <row r="76" spans="1:4" x14ac:dyDescent="0.25">
      <c r="A76">
        <v>10173664</v>
      </c>
      <c r="B76" s="62" t="s">
        <v>2362</v>
      </c>
      <c r="C76" t="s">
        <v>63</v>
      </c>
      <c r="D7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3A6A-46DC-49AC-B85A-1285FCB56EDF}">
  <dimension ref="A1:CL239"/>
  <sheetViews>
    <sheetView workbookViewId="0">
      <selection activeCell="E31" sqref="E31"/>
    </sheetView>
  </sheetViews>
  <sheetFormatPr baseColWidth="10" defaultRowHeight="15" x14ac:dyDescent="0.25"/>
  <cols>
    <col min="1" max="1" width="17.140625" customWidth="1"/>
    <col min="2" max="2" width="34.42578125" customWidth="1"/>
    <col min="3" max="4" width="36.7109375" customWidth="1"/>
    <col min="5" max="5" width="42.140625" customWidth="1"/>
    <col min="6" max="6" width="14" customWidth="1"/>
    <col min="7" max="8" width="13.5703125" customWidth="1"/>
    <col min="9" max="9" width="21.140625" customWidth="1"/>
    <col min="10" max="11" width="13.5703125" customWidth="1"/>
    <col min="12" max="12" width="16.140625" customWidth="1"/>
    <col min="13" max="13" width="23.7109375" customWidth="1"/>
    <col min="14" max="16" width="16.140625" customWidth="1"/>
    <col min="17" max="17" width="23.7109375" customWidth="1"/>
    <col min="18" max="20" width="16.140625" customWidth="1"/>
    <col min="21" max="21" width="26.42578125" customWidth="1"/>
    <col min="22" max="22" width="45.42578125" customWidth="1"/>
    <col min="23" max="24" width="44.42578125" customWidth="1"/>
    <col min="25" max="26" width="37.7109375" customWidth="1"/>
    <col min="27" max="27" width="36.7109375" customWidth="1"/>
    <col min="28" max="28" width="37.7109375" customWidth="1"/>
    <col min="29" max="31" width="36.7109375" customWidth="1"/>
    <col min="32" max="32" width="43.42578125" customWidth="1"/>
    <col min="33" max="33" width="37.7109375" customWidth="1"/>
    <col min="34" max="34" width="36.7109375" customWidth="1"/>
    <col min="35" max="35" width="35.42578125" customWidth="1"/>
    <col min="36" max="36" width="27.85546875" customWidth="1"/>
    <col min="37" max="37" width="18.28515625" customWidth="1"/>
    <col min="38" max="38" width="14.5703125" customWidth="1"/>
    <col min="39" max="39" width="21.140625" customWidth="1"/>
    <col min="40" max="40" width="13.5703125" customWidth="1"/>
    <col min="41" max="42" width="14.5703125" customWidth="1"/>
    <col min="43" max="43" width="23.7109375" customWidth="1"/>
    <col min="44" max="44" width="16.140625" customWidth="1"/>
    <col min="45" max="45" width="17.140625" customWidth="1"/>
    <col min="46" max="46" width="16.140625" customWidth="1"/>
    <col min="47" max="47" width="23.7109375" customWidth="1"/>
    <col min="48" max="48" width="17.140625" customWidth="1"/>
    <col min="49" max="50" width="16.140625" customWidth="1"/>
    <col min="51" max="51" width="23.7109375" customWidth="1"/>
    <col min="52" max="53" width="18.140625" customWidth="1"/>
    <col min="54" max="55" width="16.140625" customWidth="1"/>
    <col min="56" max="56" width="23.7109375" customWidth="1"/>
    <col min="57" max="57" width="18.140625" customWidth="1"/>
    <col min="58" max="60" width="16.140625" customWidth="1"/>
    <col min="61" max="61" width="23.7109375" customWidth="1"/>
    <col min="62" max="63" width="18.85546875" customWidth="1"/>
    <col min="64" max="64" width="26.42578125" customWidth="1"/>
    <col min="65" max="83" width="18.85546875" customWidth="1"/>
    <col min="84" max="84" width="26.42578125" customWidth="1"/>
    <col min="85" max="88" width="18.85546875" customWidth="1"/>
    <col min="89" max="89" width="37.28515625" customWidth="1"/>
    <col min="90" max="90" width="42.7109375" customWidth="1"/>
  </cols>
  <sheetData>
    <row r="1" spans="1:90" ht="90" x14ac:dyDescent="0.25">
      <c r="A1" s="57" t="s">
        <v>43</v>
      </c>
      <c r="B1" s="58" t="s">
        <v>581</v>
      </c>
      <c r="C1" s="58" t="s">
        <v>759</v>
      </c>
      <c r="D1" s="58" t="s">
        <v>760</v>
      </c>
      <c r="E1" s="59" t="s">
        <v>1159</v>
      </c>
      <c r="F1" s="58" t="s">
        <v>790</v>
      </c>
      <c r="G1" s="58" t="s">
        <v>942</v>
      </c>
      <c r="H1" s="58" t="s">
        <v>943</v>
      </c>
      <c r="I1" s="58" t="s">
        <v>1163</v>
      </c>
      <c r="J1" s="58" t="s">
        <v>945</v>
      </c>
      <c r="K1" s="58" t="s">
        <v>946</v>
      </c>
      <c r="L1" s="58" t="s">
        <v>1011</v>
      </c>
      <c r="M1" s="58" t="s">
        <v>1164</v>
      </c>
      <c r="N1" s="58" t="s">
        <v>721</v>
      </c>
      <c r="O1" s="58" t="s">
        <v>67</v>
      </c>
      <c r="P1" s="58" t="s">
        <v>722</v>
      </c>
      <c r="Q1" s="58" t="s">
        <v>1165</v>
      </c>
      <c r="R1" s="58" t="s">
        <v>34</v>
      </c>
      <c r="S1" s="58" t="s">
        <v>1157</v>
      </c>
      <c r="T1" s="58" t="s">
        <v>1158</v>
      </c>
      <c r="U1" s="58" t="s">
        <v>1166</v>
      </c>
      <c r="V1" s="58" t="s">
        <v>1778</v>
      </c>
      <c r="W1" s="58" t="s">
        <v>1734</v>
      </c>
      <c r="X1" s="58" t="s">
        <v>1167</v>
      </c>
      <c r="Y1" s="58" t="s">
        <v>1319</v>
      </c>
      <c r="Z1" s="58" t="s">
        <v>1377</v>
      </c>
      <c r="AA1" s="58" t="s">
        <v>1398</v>
      </c>
      <c r="AB1" s="58" t="s">
        <v>2400</v>
      </c>
      <c r="AC1" s="58" t="s">
        <v>1425</v>
      </c>
      <c r="AD1" s="58" t="s">
        <v>1407</v>
      </c>
      <c r="AE1" s="58" t="s">
        <v>1440</v>
      </c>
      <c r="AF1" s="58" t="s">
        <v>1168</v>
      </c>
      <c r="AG1" s="58" t="s">
        <v>2401</v>
      </c>
      <c r="AH1" s="58" t="s">
        <v>1704</v>
      </c>
      <c r="AI1" s="58" t="s">
        <v>2402</v>
      </c>
      <c r="AJ1" s="59" t="s">
        <v>1160</v>
      </c>
      <c r="AK1" s="58" t="s">
        <v>764</v>
      </c>
      <c r="AL1" s="58" t="s">
        <v>2403</v>
      </c>
      <c r="AM1" s="58" t="s">
        <v>1169</v>
      </c>
      <c r="AN1" s="58" t="s">
        <v>944</v>
      </c>
      <c r="AO1" s="58" t="s">
        <v>2404</v>
      </c>
      <c r="AP1" s="58" t="s">
        <v>2405</v>
      </c>
      <c r="AQ1" s="58" t="s">
        <v>1170</v>
      </c>
      <c r="AR1" s="58" t="s">
        <v>66</v>
      </c>
      <c r="AS1" s="58" t="s">
        <v>2406</v>
      </c>
      <c r="AT1" s="58" t="s">
        <v>947</v>
      </c>
      <c r="AU1" s="58" t="s">
        <v>1171</v>
      </c>
      <c r="AV1" s="58" t="s">
        <v>2407</v>
      </c>
      <c r="AW1" s="58" t="s">
        <v>128</v>
      </c>
      <c r="AX1" s="58" t="s">
        <v>948</v>
      </c>
      <c r="AY1" s="58" t="s">
        <v>1172</v>
      </c>
      <c r="AZ1" s="58" t="s">
        <v>2408</v>
      </c>
      <c r="BA1" s="58" t="s">
        <v>2409</v>
      </c>
      <c r="BB1" s="58" t="s">
        <v>1022</v>
      </c>
      <c r="BC1" s="58" t="s">
        <v>949</v>
      </c>
      <c r="BD1" s="58" t="s">
        <v>1173</v>
      </c>
      <c r="BE1" s="58" t="s">
        <v>2410</v>
      </c>
      <c r="BF1" s="58" t="s">
        <v>1023</v>
      </c>
      <c r="BG1" s="58" t="s">
        <v>1029</v>
      </c>
      <c r="BH1" s="58" t="s">
        <v>950</v>
      </c>
      <c r="BI1" s="58" t="s">
        <v>1174</v>
      </c>
      <c r="BJ1" s="58" t="s">
        <v>957</v>
      </c>
      <c r="BK1" s="58" t="s">
        <v>1603</v>
      </c>
      <c r="BL1" s="58" t="s">
        <v>1175</v>
      </c>
      <c r="BM1" s="58" t="s">
        <v>1352</v>
      </c>
      <c r="BN1" s="58" t="s">
        <v>1353</v>
      </c>
      <c r="BO1" s="58" t="s">
        <v>1786</v>
      </c>
      <c r="BP1" s="58" t="s">
        <v>959</v>
      </c>
      <c r="BQ1" s="58" t="s">
        <v>1568</v>
      </c>
      <c r="BR1" s="58" t="s">
        <v>1787</v>
      </c>
      <c r="BS1" s="58" t="s">
        <v>1569</v>
      </c>
      <c r="BT1" s="58" t="s">
        <v>1785</v>
      </c>
      <c r="BU1" s="58" t="s">
        <v>1521</v>
      </c>
      <c r="BV1" s="58" t="s">
        <v>1570</v>
      </c>
      <c r="BW1" s="58" t="s">
        <v>1518</v>
      </c>
      <c r="BX1" s="58" t="s">
        <v>1571</v>
      </c>
      <c r="BY1" s="58" t="s">
        <v>1725</v>
      </c>
      <c r="BZ1" s="58" t="s">
        <v>1788</v>
      </c>
      <c r="CA1" s="58" t="s">
        <v>1572</v>
      </c>
      <c r="CB1" s="58" t="s">
        <v>951</v>
      </c>
      <c r="CC1" s="58" t="s">
        <v>958</v>
      </c>
      <c r="CD1" s="58" t="s">
        <v>1354</v>
      </c>
      <c r="CE1" s="58" t="s">
        <v>1522</v>
      </c>
      <c r="CF1" s="58" t="s">
        <v>1176</v>
      </c>
      <c r="CG1" s="58" t="s">
        <v>952</v>
      </c>
      <c r="CH1" s="58" t="s">
        <v>1612</v>
      </c>
      <c r="CI1" s="58" t="s">
        <v>1523</v>
      </c>
      <c r="CJ1" s="58" t="s">
        <v>1519</v>
      </c>
      <c r="CK1" s="58" t="s">
        <v>1735</v>
      </c>
      <c r="CL1" s="58" t="s">
        <v>1177</v>
      </c>
    </row>
    <row r="2" spans="1:90" x14ac:dyDescent="0.25">
      <c r="A2" s="40" t="s">
        <v>512</v>
      </c>
    </row>
    <row r="3" spans="1:90" x14ac:dyDescent="0.25">
      <c r="A3" s="10" t="s">
        <v>1868</v>
      </c>
      <c r="B3" s="7"/>
      <c r="C3" s="7"/>
      <c r="D3" s="7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</row>
    <row r="4" spans="1:90" x14ac:dyDescent="0.25">
      <c r="A4" s="48">
        <v>7072184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0" x14ac:dyDescent="0.25">
      <c r="A5" s="48">
        <v>9108231</v>
      </c>
      <c r="B5" s="7"/>
      <c r="C5" s="7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</row>
    <row r="6" spans="1:90" x14ac:dyDescent="0.25">
      <c r="A6" s="48">
        <v>12061933</v>
      </c>
      <c r="B6" s="7"/>
      <c r="C6" s="7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</row>
    <row r="7" spans="1:90" x14ac:dyDescent="0.25">
      <c r="A7" s="48">
        <v>95005911</v>
      </c>
    </row>
    <row r="8" spans="1:90" x14ac:dyDescent="0.25">
      <c r="A8" s="48">
        <v>99001908</v>
      </c>
    </row>
    <row r="9" spans="1:90" x14ac:dyDescent="0.25">
      <c r="A9" s="48">
        <v>99004067</v>
      </c>
    </row>
    <row r="10" spans="1:90" x14ac:dyDescent="0.25">
      <c r="A10" s="48">
        <v>97002136</v>
      </c>
    </row>
    <row r="11" spans="1:90" x14ac:dyDescent="0.25">
      <c r="A11" s="48">
        <v>1502</v>
      </c>
      <c r="B11" s="7"/>
      <c r="C11" s="7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</row>
    <row r="12" spans="1:90" x14ac:dyDescent="0.25">
      <c r="A12" s="48">
        <v>4003543</v>
      </c>
      <c r="B12" s="7"/>
      <c r="C12" s="7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</row>
    <row r="13" spans="1:90" x14ac:dyDescent="0.25">
      <c r="A13" s="48">
        <v>4900261</v>
      </c>
      <c r="B13" s="7"/>
      <c r="C13" s="7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</row>
    <row r="14" spans="1:90" x14ac:dyDescent="0.25">
      <c r="A14" s="48"/>
    </row>
    <row r="15" spans="1:90" x14ac:dyDescent="0.25">
      <c r="A15" s="50" t="s">
        <v>1869</v>
      </c>
      <c r="B15" s="7"/>
      <c r="C15" s="7"/>
      <c r="D15" s="7"/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</row>
    <row r="16" spans="1:90" x14ac:dyDescent="0.25">
      <c r="A16" s="48">
        <v>14242856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</row>
    <row r="17" spans="1:90" x14ac:dyDescent="0.25">
      <c r="A17" s="48">
        <v>99001183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</row>
    <row r="18" spans="1:90" x14ac:dyDescent="0.25">
      <c r="A18" s="48">
        <v>3000983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</row>
    <row r="19" spans="1:90" x14ac:dyDescent="0.25">
      <c r="A19" s="48">
        <v>10064335</v>
      </c>
      <c r="B19" s="7"/>
      <c r="C19" s="7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</row>
    <row r="20" spans="1:90" x14ac:dyDescent="0.25">
      <c r="A20" s="49"/>
      <c r="B20" s="7"/>
      <c r="C20" s="7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</row>
    <row r="21" spans="1:90" x14ac:dyDescent="0.25">
      <c r="A21" s="50" t="s">
        <v>1870</v>
      </c>
      <c r="B21" s="7"/>
      <c r="C21" s="7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</row>
    <row r="22" spans="1:90" x14ac:dyDescent="0.25">
      <c r="A22" s="48">
        <v>1480</v>
      </c>
    </row>
    <row r="23" spans="1:90" x14ac:dyDescent="0.25">
      <c r="A23" s="48">
        <v>7063959</v>
      </c>
      <c r="B23" s="7"/>
      <c r="C23" s="7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</row>
    <row r="24" spans="1:90" x14ac:dyDescent="0.25">
      <c r="A24" s="48">
        <v>1003215</v>
      </c>
      <c r="B24" s="7"/>
      <c r="C24" s="7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</row>
    <row r="25" spans="1:90" x14ac:dyDescent="0.25">
      <c r="A25" s="48">
        <v>99000802</v>
      </c>
      <c r="B25" s="7"/>
      <c r="C25" s="7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</row>
    <row r="26" spans="1:90" x14ac:dyDescent="0.25">
      <c r="A26" s="48">
        <v>99000892</v>
      </c>
      <c r="B26" s="7"/>
      <c r="C26" s="7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</row>
    <row r="27" spans="1:90" x14ac:dyDescent="0.25">
      <c r="A27" s="48">
        <v>1000192</v>
      </c>
      <c r="B27" s="7"/>
      <c r="C27" s="7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</row>
    <row r="28" spans="1:90" x14ac:dyDescent="0.25">
      <c r="A28" s="48">
        <v>1506</v>
      </c>
      <c r="B28" s="7"/>
      <c r="C28" s="7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</row>
    <row r="29" spans="1:90" x14ac:dyDescent="0.25">
      <c r="A29" s="48">
        <v>99000894</v>
      </c>
      <c r="B29" s="7"/>
      <c r="C29" s="7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</row>
    <row r="30" spans="1:90" x14ac:dyDescent="0.25">
      <c r="A30" s="48">
        <v>99000897</v>
      </c>
    </row>
    <row r="31" spans="1:90" x14ac:dyDescent="0.25">
      <c r="A31" s="48">
        <v>99001245</v>
      </c>
    </row>
    <row r="32" spans="1:90" x14ac:dyDescent="0.25">
      <c r="A32" s="48">
        <v>99001902</v>
      </c>
    </row>
    <row r="33" spans="1:90" x14ac:dyDescent="0.25">
      <c r="A33" s="48">
        <v>99001912</v>
      </c>
    </row>
    <row r="34" spans="1:90" x14ac:dyDescent="0.25">
      <c r="A34" s="48">
        <v>99001913</v>
      </c>
    </row>
    <row r="35" spans="1:90" x14ac:dyDescent="0.25">
      <c r="A35" s="48">
        <v>99001937</v>
      </c>
    </row>
    <row r="36" spans="1:90" x14ac:dyDescent="0.25">
      <c r="A36" s="48">
        <v>99001943</v>
      </c>
    </row>
    <row r="37" spans="1:90" x14ac:dyDescent="0.25">
      <c r="A37" s="48">
        <v>99001927</v>
      </c>
    </row>
    <row r="38" spans="1:90" x14ac:dyDescent="0.25">
      <c r="A38" s="48">
        <v>1505</v>
      </c>
      <c r="B38" s="7"/>
      <c r="C38" s="7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</row>
    <row r="39" spans="1:90" x14ac:dyDescent="0.25">
      <c r="A39" s="48">
        <v>1000197</v>
      </c>
      <c r="B39" s="7"/>
      <c r="C39" s="7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</row>
    <row r="40" spans="1:90" x14ac:dyDescent="0.25">
      <c r="A40" s="48">
        <v>96018835</v>
      </c>
      <c r="B40" s="7"/>
      <c r="C40" s="7"/>
      <c r="D40" s="7"/>
      <c r="E40" s="7"/>
      <c r="F40">
        <v>3.9</v>
      </c>
      <c r="G40">
        <v>4.0999999999999996</v>
      </c>
      <c r="H40">
        <v>3.7</v>
      </c>
      <c r="J40">
        <v>3.9</v>
      </c>
      <c r="M40">
        <v>8.4</v>
      </c>
      <c r="O40">
        <v>7.2</v>
      </c>
      <c r="Q40">
        <v>8.3000000000000007</v>
      </c>
      <c r="R40">
        <v>12.1</v>
      </c>
    </row>
    <row r="41" spans="1:90" x14ac:dyDescent="0.25">
      <c r="A41" s="48">
        <v>98008326</v>
      </c>
      <c r="B41" s="7"/>
      <c r="C41" s="7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</row>
    <row r="42" spans="1:90" x14ac:dyDescent="0.25">
      <c r="A42" s="48">
        <v>99000717</v>
      </c>
      <c r="B42" s="7"/>
      <c r="C42" s="7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</row>
    <row r="43" spans="1:90" x14ac:dyDescent="0.25">
      <c r="A43" s="48"/>
      <c r="B43" s="7"/>
      <c r="C43" s="7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</row>
    <row r="44" spans="1:90" x14ac:dyDescent="0.25">
      <c r="A44" s="25" t="s">
        <v>129</v>
      </c>
    </row>
    <row r="45" spans="1:90" x14ac:dyDescent="0.25">
      <c r="A45" s="50" t="s">
        <v>106</v>
      </c>
    </row>
    <row r="46" spans="1:90" x14ac:dyDescent="0.25">
      <c r="A46" s="48">
        <v>6016435</v>
      </c>
    </row>
    <row r="47" spans="1:90" x14ac:dyDescent="0.25">
      <c r="A47" s="48">
        <v>8045149</v>
      </c>
    </row>
    <row r="48" spans="1:90" x14ac:dyDescent="0.25">
      <c r="A48" s="48">
        <v>10023001</v>
      </c>
    </row>
    <row r="49" spans="1:1" x14ac:dyDescent="0.25">
      <c r="A49" s="48">
        <v>10027526</v>
      </c>
    </row>
    <row r="50" spans="1:1" x14ac:dyDescent="0.25">
      <c r="A50" s="48">
        <v>14222171</v>
      </c>
    </row>
    <row r="51" spans="1:1" x14ac:dyDescent="0.25">
      <c r="A51" s="48">
        <v>1006143</v>
      </c>
    </row>
    <row r="52" spans="1:1" x14ac:dyDescent="0.25">
      <c r="A52" s="48">
        <v>6006917</v>
      </c>
    </row>
    <row r="53" spans="1:1" x14ac:dyDescent="0.25">
      <c r="A53" s="48"/>
    </row>
    <row r="54" spans="1:1" x14ac:dyDescent="0.25">
      <c r="A54" s="50" t="s">
        <v>109</v>
      </c>
    </row>
    <row r="55" spans="1:1" x14ac:dyDescent="0.25">
      <c r="A55" s="48">
        <v>8057159</v>
      </c>
    </row>
    <row r="56" spans="1:1" x14ac:dyDescent="0.25">
      <c r="A56" s="48">
        <v>9140312</v>
      </c>
    </row>
    <row r="57" spans="1:1" x14ac:dyDescent="0.25">
      <c r="A57" s="48">
        <v>12008230</v>
      </c>
    </row>
    <row r="58" spans="1:1" x14ac:dyDescent="0.25">
      <c r="A58" s="48">
        <v>12088444</v>
      </c>
    </row>
    <row r="59" spans="1:1" x14ac:dyDescent="0.25">
      <c r="A59" s="48">
        <v>13118872</v>
      </c>
    </row>
    <row r="60" spans="1:1" x14ac:dyDescent="0.25">
      <c r="A60" s="48">
        <v>12012030</v>
      </c>
    </row>
    <row r="61" spans="1:1" x14ac:dyDescent="0.25">
      <c r="A61" s="48"/>
    </row>
    <row r="62" spans="1:1" x14ac:dyDescent="0.25">
      <c r="A62" s="50" t="s">
        <v>83</v>
      </c>
    </row>
    <row r="63" spans="1:1" x14ac:dyDescent="0.25">
      <c r="A63" s="48">
        <v>9074418</v>
      </c>
    </row>
    <row r="64" spans="1:1" x14ac:dyDescent="0.25">
      <c r="A64" s="48">
        <v>1263</v>
      </c>
    </row>
    <row r="65" spans="1:90" x14ac:dyDescent="0.25">
      <c r="A65" s="48">
        <v>98004910</v>
      </c>
    </row>
    <row r="66" spans="1:90" x14ac:dyDescent="0.25">
      <c r="A66" s="48">
        <v>7103068</v>
      </c>
      <c r="B66">
        <v>18.3002</v>
      </c>
    </row>
    <row r="67" spans="1:90" x14ac:dyDescent="0.25">
      <c r="A67" s="48">
        <v>11240728</v>
      </c>
      <c r="E67">
        <v>3.2974999999999999</v>
      </c>
      <c r="F67">
        <v>1.3681000000000001</v>
      </c>
      <c r="H67">
        <v>0.92379999999999995</v>
      </c>
    </row>
    <row r="68" spans="1:90" x14ac:dyDescent="0.25">
      <c r="B68" s="7"/>
      <c r="C68" s="7"/>
      <c r="D68" s="7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</row>
    <row r="69" spans="1:90" x14ac:dyDescent="0.25">
      <c r="A69" s="26" t="s">
        <v>130</v>
      </c>
    </row>
    <row r="70" spans="1:90" x14ac:dyDescent="0.25">
      <c r="A70" s="10" t="s">
        <v>106</v>
      </c>
    </row>
    <row r="71" spans="1:90" x14ac:dyDescent="0.25">
      <c r="A71" s="48">
        <v>5015869</v>
      </c>
    </row>
    <row r="72" spans="1:90" x14ac:dyDescent="0.25">
      <c r="A72" s="48">
        <v>5016969</v>
      </c>
    </row>
    <row r="73" spans="1:90" x14ac:dyDescent="0.25">
      <c r="A73" s="48">
        <v>6023231</v>
      </c>
    </row>
    <row r="74" spans="1:90" x14ac:dyDescent="0.25">
      <c r="A74" s="48">
        <v>6010712</v>
      </c>
    </row>
    <row r="75" spans="1:90" x14ac:dyDescent="0.25">
      <c r="A75" s="48">
        <v>6011198</v>
      </c>
      <c r="B75">
        <v>11.2</v>
      </c>
    </row>
    <row r="76" spans="1:90" x14ac:dyDescent="0.25">
      <c r="A76" s="48">
        <v>6012681</v>
      </c>
      <c r="F76">
        <v>2.7</v>
      </c>
    </row>
    <row r="77" spans="1:90" x14ac:dyDescent="0.25">
      <c r="A77" s="48">
        <v>6014511</v>
      </c>
    </row>
    <row r="78" spans="1:90" x14ac:dyDescent="0.25">
      <c r="A78" s="48">
        <v>6045127</v>
      </c>
    </row>
    <row r="79" spans="1:90" x14ac:dyDescent="0.25">
      <c r="A79" s="48">
        <v>7000458</v>
      </c>
      <c r="J79">
        <v>0.3</v>
      </c>
    </row>
    <row r="80" spans="1:90" x14ac:dyDescent="0.25">
      <c r="A80" s="48">
        <v>7015502</v>
      </c>
    </row>
    <row r="81" spans="1:21" x14ac:dyDescent="0.25">
      <c r="A81" s="48">
        <v>7025847</v>
      </c>
    </row>
    <row r="82" spans="1:21" x14ac:dyDescent="0.25">
      <c r="A82" s="48">
        <v>7082707</v>
      </c>
    </row>
    <row r="83" spans="1:21" x14ac:dyDescent="0.25">
      <c r="A83" s="48">
        <v>7083159</v>
      </c>
    </row>
    <row r="84" spans="1:21" x14ac:dyDescent="0.25">
      <c r="A84" s="48">
        <v>7084659</v>
      </c>
    </row>
    <row r="85" spans="1:21" x14ac:dyDescent="0.25">
      <c r="A85" s="48">
        <v>7076814</v>
      </c>
      <c r="F85">
        <v>4.3148999999999997</v>
      </c>
    </row>
    <row r="86" spans="1:21" x14ac:dyDescent="0.25">
      <c r="A86" s="48">
        <v>7076815</v>
      </c>
      <c r="E86">
        <v>1.4851000000000001</v>
      </c>
    </row>
    <row r="87" spans="1:21" x14ac:dyDescent="0.25">
      <c r="A87" s="48">
        <v>7089231</v>
      </c>
    </row>
    <row r="88" spans="1:21" x14ac:dyDescent="0.25">
      <c r="A88" s="48">
        <v>7116004</v>
      </c>
    </row>
    <row r="89" spans="1:21" x14ac:dyDescent="0.25">
      <c r="A89" s="48">
        <v>8003819</v>
      </c>
    </row>
    <row r="90" spans="1:21" x14ac:dyDescent="0.25">
      <c r="A90" s="48">
        <v>8091779</v>
      </c>
      <c r="B90">
        <v>11.2</v>
      </c>
    </row>
    <row r="91" spans="1:21" x14ac:dyDescent="0.25">
      <c r="A91" s="48">
        <v>8097989</v>
      </c>
      <c r="B91">
        <v>4.3727</v>
      </c>
    </row>
    <row r="92" spans="1:21" x14ac:dyDescent="0.25">
      <c r="A92" s="48">
        <v>8112522</v>
      </c>
      <c r="L92">
        <v>0.74</v>
      </c>
      <c r="N92">
        <v>2.5499999999999998</v>
      </c>
      <c r="P92">
        <v>3.88</v>
      </c>
    </row>
    <row r="93" spans="1:21" x14ac:dyDescent="0.25">
      <c r="A93" s="48">
        <v>8127397</v>
      </c>
    </row>
    <row r="94" spans="1:21" x14ac:dyDescent="0.25">
      <c r="A94" s="48">
        <v>8130998</v>
      </c>
    </row>
    <row r="95" spans="1:21" x14ac:dyDescent="0.25">
      <c r="A95" s="48">
        <v>9002836</v>
      </c>
    </row>
    <row r="96" spans="1:21" x14ac:dyDescent="0.25">
      <c r="A96" s="48">
        <v>9003331</v>
      </c>
      <c r="T96">
        <v>1.9470000000000001</v>
      </c>
      <c r="U96">
        <v>2.9058000000000002</v>
      </c>
    </row>
    <row r="97" spans="1:90" x14ac:dyDescent="0.25">
      <c r="A97" s="48">
        <v>9003370</v>
      </c>
    </row>
    <row r="98" spans="1:90" x14ac:dyDescent="0.25">
      <c r="A98" s="48">
        <v>9016278</v>
      </c>
      <c r="C98" s="3">
        <v>29.870799999999999</v>
      </c>
      <c r="D98" s="3">
        <v>28.900200000000002</v>
      </c>
      <c r="G98" s="3">
        <v>25.5442</v>
      </c>
      <c r="K98">
        <v>17.850000000000001</v>
      </c>
      <c r="AB98" s="3">
        <v>29.870799999999999</v>
      </c>
      <c r="AC98" s="3"/>
      <c r="AD98" s="3"/>
      <c r="AE98" s="3"/>
      <c r="AF98" s="3"/>
      <c r="AG98" s="3">
        <v>28.900200000000002</v>
      </c>
      <c r="AH98" s="3"/>
      <c r="AI98" s="3"/>
      <c r="AL98" s="3">
        <v>25.5442</v>
      </c>
      <c r="AP98">
        <v>17.850000000000001</v>
      </c>
    </row>
    <row r="99" spans="1:90" x14ac:dyDescent="0.25">
      <c r="A99" s="48">
        <v>9030684</v>
      </c>
    </row>
    <row r="100" spans="1:90" x14ac:dyDescent="0.25">
      <c r="A100" s="48">
        <v>9031387</v>
      </c>
    </row>
    <row r="101" spans="1:90" x14ac:dyDescent="0.25">
      <c r="A101" s="48">
        <v>9038676</v>
      </c>
    </row>
    <row r="102" spans="1:90" x14ac:dyDescent="0.25">
      <c r="A102" s="48">
        <v>9039416</v>
      </c>
      <c r="H102">
        <v>0.27479999999999999</v>
      </c>
    </row>
    <row r="103" spans="1:90" x14ac:dyDescent="0.25">
      <c r="A103" s="48">
        <v>9042861</v>
      </c>
      <c r="AZ103" s="3">
        <v>1.4032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</row>
    <row r="104" spans="1:90" x14ac:dyDescent="0.25">
      <c r="A104" s="48">
        <v>9044899</v>
      </c>
      <c r="AJ104">
        <v>0.43</v>
      </c>
    </row>
    <row r="105" spans="1:90" x14ac:dyDescent="0.25">
      <c r="A105" s="48">
        <v>9052398</v>
      </c>
    </row>
    <row r="106" spans="1:90" x14ac:dyDescent="0.25">
      <c r="A106" s="48">
        <v>9085204</v>
      </c>
      <c r="AL106">
        <v>5.2</v>
      </c>
    </row>
    <row r="107" spans="1:90" x14ac:dyDescent="0.25">
      <c r="A107" s="48">
        <v>9090323</v>
      </c>
    </row>
    <row r="108" spans="1:90" x14ac:dyDescent="0.25">
      <c r="A108" s="48">
        <v>9105492</v>
      </c>
      <c r="E108">
        <v>12.8</v>
      </c>
      <c r="F108">
        <v>8.5</v>
      </c>
      <c r="G108">
        <v>6.1</v>
      </c>
      <c r="O108">
        <v>3.7</v>
      </c>
    </row>
    <row r="109" spans="1:90" x14ac:dyDescent="0.25">
      <c r="A109" s="48">
        <v>9138470</v>
      </c>
      <c r="F109" s="51"/>
    </row>
    <row r="110" spans="1:90" x14ac:dyDescent="0.25">
      <c r="A110" s="48">
        <v>9150676</v>
      </c>
    </row>
    <row r="111" spans="1:90" x14ac:dyDescent="0.25">
      <c r="A111" s="48">
        <v>10010926</v>
      </c>
      <c r="AL111">
        <v>0.2324</v>
      </c>
      <c r="AN111">
        <v>0.36030000000000001</v>
      </c>
    </row>
    <row r="112" spans="1:90" x14ac:dyDescent="0.25">
      <c r="A112" s="48">
        <v>10016588</v>
      </c>
      <c r="B112">
        <v>8.4</v>
      </c>
    </row>
    <row r="113" spans="1:90" x14ac:dyDescent="0.25">
      <c r="A113" s="48">
        <v>10030897</v>
      </c>
      <c r="X113">
        <v>0.36</v>
      </c>
      <c r="AJ113">
        <v>2.48</v>
      </c>
      <c r="AL113">
        <v>5.09</v>
      </c>
      <c r="AO113">
        <v>1.81</v>
      </c>
      <c r="AW113">
        <v>1.23</v>
      </c>
      <c r="BD113">
        <v>0.93</v>
      </c>
      <c r="BO113">
        <v>1.0900000000000001</v>
      </c>
    </row>
    <row r="114" spans="1:90" x14ac:dyDescent="0.25">
      <c r="A114" s="48">
        <v>324</v>
      </c>
      <c r="BI114">
        <v>0.7</v>
      </c>
    </row>
    <row r="115" spans="1:90" x14ac:dyDescent="0.25">
      <c r="A115" s="48">
        <v>3909</v>
      </c>
      <c r="CB115">
        <v>4.2</v>
      </c>
    </row>
    <row r="116" spans="1:90" x14ac:dyDescent="0.25">
      <c r="A116" s="48">
        <v>4663</v>
      </c>
    </row>
    <row r="117" spans="1:90" x14ac:dyDescent="0.25">
      <c r="A117" s="48">
        <v>1005522</v>
      </c>
      <c r="AR117">
        <v>0.3</v>
      </c>
      <c r="AX117">
        <v>0.7</v>
      </c>
    </row>
    <row r="118" spans="1:90" x14ac:dyDescent="0.25">
      <c r="A118" s="48">
        <v>1007631</v>
      </c>
      <c r="AK118">
        <v>8.14</v>
      </c>
      <c r="AN118">
        <v>8.14</v>
      </c>
      <c r="AU118">
        <v>5.44</v>
      </c>
      <c r="BH118">
        <v>1.96</v>
      </c>
    </row>
    <row r="119" spans="1:90" x14ac:dyDescent="0.25">
      <c r="A119" s="48">
        <v>1009760</v>
      </c>
      <c r="AI119">
        <v>7.67</v>
      </c>
      <c r="CL119">
        <v>7.27</v>
      </c>
    </row>
    <row r="120" spans="1:90" x14ac:dyDescent="0.25">
      <c r="A120" s="48">
        <v>2000646</v>
      </c>
      <c r="AJ120">
        <v>0.7</v>
      </c>
      <c r="AK120">
        <v>0.9</v>
      </c>
      <c r="AS120">
        <v>0.7</v>
      </c>
      <c r="AT120">
        <v>1.1000000000000001</v>
      </c>
    </row>
    <row r="121" spans="1:90" x14ac:dyDescent="0.25">
      <c r="A121" s="48">
        <v>2003761</v>
      </c>
    </row>
    <row r="122" spans="1:90" x14ac:dyDescent="0.25">
      <c r="A122" s="48">
        <v>2004061</v>
      </c>
    </row>
    <row r="123" spans="1:90" x14ac:dyDescent="0.25">
      <c r="A123" s="48">
        <v>2006469</v>
      </c>
    </row>
    <row r="124" spans="1:90" x14ac:dyDescent="0.25">
      <c r="A124" s="48">
        <v>3005132</v>
      </c>
      <c r="AJ124">
        <v>3.46</v>
      </c>
    </row>
    <row r="125" spans="1:90" x14ac:dyDescent="0.25">
      <c r="A125" s="48">
        <v>3009119</v>
      </c>
    </row>
    <row r="126" spans="1:90" x14ac:dyDescent="0.25">
      <c r="A126" s="48">
        <v>3009936</v>
      </c>
    </row>
    <row r="127" spans="1:90" x14ac:dyDescent="0.25">
      <c r="A127" s="48">
        <v>3011094</v>
      </c>
    </row>
    <row r="128" spans="1:90" x14ac:dyDescent="0.25">
      <c r="A128" s="48">
        <v>3014643</v>
      </c>
    </row>
    <row r="129" spans="1:90" x14ac:dyDescent="0.25">
      <c r="A129" s="48">
        <v>3016056</v>
      </c>
      <c r="CG129">
        <v>0.9</v>
      </c>
    </row>
    <row r="130" spans="1:90" x14ac:dyDescent="0.25">
      <c r="A130" s="48">
        <v>3900219</v>
      </c>
    </row>
    <row r="131" spans="1:90" x14ac:dyDescent="0.25">
      <c r="A131" s="48">
        <v>4000158</v>
      </c>
    </row>
    <row r="132" spans="1:90" x14ac:dyDescent="0.25">
      <c r="A132" s="48">
        <v>4000304</v>
      </c>
      <c r="AJ132" s="3">
        <v>2.5667</v>
      </c>
    </row>
    <row r="133" spans="1:90" x14ac:dyDescent="0.25">
      <c r="A133" s="48">
        <v>4001905</v>
      </c>
    </row>
    <row r="134" spans="1:90" x14ac:dyDescent="0.25">
      <c r="A134" s="48">
        <v>4002206</v>
      </c>
    </row>
    <row r="135" spans="1:90" x14ac:dyDescent="0.25">
      <c r="A135" s="48">
        <v>4002715</v>
      </c>
    </row>
    <row r="136" spans="1:90" x14ac:dyDescent="0.25">
      <c r="A136" s="48">
        <v>4003924</v>
      </c>
      <c r="AK136" s="3"/>
    </row>
    <row r="137" spans="1:90" x14ac:dyDescent="0.25">
      <c r="A137" s="48">
        <v>4006051</v>
      </c>
    </row>
    <row r="138" spans="1:90" x14ac:dyDescent="0.25">
      <c r="A138" s="48">
        <v>4008140</v>
      </c>
      <c r="B138">
        <v>11</v>
      </c>
      <c r="S138">
        <v>7.3</v>
      </c>
      <c r="AI138">
        <v>5.5</v>
      </c>
      <c r="CL138">
        <v>4.5999999999999996</v>
      </c>
    </row>
    <row r="139" spans="1:90" x14ac:dyDescent="0.25">
      <c r="A139" s="48">
        <v>4009906</v>
      </c>
      <c r="AK139">
        <v>0.5</v>
      </c>
      <c r="BJ139">
        <v>1</v>
      </c>
      <c r="CC139">
        <v>0.7</v>
      </c>
      <c r="CF139">
        <v>0.6</v>
      </c>
    </row>
    <row r="140" spans="1:90" x14ac:dyDescent="0.25">
      <c r="A140" s="48">
        <v>4011027</v>
      </c>
      <c r="AK140">
        <v>0.2631</v>
      </c>
    </row>
    <row r="141" spans="1:90" x14ac:dyDescent="0.25">
      <c r="A141" s="48">
        <v>4011920</v>
      </c>
    </row>
    <row r="142" spans="1:90" x14ac:dyDescent="0.25">
      <c r="A142" s="48">
        <v>4012248</v>
      </c>
    </row>
    <row r="143" spans="1:90" x14ac:dyDescent="0.25">
      <c r="A143" s="48">
        <v>4013603</v>
      </c>
    </row>
    <row r="144" spans="1:90" x14ac:dyDescent="0.25">
      <c r="A144" s="48">
        <v>5004654</v>
      </c>
      <c r="AK144">
        <v>8.5300000000000001E-2</v>
      </c>
      <c r="AM144">
        <v>0.26490000000000002</v>
      </c>
      <c r="AN144">
        <v>0.33090000000000003</v>
      </c>
      <c r="AO144">
        <v>0.44019999999999998</v>
      </c>
      <c r="AP144">
        <v>0.47570000000000001</v>
      </c>
      <c r="AT144">
        <v>0.38919999999999999</v>
      </c>
      <c r="AX144">
        <v>0.24379999999999999</v>
      </c>
      <c r="AZ144">
        <v>0.1988</v>
      </c>
    </row>
    <row r="145" spans="1:88" x14ac:dyDescent="0.25">
      <c r="A145" s="52"/>
    </row>
    <row r="146" spans="1:88" x14ac:dyDescent="0.25">
      <c r="A146" s="50" t="s">
        <v>109</v>
      </c>
    </row>
    <row r="147" spans="1:88" x14ac:dyDescent="0.25">
      <c r="A147" s="48">
        <v>4289</v>
      </c>
    </row>
    <row r="148" spans="1:88" x14ac:dyDescent="0.25">
      <c r="A148" s="48">
        <v>500245</v>
      </c>
      <c r="AJ148" s="3">
        <v>1.105</v>
      </c>
      <c r="AK148">
        <v>0.88290000000000002</v>
      </c>
      <c r="AM148">
        <v>0.9647</v>
      </c>
      <c r="AO148" s="3">
        <v>1.0815999999999999</v>
      </c>
      <c r="AS148">
        <v>0.95299999999999996</v>
      </c>
    </row>
    <row r="149" spans="1:88" x14ac:dyDescent="0.25">
      <c r="A149" s="48">
        <v>2002573</v>
      </c>
      <c r="AQ149">
        <v>4.1512000000000002</v>
      </c>
      <c r="AV149">
        <v>3.9758</v>
      </c>
    </row>
    <row r="150" spans="1:88" x14ac:dyDescent="0.25">
      <c r="A150" s="48">
        <v>2003539</v>
      </c>
      <c r="AQ150">
        <v>1.1000000000000001</v>
      </c>
    </row>
    <row r="151" spans="1:88" x14ac:dyDescent="0.25">
      <c r="A151" s="48">
        <v>2003649</v>
      </c>
    </row>
    <row r="152" spans="1:88" x14ac:dyDescent="0.25">
      <c r="A152" s="48">
        <v>2005572</v>
      </c>
      <c r="AJ152" s="3">
        <v>2.8064</v>
      </c>
    </row>
    <row r="153" spans="1:88" x14ac:dyDescent="0.25">
      <c r="A153" s="48">
        <v>2013117</v>
      </c>
    </row>
    <row r="154" spans="1:88" x14ac:dyDescent="0.25">
      <c r="A154" s="48">
        <v>3009633</v>
      </c>
      <c r="BD154" s="3">
        <v>1.6897</v>
      </c>
      <c r="BE154" s="3"/>
      <c r="BF154" s="3">
        <v>1.6136999999999999</v>
      </c>
      <c r="BG154" s="3"/>
    </row>
    <row r="155" spans="1:88" x14ac:dyDescent="0.25">
      <c r="A155" s="48">
        <v>3010583</v>
      </c>
      <c r="AI155" s="14">
        <v>1.3</v>
      </c>
      <c r="AJ155">
        <v>1.68</v>
      </c>
      <c r="BL155">
        <v>1.68</v>
      </c>
    </row>
    <row r="156" spans="1:88" x14ac:dyDescent="0.25">
      <c r="A156" s="23">
        <v>3011892</v>
      </c>
      <c r="AS156" s="3">
        <v>21.866700000000002</v>
      </c>
      <c r="BB156" s="3">
        <v>6.7237</v>
      </c>
      <c r="BG156" s="3">
        <v>3.6133000000000002</v>
      </c>
    </row>
    <row r="157" spans="1:88" x14ac:dyDescent="0.25">
      <c r="A157">
        <v>4001382</v>
      </c>
      <c r="AX157" s="14" t="s">
        <v>1866</v>
      </c>
      <c r="AY157" s="14">
        <v>11.7</v>
      </c>
    </row>
    <row r="158" spans="1:88" x14ac:dyDescent="0.25">
      <c r="A158" s="48">
        <v>5018675</v>
      </c>
      <c r="AH158" s="48"/>
      <c r="AI158" s="48"/>
      <c r="AJ158" s="48"/>
      <c r="AK158" s="48"/>
      <c r="AL158" s="48"/>
      <c r="AM158" s="48"/>
      <c r="AN158" s="48"/>
      <c r="AO158" s="48"/>
      <c r="AP158" s="48">
        <v>13.74</v>
      </c>
      <c r="AQ158" s="48"/>
      <c r="AR158" s="48"/>
      <c r="AS158" s="48"/>
      <c r="AT158" s="48"/>
      <c r="AU158" s="48"/>
    </row>
    <row r="159" spans="1:88" x14ac:dyDescent="0.25">
      <c r="A159" s="48">
        <v>6050168</v>
      </c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</row>
    <row r="160" spans="1:88" x14ac:dyDescent="0.25">
      <c r="A160" s="48">
        <v>5006592</v>
      </c>
      <c r="AH160" s="48"/>
      <c r="AI160" s="48"/>
      <c r="AJ160" s="48">
        <v>1.9</v>
      </c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BW160">
        <v>2.5</v>
      </c>
      <c r="CJ160">
        <v>2.4</v>
      </c>
    </row>
    <row r="161" spans="1:87" x14ac:dyDescent="0.25">
      <c r="A161" s="48">
        <v>5007274</v>
      </c>
      <c r="AH161" s="48"/>
      <c r="AI161" s="48"/>
      <c r="AJ161" s="48">
        <v>7.6</v>
      </c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>
        <v>12.3</v>
      </c>
    </row>
    <row r="162" spans="1:87" x14ac:dyDescent="0.25">
      <c r="A162" s="48">
        <v>5015851</v>
      </c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BN162" s="3">
        <v>1.0632999999999999</v>
      </c>
      <c r="BU162" s="3">
        <v>2.9817999999999998</v>
      </c>
      <c r="BV162" s="3"/>
      <c r="CE162">
        <v>0.7016</v>
      </c>
      <c r="CI162">
        <v>0.2923</v>
      </c>
    </row>
    <row r="163" spans="1:87" x14ac:dyDescent="0.25">
      <c r="A163" s="48">
        <v>6015647</v>
      </c>
      <c r="E163">
        <v>12.8</v>
      </c>
      <c r="F163">
        <v>12.8</v>
      </c>
      <c r="G163">
        <v>16.899999999999999</v>
      </c>
      <c r="AH163" s="48"/>
      <c r="AI163" s="48">
        <v>19.8</v>
      </c>
      <c r="AJ163" s="48">
        <v>12.8</v>
      </c>
      <c r="AK163" s="48">
        <v>12.8</v>
      </c>
      <c r="AL163" s="48">
        <v>16.899999999999999</v>
      </c>
      <c r="AM163" s="48"/>
      <c r="AN163" s="48">
        <v>20.2</v>
      </c>
      <c r="AO163" s="48"/>
      <c r="AP163" s="48">
        <v>24.1</v>
      </c>
      <c r="AQ163" s="48">
        <v>24.1</v>
      </c>
      <c r="AR163" s="48"/>
      <c r="AS163" s="48">
        <v>23.7</v>
      </c>
      <c r="AT163" s="48"/>
      <c r="AU163" s="48"/>
      <c r="AX163">
        <v>19.8</v>
      </c>
    </row>
    <row r="164" spans="1:87" x14ac:dyDescent="0.25">
      <c r="A164" s="48">
        <v>6056633</v>
      </c>
      <c r="D164">
        <v>1.1000000000000001</v>
      </c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</row>
    <row r="165" spans="1:87" x14ac:dyDescent="0.25">
      <c r="A165" s="48">
        <v>7086224</v>
      </c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>
        <v>0.69340000000000002</v>
      </c>
      <c r="AU165" s="48"/>
      <c r="AY165" s="3">
        <v>1.9965999999999999</v>
      </c>
      <c r="BG165">
        <v>0.64929999999999999</v>
      </c>
      <c r="BJ165">
        <v>0.46150000000000002</v>
      </c>
    </row>
    <row r="166" spans="1:87" x14ac:dyDescent="0.25">
      <c r="A166" s="48">
        <v>8040959</v>
      </c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</row>
    <row r="167" spans="1:87" x14ac:dyDescent="0.25">
      <c r="A167" s="48">
        <v>8107048</v>
      </c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</row>
    <row r="168" spans="1:87" x14ac:dyDescent="0.25">
      <c r="A168" s="48">
        <v>8124044</v>
      </c>
      <c r="AH168" s="48"/>
      <c r="AI168" s="48"/>
      <c r="AJ168" s="48">
        <v>0.8</v>
      </c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BQ168">
        <v>0.76</v>
      </c>
      <c r="BS168">
        <v>0.76</v>
      </c>
      <c r="BV168">
        <v>0.53</v>
      </c>
      <c r="BX168">
        <v>0.49</v>
      </c>
      <c r="CA168">
        <v>0.52</v>
      </c>
    </row>
    <row r="169" spans="1:87" x14ac:dyDescent="0.25">
      <c r="A169" s="48">
        <v>8142949</v>
      </c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>
        <v>4.49</v>
      </c>
      <c r="AT169" s="48"/>
      <c r="AU169" s="48">
        <v>6.3</v>
      </c>
      <c r="AY169">
        <v>3</v>
      </c>
      <c r="BG169">
        <v>1.1000000000000001</v>
      </c>
    </row>
    <row r="170" spans="1:87" x14ac:dyDescent="0.25">
      <c r="A170" s="48">
        <v>9023306</v>
      </c>
      <c r="H170">
        <v>0.3508</v>
      </c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</row>
    <row r="171" spans="1:87" x14ac:dyDescent="0.25">
      <c r="A171" s="48">
        <v>9030615</v>
      </c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</row>
    <row r="172" spans="1:87" x14ac:dyDescent="0.25">
      <c r="A172" s="48">
        <v>9034464</v>
      </c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</row>
    <row r="173" spans="1:87" x14ac:dyDescent="0.25">
      <c r="A173" s="48">
        <v>9040167</v>
      </c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</row>
    <row r="174" spans="1:87" x14ac:dyDescent="0.25">
      <c r="A174" s="48">
        <v>9054567</v>
      </c>
      <c r="AH174" s="48"/>
      <c r="AI174" s="48">
        <v>6.7</v>
      </c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</row>
    <row r="175" spans="1:87" x14ac:dyDescent="0.25">
      <c r="A175" s="48">
        <v>9083682</v>
      </c>
      <c r="AH175" s="48"/>
      <c r="AI175" s="48"/>
      <c r="AJ175" s="48">
        <v>7.3</v>
      </c>
      <c r="AK175" s="48"/>
      <c r="AL175" s="48"/>
      <c r="AM175" s="48">
        <v>11.4</v>
      </c>
      <c r="AN175" s="48"/>
      <c r="AO175" s="48"/>
      <c r="AP175" s="48"/>
      <c r="AQ175" s="48"/>
      <c r="AR175" s="48"/>
      <c r="AS175" s="48"/>
      <c r="AT175" s="48"/>
      <c r="AU175" s="48"/>
    </row>
    <row r="176" spans="1:87" x14ac:dyDescent="0.25">
      <c r="A176" s="48">
        <v>9102044</v>
      </c>
      <c r="AH176" s="48"/>
      <c r="AI176" s="48"/>
      <c r="AJ176" s="48">
        <v>9</v>
      </c>
      <c r="AK176" s="48"/>
      <c r="AL176" s="48"/>
      <c r="AM176" s="48"/>
      <c r="AN176" s="48"/>
      <c r="AO176" s="48"/>
      <c r="AP176" s="48"/>
      <c r="AQ176" s="48">
        <v>21.36</v>
      </c>
      <c r="AR176" s="48"/>
      <c r="AS176" s="48"/>
      <c r="AT176" s="48"/>
      <c r="AU176" s="48"/>
      <c r="AW176">
        <v>16.98</v>
      </c>
      <c r="CB176">
        <v>1.05</v>
      </c>
    </row>
    <row r="177" spans="1:90" x14ac:dyDescent="0.25">
      <c r="A177" s="48">
        <v>9119854</v>
      </c>
      <c r="AH177" s="48"/>
      <c r="AI177" s="48"/>
      <c r="AJ177" s="48"/>
      <c r="AK177" s="48"/>
      <c r="AL177" s="48"/>
      <c r="AM177" s="48"/>
      <c r="AN177" s="48"/>
      <c r="AO177" s="48"/>
      <c r="AP177" s="48"/>
      <c r="AQ177" s="48">
        <v>2.84</v>
      </c>
      <c r="AR177" s="48"/>
      <c r="AS177" s="48"/>
      <c r="AT177" s="48"/>
      <c r="AU177" s="48">
        <v>2.39</v>
      </c>
      <c r="BE177">
        <v>0.93</v>
      </c>
    </row>
    <row r="178" spans="1:90" x14ac:dyDescent="0.25">
      <c r="A178" s="48">
        <v>9125126</v>
      </c>
      <c r="AH178" s="48"/>
      <c r="AI178" s="48"/>
      <c r="AJ178" s="48"/>
      <c r="AK178" s="48"/>
      <c r="AL178" s="48"/>
      <c r="AM178" s="48"/>
      <c r="AN178" s="48"/>
      <c r="AO178" s="48"/>
      <c r="AP178" s="48">
        <v>0.53</v>
      </c>
      <c r="AQ178" s="48"/>
      <c r="AR178" s="48">
        <v>0.42</v>
      </c>
      <c r="AS178" s="48"/>
      <c r="AT178" s="48"/>
      <c r="AU178" s="48"/>
    </row>
    <row r="179" spans="1:90" x14ac:dyDescent="0.25">
      <c r="A179" s="48">
        <v>9174811</v>
      </c>
      <c r="AH179" s="48"/>
      <c r="AI179" s="48"/>
      <c r="AJ179" s="48">
        <v>0.53</v>
      </c>
      <c r="AK179" s="48">
        <v>0.62</v>
      </c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</row>
    <row r="180" spans="1:90" x14ac:dyDescent="0.25">
      <c r="A180" s="48">
        <v>10002875</v>
      </c>
      <c r="AH180" s="48"/>
      <c r="AI180" s="48"/>
      <c r="AJ180" s="48"/>
      <c r="AK180" s="48">
        <v>11.29</v>
      </c>
      <c r="AL180" s="48">
        <v>9.4600000000000009</v>
      </c>
      <c r="AM180" s="54">
        <v>9.4657999999999998</v>
      </c>
      <c r="AN180" s="54">
        <v>11.3192</v>
      </c>
      <c r="AO180" s="54">
        <v>13.470800000000001</v>
      </c>
      <c r="AP180" s="54">
        <v>17.458200000000001</v>
      </c>
      <c r="AQ180" s="48"/>
      <c r="AR180" s="48"/>
      <c r="AS180" s="48"/>
      <c r="AT180" s="48"/>
      <c r="AU180" s="48"/>
      <c r="AX180" s="3">
        <v>19.235600000000002</v>
      </c>
      <c r="BD180" s="3">
        <v>11.576499999999999</v>
      </c>
      <c r="BF180" s="3">
        <v>9.5885999999999996</v>
      </c>
      <c r="BI180" s="3">
        <v>6.9576000000000002</v>
      </c>
    </row>
    <row r="181" spans="1:90" x14ac:dyDescent="0.25">
      <c r="A181" s="48">
        <v>10023080</v>
      </c>
      <c r="AH181" s="48"/>
      <c r="AI181" s="48">
        <v>8.1999999999999993</v>
      </c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BL181">
        <v>8.1999999999999993</v>
      </c>
    </row>
    <row r="182" spans="1:90" x14ac:dyDescent="0.25">
      <c r="A182" s="48">
        <v>10025212</v>
      </c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BA182">
        <v>0.99</v>
      </c>
      <c r="BB182">
        <v>1.8</v>
      </c>
      <c r="BK182">
        <v>0.96</v>
      </c>
    </row>
    <row r="183" spans="1:90" x14ac:dyDescent="0.25">
      <c r="A183" s="48">
        <v>10069407</v>
      </c>
      <c r="AH183" s="48"/>
      <c r="AI183" s="48"/>
      <c r="AJ183" s="48"/>
      <c r="AK183" s="48"/>
      <c r="AL183" s="48"/>
      <c r="AM183" s="48"/>
      <c r="AN183" s="48"/>
      <c r="AO183" s="48"/>
      <c r="AP183" s="48"/>
      <c r="AQ183" s="48">
        <v>0.7</v>
      </c>
      <c r="AR183" s="48"/>
      <c r="AS183" s="48"/>
      <c r="AT183" s="48"/>
      <c r="AU183" s="48"/>
    </row>
    <row r="184" spans="1:90" x14ac:dyDescent="0.25">
      <c r="A184" s="48">
        <v>10071135</v>
      </c>
      <c r="AV184">
        <v>0.98219999999999996</v>
      </c>
      <c r="AX184" s="3">
        <v>1.0173000000000001</v>
      </c>
      <c r="AZ184" s="3">
        <v>1.3097000000000001</v>
      </c>
    </row>
    <row r="185" spans="1:90" x14ac:dyDescent="0.25">
      <c r="A185" s="48">
        <v>10083649</v>
      </c>
    </row>
    <row r="186" spans="1:90" x14ac:dyDescent="0.25">
      <c r="A186" s="48">
        <v>10102021</v>
      </c>
      <c r="AJ186" s="48"/>
    </row>
    <row r="187" spans="1:90" x14ac:dyDescent="0.25">
      <c r="A187" s="48">
        <v>10123729</v>
      </c>
      <c r="AJ187" s="48"/>
      <c r="AK187">
        <v>16.600000000000001</v>
      </c>
      <c r="AO187">
        <v>24.4</v>
      </c>
      <c r="AU187">
        <v>14.7</v>
      </c>
      <c r="CH187">
        <v>0.9</v>
      </c>
    </row>
    <row r="188" spans="1:90" x14ac:dyDescent="0.25">
      <c r="A188" s="48">
        <v>10144736</v>
      </c>
      <c r="AJ188" s="48">
        <v>0.73</v>
      </c>
    </row>
    <row r="189" spans="1:90" x14ac:dyDescent="0.25">
      <c r="A189" s="48">
        <v>10157275</v>
      </c>
      <c r="AJ189" s="54"/>
      <c r="CL189" s="48">
        <v>106</v>
      </c>
    </row>
    <row r="190" spans="1:90" x14ac:dyDescent="0.25">
      <c r="A190" s="52"/>
      <c r="AJ190" s="48"/>
    </row>
    <row r="191" spans="1:90" x14ac:dyDescent="0.25">
      <c r="A191" s="50" t="s">
        <v>83</v>
      </c>
      <c r="AJ191" s="48"/>
    </row>
    <row r="192" spans="1:90" x14ac:dyDescent="0.25">
      <c r="A192" s="48">
        <v>5281</v>
      </c>
      <c r="AI192" s="3">
        <v>5.8467000000000002</v>
      </c>
      <c r="AJ192" s="48"/>
    </row>
    <row r="193" spans="1:90" x14ac:dyDescent="0.25">
      <c r="A193" s="48">
        <v>200085</v>
      </c>
      <c r="Y193">
        <v>0.42</v>
      </c>
      <c r="AK193">
        <v>0.73</v>
      </c>
      <c r="AL193">
        <v>0.7</v>
      </c>
      <c r="AN193">
        <v>0.57999999999999996</v>
      </c>
      <c r="AO193">
        <v>0.55000000000000004</v>
      </c>
      <c r="AP193">
        <v>0.59</v>
      </c>
      <c r="AQ193">
        <v>0.45</v>
      </c>
      <c r="AS193">
        <v>0.54</v>
      </c>
      <c r="AU193">
        <v>0.48</v>
      </c>
      <c r="BH193">
        <v>0.51</v>
      </c>
    </row>
    <row r="194" spans="1:90" x14ac:dyDescent="0.25">
      <c r="A194" s="48">
        <v>500129</v>
      </c>
      <c r="AS194" s="3">
        <v>18.23</v>
      </c>
      <c r="AU194" s="3">
        <v>20.8201</v>
      </c>
      <c r="AV194" s="3">
        <v>20.825900000000001</v>
      </c>
      <c r="BM194" s="3">
        <v>24.965399999999999</v>
      </c>
      <c r="BN194" s="3">
        <v>12.2781</v>
      </c>
      <c r="CD194" s="3">
        <v>5.8467000000000002</v>
      </c>
      <c r="CE194" s="3"/>
    </row>
    <row r="195" spans="1:90" x14ac:dyDescent="0.25">
      <c r="A195" s="51">
        <v>1002033</v>
      </c>
    </row>
    <row r="196" spans="1:90" x14ac:dyDescent="0.25">
      <c r="A196" s="48">
        <v>1003457</v>
      </c>
    </row>
    <row r="197" spans="1:90" x14ac:dyDescent="0.25">
      <c r="A197" s="48">
        <v>2005223</v>
      </c>
      <c r="AJ197" s="3">
        <v>6.0922999999999998</v>
      </c>
      <c r="AL197" s="3">
        <v>5.6421000000000001</v>
      </c>
      <c r="BA197" s="3">
        <v>1.6721999999999999</v>
      </c>
    </row>
    <row r="198" spans="1:90" x14ac:dyDescent="0.25">
      <c r="A198" s="48">
        <v>2006107</v>
      </c>
      <c r="AJ198">
        <v>4.1500000000000004</v>
      </c>
    </row>
    <row r="199" spans="1:90" x14ac:dyDescent="0.25">
      <c r="A199" s="48">
        <v>2012014</v>
      </c>
      <c r="Z199">
        <v>0.3</v>
      </c>
    </row>
    <row r="200" spans="1:90" x14ac:dyDescent="0.25">
      <c r="A200" s="48">
        <v>3000152</v>
      </c>
      <c r="AI200" s="3">
        <v>7.8929999999999998</v>
      </c>
      <c r="CL200" s="3">
        <v>5.8467000000000002</v>
      </c>
    </row>
    <row r="201" spans="1:90" x14ac:dyDescent="0.25">
      <c r="A201" s="48">
        <v>3014566</v>
      </c>
    </row>
    <row r="202" spans="1:90" x14ac:dyDescent="0.25">
      <c r="A202" s="48">
        <v>3015058</v>
      </c>
      <c r="Z202">
        <v>0.6</v>
      </c>
      <c r="AA202" s="14">
        <v>0.6</v>
      </c>
      <c r="AK202">
        <v>0.3</v>
      </c>
      <c r="AL202">
        <v>0.4</v>
      </c>
      <c r="AR202">
        <v>0.3</v>
      </c>
    </row>
    <row r="203" spans="1:90" x14ac:dyDescent="0.25">
      <c r="A203" s="51">
        <v>4000996</v>
      </c>
      <c r="AL203">
        <v>0.61980000000000002</v>
      </c>
      <c r="AM203">
        <v>0.42680000000000001</v>
      </c>
      <c r="AX203">
        <v>0.57879999999999998</v>
      </c>
    </row>
    <row r="204" spans="1:90" x14ac:dyDescent="0.25">
      <c r="A204" s="48">
        <v>4003768</v>
      </c>
      <c r="AD204">
        <v>0.41</v>
      </c>
      <c r="AG204">
        <v>0.52</v>
      </c>
      <c r="AJ204">
        <v>3.74</v>
      </c>
      <c r="AK204">
        <v>10.41</v>
      </c>
      <c r="AL204">
        <v>13.46</v>
      </c>
      <c r="AM204">
        <v>14.36</v>
      </c>
    </row>
    <row r="205" spans="1:90" x14ac:dyDescent="0.25">
      <c r="A205" s="48">
        <v>4006540</v>
      </c>
      <c r="AT205" s="3">
        <v>12.161099999999999</v>
      </c>
      <c r="AU205" s="3">
        <v>1.3271999999999999</v>
      </c>
      <c r="AX205" s="3">
        <v>9.0038999999999998</v>
      </c>
      <c r="BA205" s="3">
        <v>6.7237</v>
      </c>
    </row>
    <row r="206" spans="1:90" x14ac:dyDescent="0.25">
      <c r="A206" s="48">
        <v>4007054</v>
      </c>
      <c r="AN206" t="s">
        <v>1410</v>
      </c>
      <c r="AY206">
        <v>0.16739999999999999</v>
      </c>
    </row>
    <row r="207" spans="1:90" x14ac:dyDescent="0.25">
      <c r="A207" s="48">
        <v>4011002</v>
      </c>
      <c r="AJ207">
        <v>0.2072</v>
      </c>
      <c r="AO207">
        <v>0.16209999999999999</v>
      </c>
      <c r="AR207">
        <v>0.19819999999999999</v>
      </c>
    </row>
    <row r="208" spans="1:90" x14ac:dyDescent="0.25">
      <c r="A208" s="48">
        <v>4900268</v>
      </c>
    </row>
    <row r="209" spans="1:89" x14ac:dyDescent="0.25">
      <c r="A209" s="48">
        <v>5001097</v>
      </c>
      <c r="AC209">
        <v>0.46</v>
      </c>
      <c r="AN209">
        <v>0.36</v>
      </c>
    </row>
    <row r="210" spans="1:89" x14ac:dyDescent="0.25">
      <c r="A210" s="48">
        <v>5001098</v>
      </c>
      <c r="AA210">
        <v>0.41</v>
      </c>
      <c r="AB210">
        <v>0.46</v>
      </c>
      <c r="AE210">
        <v>0.52</v>
      </c>
    </row>
    <row r="211" spans="1:89" x14ac:dyDescent="0.25">
      <c r="A211" s="48">
        <v>5006152</v>
      </c>
      <c r="AG211">
        <v>9.0499999999999997E-2</v>
      </c>
      <c r="AK211">
        <v>0.20699999999999999</v>
      </c>
    </row>
    <row r="212" spans="1:89" x14ac:dyDescent="0.25">
      <c r="A212" s="48">
        <v>6012361</v>
      </c>
      <c r="AL212" s="3">
        <v>2.4556</v>
      </c>
      <c r="AM212" s="3">
        <v>2.0756000000000001</v>
      </c>
    </row>
    <row r="213" spans="1:89" x14ac:dyDescent="0.25">
      <c r="A213" s="48">
        <v>6015793</v>
      </c>
      <c r="AH213">
        <v>2.2000000000000002</v>
      </c>
      <c r="AJ213">
        <v>2.11</v>
      </c>
      <c r="AK213">
        <v>1.73</v>
      </c>
      <c r="AN213">
        <v>1.28</v>
      </c>
    </row>
    <row r="214" spans="1:89" x14ac:dyDescent="0.25">
      <c r="A214" s="48">
        <v>6043619</v>
      </c>
    </row>
    <row r="215" spans="1:89" x14ac:dyDescent="0.25">
      <c r="A215" s="48">
        <v>7001097</v>
      </c>
    </row>
    <row r="216" spans="1:89" x14ac:dyDescent="0.25">
      <c r="A216" s="48">
        <v>7011435</v>
      </c>
      <c r="AJ216">
        <v>0.85289999999999999</v>
      </c>
      <c r="AL216">
        <v>0.45050000000000001</v>
      </c>
      <c r="AP216">
        <v>0.2102</v>
      </c>
    </row>
    <row r="217" spans="1:89" x14ac:dyDescent="0.25">
      <c r="A217" s="48">
        <v>7045811</v>
      </c>
    </row>
    <row r="218" spans="1:89" x14ac:dyDescent="0.25">
      <c r="A218" s="48">
        <v>7071198</v>
      </c>
      <c r="W218">
        <v>0.39350000000000002</v>
      </c>
      <c r="AN218" t="s">
        <v>1739</v>
      </c>
      <c r="CK218">
        <v>3.5700000000000003E-2</v>
      </c>
    </row>
    <row r="219" spans="1:89" x14ac:dyDescent="0.25">
      <c r="A219" s="48">
        <v>7101143</v>
      </c>
      <c r="AJ219">
        <v>1.61</v>
      </c>
      <c r="AL219">
        <v>2.2599999999999998</v>
      </c>
      <c r="AM219">
        <v>1.76</v>
      </c>
      <c r="AQ219">
        <v>1.59</v>
      </c>
      <c r="AT219">
        <v>1.57</v>
      </c>
      <c r="AV219">
        <v>0.99</v>
      </c>
    </row>
    <row r="220" spans="1:89" x14ac:dyDescent="0.25">
      <c r="A220" s="48">
        <v>8073350</v>
      </c>
      <c r="AI220" s="14">
        <v>18</v>
      </c>
    </row>
    <row r="221" spans="1:89" x14ac:dyDescent="0.25">
      <c r="A221" s="48">
        <v>8073645</v>
      </c>
      <c r="AK221" s="48">
        <v>4.0999999999999996</v>
      </c>
    </row>
    <row r="222" spans="1:89" x14ac:dyDescent="0.25">
      <c r="A222" s="51">
        <v>8089666</v>
      </c>
      <c r="AF222">
        <v>0.8</v>
      </c>
      <c r="AG222" s="14">
        <v>1.5</v>
      </c>
      <c r="AH222">
        <v>1.9</v>
      </c>
      <c r="AJ222" s="14">
        <v>3.5</v>
      </c>
      <c r="AK222">
        <v>5.5</v>
      </c>
    </row>
    <row r="223" spans="1:89" x14ac:dyDescent="0.25">
      <c r="A223" s="48">
        <v>8103536</v>
      </c>
    </row>
    <row r="224" spans="1:89" x14ac:dyDescent="0.25">
      <c r="A224" s="48">
        <v>8124816</v>
      </c>
      <c r="AR224">
        <v>1</v>
      </c>
      <c r="AW224">
        <v>0.37</v>
      </c>
      <c r="BB224">
        <v>0.49</v>
      </c>
    </row>
    <row r="225" spans="1:83" x14ac:dyDescent="0.25">
      <c r="A225" s="48">
        <v>9003267</v>
      </c>
    </row>
    <row r="226" spans="1:83" x14ac:dyDescent="0.25">
      <c r="A226" s="48">
        <v>9036964</v>
      </c>
      <c r="V226">
        <v>0.21149999999999999</v>
      </c>
      <c r="AL226">
        <v>0.15379999999999999</v>
      </c>
      <c r="AP226">
        <v>0.10630000000000001</v>
      </c>
    </row>
    <row r="227" spans="1:83" x14ac:dyDescent="0.25">
      <c r="A227" s="48">
        <v>9090287</v>
      </c>
      <c r="AL227">
        <v>0.53959999999999997</v>
      </c>
      <c r="AM227">
        <v>0.63009999999999999</v>
      </c>
      <c r="AN227">
        <v>0.67079999999999995</v>
      </c>
      <c r="AO227">
        <v>0.45700000000000002</v>
      </c>
      <c r="AP227">
        <v>0.26919999999999999</v>
      </c>
    </row>
    <row r="228" spans="1:83" x14ac:dyDescent="0.25">
      <c r="A228" s="48">
        <v>9095148</v>
      </c>
    </row>
    <row r="229" spans="1:83" x14ac:dyDescent="0.25">
      <c r="A229" s="48">
        <v>9104979</v>
      </c>
      <c r="AI229" s="48"/>
      <c r="AJ229" s="48"/>
      <c r="AM229">
        <v>5.4</v>
      </c>
      <c r="AP229">
        <v>2.1</v>
      </c>
      <c r="AT229">
        <v>2.4</v>
      </c>
      <c r="AX229">
        <v>1.3</v>
      </c>
      <c r="BG229" s="48"/>
      <c r="BH229" s="48"/>
      <c r="BM229">
        <v>7.8</v>
      </c>
      <c r="BT229">
        <v>4.5</v>
      </c>
    </row>
    <row r="230" spans="1:83" x14ac:dyDescent="0.25">
      <c r="A230" s="48">
        <v>9139514</v>
      </c>
      <c r="AI230" s="48"/>
      <c r="AJ230" s="48"/>
      <c r="AT230">
        <v>7.71</v>
      </c>
      <c r="AY230">
        <v>17.260000000000002</v>
      </c>
      <c r="BG230" s="48">
        <v>41</v>
      </c>
      <c r="BH230" s="48"/>
      <c r="BI230">
        <v>31</v>
      </c>
      <c r="BU230">
        <v>7</v>
      </c>
      <c r="BZ230">
        <v>5</v>
      </c>
      <c r="CE230">
        <v>2.2000000000000002</v>
      </c>
    </row>
    <row r="231" spans="1:83" x14ac:dyDescent="0.25">
      <c r="A231" s="48">
        <v>10020659</v>
      </c>
      <c r="AI231" s="48"/>
      <c r="AJ231" s="48"/>
      <c r="AM231">
        <v>0.15840000000000001</v>
      </c>
      <c r="BG231" s="48"/>
      <c r="BH231" s="48"/>
    </row>
    <row r="232" spans="1:83" x14ac:dyDescent="0.25">
      <c r="A232" s="48">
        <v>10025902</v>
      </c>
      <c r="AI232" s="48"/>
      <c r="AJ232" s="48">
        <v>0.56559999999999999</v>
      </c>
      <c r="AK232">
        <v>0.37330000000000002</v>
      </c>
      <c r="BG232" s="48"/>
      <c r="BH232" s="48"/>
    </row>
    <row r="233" spans="1:83" x14ac:dyDescent="0.25">
      <c r="A233" s="48">
        <v>10027654</v>
      </c>
      <c r="AI233" s="48"/>
      <c r="AJ233" s="48"/>
      <c r="AK233">
        <v>0.7</v>
      </c>
      <c r="AW233">
        <v>0.8</v>
      </c>
    </row>
    <row r="234" spans="1:83" x14ac:dyDescent="0.25">
      <c r="A234" s="48">
        <v>10084485</v>
      </c>
      <c r="AI234" s="48"/>
      <c r="AJ234" s="48"/>
    </row>
    <row r="235" spans="1:83" x14ac:dyDescent="0.25">
      <c r="A235" s="48">
        <v>10098420</v>
      </c>
      <c r="AK235">
        <v>4.88</v>
      </c>
      <c r="AL235">
        <v>1.99</v>
      </c>
    </row>
    <row r="236" spans="1:83" x14ac:dyDescent="0.25">
      <c r="A236" s="48">
        <v>10129565</v>
      </c>
    </row>
    <row r="237" spans="1:83" x14ac:dyDescent="0.25">
      <c r="A237" s="48">
        <v>10146828</v>
      </c>
      <c r="AJ237">
        <v>0.4</v>
      </c>
      <c r="AW237">
        <v>0.4</v>
      </c>
    </row>
    <row r="238" spans="1:83" x14ac:dyDescent="0.25">
      <c r="A238">
        <v>10163776</v>
      </c>
    </row>
    <row r="239" spans="1:83" x14ac:dyDescent="0.25">
      <c r="A239">
        <v>10173664</v>
      </c>
    </row>
  </sheetData>
  <conditionalFormatting sqref="A19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351E-A9A5-4AD9-AB87-1024759AC84F}">
  <dimension ref="A1:D101"/>
  <sheetViews>
    <sheetView workbookViewId="0">
      <selection activeCell="F26" sqref="F26"/>
    </sheetView>
  </sheetViews>
  <sheetFormatPr baseColWidth="10" defaultRowHeight="15" x14ac:dyDescent="0.25"/>
  <cols>
    <col min="1" max="1" width="17.28515625" bestFit="1" customWidth="1"/>
    <col min="2" max="2" width="10.85546875" bestFit="1" customWidth="1"/>
    <col min="3" max="3" width="81.140625" bestFit="1" customWidth="1"/>
    <col min="4" max="4" width="30.28515625" bestFit="1" customWidth="1"/>
  </cols>
  <sheetData>
    <row r="1" spans="1:4" x14ac:dyDescent="0.25">
      <c r="A1" s="62" t="s">
        <v>43</v>
      </c>
      <c r="B1" s="62" t="s">
        <v>2411</v>
      </c>
      <c r="C1" s="62" t="s">
        <v>1914</v>
      </c>
      <c r="D1" s="62" t="s">
        <v>1873</v>
      </c>
    </row>
    <row r="2" spans="1:4" x14ac:dyDescent="0.25">
      <c r="A2" s="62">
        <v>96018835</v>
      </c>
      <c r="B2" s="62" t="s">
        <v>2411</v>
      </c>
      <c r="C2" s="62" t="s">
        <v>2412</v>
      </c>
      <c r="D2" s="62">
        <v>8</v>
      </c>
    </row>
    <row r="3" spans="1:4" x14ac:dyDescent="0.25">
      <c r="A3" s="62">
        <v>7103068</v>
      </c>
      <c r="B3" s="62" t="s">
        <v>2411</v>
      </c>
      <c r="C3" s="62" t="s">
        <v>581</v>
      </c>
      <c r="D3" s="62">
        <v>1</v>
      </c>
    </row>
    <row r="4" spans="1:4" x14ac:dyDescent="0.25">
      <c r="A4" s="62">
        <v>11240728</v>
      </c>
      <c r="B4" s="62" t="s">
        <v>2411</v>
      </c>
      <c r="C4" s="62" t="s">
        <v>2413</v>
      </c>
      <c r="D4" s="62">
        <v>3</v>
      </c>
    </row>
    <row r="5" spans="1:4" x14ac:dyDescent="0.25">
      <c r="A5" s="62">
        <v>6011198</v>
      </c>
      <c r="B5" s="62" t="s">
        <v>2411</v>
      </c>
      <c r="C5" s="62" t="s">
        <v>581</v>
      </c>
      <c r="D5" s="62">
        <v>1</v>
      </c>
    </row>
    <row r="6" spans="1:4" x14ac:dyDescent="0.25">
      <c r="A6" s="62">
        <v>6012681</v>
      </c>
      <c r="B6" s="62" t="s">
        <v>2411</v>
      </c>
      <c r="C6" s="62" t="s">
        <v>790</v>
      </c>
      <c r="D6" s="62">
        <v>1</v>
      </c>
    </row>
    <row r="7" spans="1:4" x14ac:dyDescent="0.25">
      <c r="A7" s="62">
        <v>7000458</v>
      </c>
      <c r="B7" s="62" t="s">
        <v>2411</v>
      </c>
      <c r="C7" s="62" t="s">
        <v>945</v>
      </c>
      <c r="D7" s="62">
        <v>1</v>
      </c>
    </row>
    <row r="8" spans="1:4" x14ac:dyDescent="0.25">
      <c r="A8" s="62">
        <v>7076814</v>
      </c>
      <c r="B8" s="62" t="s">
        <v>2411</v>
      </c>
      <c r="C8" s="62" t="s">
        <v>790</v>
      </c>
      <c r="D8" s="62">
        <v>1</v>
      </c>
    </row>
    <row r="9" spans="1:4" x14ac:dyDescent="0.25">
      <c r="A9" s="62">
        <v>7076815</v>
      </c>
      <c r="B9" s="62" t="s">
        <v>2411</v>
      </c>
      <c r="C9" s="62" t="s">
        <v>2414</v>
      </c>
      <c r="D9" s="62">
        <v>1</v>
      </c>
    </row>
    <row r="10" spans="1:4" x14ac:dyDescent="0.25">
      <c r="A10" s="62">
        <v>8091779</v>
      </c>
      <c r="B10" s="62" t="s">
        <v>2411</v>
      </c>
      <c r="C10" s="62" t="s">
        <v>581</v>
      </c>
      <c r="D10" s="62">
        <v>1</v>
      </c>
    </row>
    <row r="11" spans="1:4" x14ac:dyDescent="0.25">
      <c r="A11" s="62">
        <v>8097989</v>
      </c>
      <c r="B11" s="62" t="s">
        <v>2411</v>
      </c>
      <c r="C11" s="62" t="s">
        <v>581</v>
      </c>
      <c r="D11" s="62">
        <v>1</v>
      </c>
    </row>
    <row r="12" spans="1:4" x14ac:dyDescent="0.25">
      <c r="A12" s="62">
        <v>8112522</v>
      </c>
      <c r="B12" s="62" t="s">
        <v>2411</v>
      </c>
      <c r="C12" s="62" t="s">
        <v>2415</v>
      </c>
      <c r="D12" s="62">
        <v>3</v>
      </c>
    </row>
    <row r="13" spans="1:4" x14ac:dyDescent="0.25">
      <c r="A13" s="62">
        <v>9003331</v>
      </c>
      <c r="B13" s="62" t="s">
        <v>2411</v>
      </c>
      <c r="C13" s="62" t="s">
        <v>2416</v>
      </c>
      <c r="D13" s="62">
        <v>2</v>
      </c>
    </row>
    <row r="14" spans="1:4" x14ac:dyDescent="0.25">
      <c r="A14" s="62">
        <v>9016278</v>
      </c>
      <c r="B14" s="62" t="s">
        <v>2411</v>
      </c>
      <c r="C14" s="62" t="s">
        <v>2417</v>
      </c>
      <c r="D14" s="62">
        <v>8</v>
      </c>
    </row>
    <row r="15" spans="1:4" x14ac:dyDescent="0.25">
      <c r="A15" s="62">
        <v>9039416</v>
      </c>
      <c r="B15" s="62" t="s">
        <v>2411</v>
      </c>
      <c r="C15" s="62" t="s">
        <v>943</v>
      </c>
      <c r="D15" s="62">
        <v>1</v>
      </c>
    </row>
    <row r="16" spans="1:4" x14ac:dyDescent="0.25">
      <c r="A16" s="62">
        <v>9042861</v>
      </c>
      <c r="B16" s="62" t="s">
        <v>2411</v>
      </c>
      <c r="C16" s="62" t="s">
        <v>2408</v>
      </c>
      <c r="D16" s="62">
        <v>1</v>
      </c>
    </row>
    <row r="17" spans="1:4" x14ac:dyDescent="0.25">
      <c r="A17" s="62">
        <v>9044899</v>
      </c>
      <c r="B17" s="62" t="s">
        <v>2411</v>
      </c>
      <c r="C17" s="62" t="s">
        <v>2418</v>
      </c>
      <c r="D17" s="62">
        <v>1</v>
      </c>
    </row>
    <row r="18" spans="1:4" x14ac:dyDescent="0.25">
      <c r="A18" s="62">
        <v>9085204</v>
      </c>
      <c r="B18" s="62" t="s">
        <v>2411</v>
      </c>
      <c r="C18" s="62" t="s">
        <v>2403</v>
      </c>
      <c r="D18" s="62">
        <v>1</v>
      </c>
    </row>
    <row r="19" spans="1:4" x14ac:dyDescent="0.25">
      <c r="A19" s="62">
        <v>9105492</v>
      </c>
      <c r="B19" s="62" t="s">
        <v>2411</v>
      </c>
      <c r="C19" s="62" t="s">
        <v>2419</v>
      </c>
      <c r="D19" s="62">
        <v>4</v>
      </c>
    </row>
    <row r="20" spans="1:4" x14ac:dyDescent="0.25">
      <c r="A20" s="62">
        <v>10010926</v>
      </c>
      <c r="B20" s="62" t="s">
        <v>2411</v>
      </c>
      <c r="C20" s="62" t="s">
        <v>2420</v>
      </c>
      <c r="D20" s="62">
        <v>2</v>
      </c>
    </row>
    <row r="21" spans="1:4" x14ac:dyDescent="0.25">
      <c r="A21" s="62">
        <v>10016588</v>
      </c>
      <c r="B21" s="62" t="s">
        <v>2411</v>
      </c>
      <c r="C21" s="62" t="s">
        <v>581</v>
      </c>
      <c r="D21" s="62">
        <v>1</v>
      </c>
    </row>
    <row r="22" spans="1:4" x14ac:dyDescent="0.25">
      <c r="A22" s="62">
        <v>10030897</v>
      </c>
      <c r="B22" s="62" t="s">
        <v>2411</v>
      </c>
      <c r="C22" s="62" t="s">
        <v>2421</v>
      </c>
      <c r="D22" s="62">
        <v>7</v>
      </c>
    </row>
    <row r="23" spans="1:4" x14ac:dyDescent="0.25">
      <c r="A23" s="62">
        <v>324</v>
      </c>
      <c r="B23" s="62" t="s">
        <v>2411</v>
      </c>
      <c r="C23" s="62" t="s">
        <v>1174</v>
      </c>
      <c r="D23" s="62">
        <v>1</v>
      </c>
    </row>
    <row r="24" spans="1:4" x14ac:dyDescent="0.25">
      <c r="A24" s="62">
        <v>3909</v>
      </c>
      <c r="B24" s="62" t="s">
        <v>2411</v>
      </c>
      <c r="C24" s="62" t="s">
        <v>951</v>
      </c>
      <c r="D24" s="62">
        <v>1</v>
      </c>
    </row>
    <row r="25" spans="1:4" x14ac:dyDescent="0.25">
      <c r="A25" s="62">
        <v>1005522</v>
      </c>
      <c r="B25" s="62" t="s">
        <v>2411</v>
      </c>
      <c r="C25" s="62" t="s">
        <v>2422</v>
      </c>
      <c r="D25" s="62">
        <v>2</v>
      </c>
    </row>
    <row r="26" spans="1:4" x14ac:dyDescent="0.25">
      <c r="A26" s="62">
        <v>1007631</v>
      </c>
      <c r="B26" s="62" t="s">
        <v>2411</v>
      </c>
      <c r="C26" s="62" t="s">
        <v>2423</v>
      </c>
      <c r="D26" s="62">
        <v>4</v>
      </c>
    </row>
    <row r="27" spans="1:4" x14ac:dyDescent="0.25">
      <c r="A27" s="62">
        <v>1009760</v>
      </c>
      <c r="B27" s="62" t="s">
        <v>2411</v>
      </c>
      <c r="C27" s="62" t="s">
        <v>2424</v>
      </c>
      <c r="D27" s="62">
        <v>2</v>
      </c>
    </row>
    <row r="28" spans="1:4" x14ac:dyDescent="0.25">
      <c r="A28" s="62">
        <v>2000646</v>
      </c>
      <c r="B28" s="62" t="s">
        <v>2411</v>
      </c>
      <c r="C28" s="62" t="s">
        <v>2425</v>
      </c>
      <c r="D28" s="62">
        <v>4</v>
      </c>
    </row>
    <row r="29" spans="1:4" x14ac:dyDescent="0.25">
      <c r="A29" s="62">
        <v>3005132</v>
      </c>
      <c r="B29" s="62" t="s">
        <v>2411</v>
      </c>
      <c r="C29" s="62" t="s">
        <v>2418</v>
      </c>
      <c r="D29" s="62">
        <v>1</v>
      </c>
    </row>
    <row r="30" spans="1:4" x14ac:dyDescent="0.25">
      <c r="A30" s="62">
        <v>3016056</v>
      </c>
      <c r="B30" s="62" t="s">
        <v>2411</v>
      </c>
      <c r="C30" s="62" t="s">
        <v>952</v>
      </c>
      <c r="D30" s="62">
        <v>1</v>
      </c>
    </row>
    <row r="31" spans="1:4" x14ac:dyDescent="0.25">
      <c r="A31" s="62">
        <v>4000304</v>
      </c>
      <c r="B31" s="62" t="s">
        <v>2411</v>
      </c>
      <c r="C31" s="62" t="s">
        <v>2418</v>
      </c>
      <c r="D31" s="62">
        <v>1</v>
      </c>
    </row>
    <row r="32" spans="1:4" x14ac:dyDescent="0.25">
      <c r="A32" s="62">
        <v>4008140</v>
      </c>
      <c r="B32" s="62" t="s">
        <v>2411</v>
      </c>
      <c r="C32" s="62" t="s">
        <v>2426</v>
      </c>
      <c r="D32" s="62">
        <v>4</v>
      </c>
    </row>
    <row r="33" spans="1:4" x14ac:dyDescent="0.25">
      <c r="A33" s="62">
        <v>4009906</v>
      </c>
      <c r="B33" s="62" t="s">
        <v>2411</v>
      </c>
      <c r="C33" s="62" t="s">
        <v>2427</v>
      </c>
      <c r="D33" s="62">
        <v>4</v>
      </c>
    </row>
    <row r="34" spans="1:4" x14ac:dyDescent="0.25">
      <c r="A34" s="62">
        <v>4011027</v>
      </c>
      <c r="B34" s="62" t="s">
        <v>2411</v>
      </c>
      <c r="C34" s="62" t="s">
        <v>764</v>
      </c>
      <c r="D34" s="62">
        <v>1</v>
      </c>
    </row>
    <row r="35" spans="1:4" x14ac:dyDescent="0.25">
      <c r="A35" s="62">
        <v>5004654</v>
      </c>
      <c r="B35" s="62" t="s">
        <v>2411</v>
      </c>
      <c r="C35" s="62" t="s">
        <v>2428</v>
      </c>
      <c r="D35" s="62">
        <v>8</v>
      </c>
    </row>
    <row r="36" spans="1:4" x14ac:dyDescent="0.25">
      <c r="A36" s="62">
        <v>500245</v>
      </c>
      <c r="B36" s="62" t="s">
        <v>2411</v>
      </c>
      <c r="C36" s="62" t="s">
        <v>2429</v>
      </c>
      <c r="D36" s="62">
        <v>5</v>
      </c>
    </row>
    <row r="37" spans="1:4" x14ac:dyDescent="0.25">
      <c r="A37" s="62">
        <v>2002573</v>
      </c>
      <c r="B37" s="62" t="s">
        <v>2411</v>
      </c>
      <c r="C37" s="62" t="s">
        <v>2430</v>
      </c>
      <c r="D37" s="62">
        <v>2</v>
      </c>
    </row>
    <row r="38" spans="1:4" x14ac:dyDescent="0.25">
      <c r="A38" s="62">
        <v>2003539</v>
      </c>
      <c r="B38" s="62" t="s">
        <v>2411</v>
      </c>
      <c r="C38" s="62" t="s">
        <v>1170</v>
      </c>
      <c r="D38" s="62">
        <v>1</v>
      </c>
    </row>
    <row r="39" spans="1:4" x14ac:dyDescent="0.25">
      <c r="A39" s="62">
        <v>2005572</v>
      </c>
      <c r="B39" s="62" t="s">
        <v>2411</v>
      </c>
      <c r="C39" s="62" t="s">
        <v>2418</v>
      </c>
      <c r="D39" s="62">
        <v>1</v>
      </c>
    </row>
    <row r="40" spans="1:4" x14ac:dyDescent="0.25">
      <c r="A40" s="62">
        <v>3009633</v>
      </c>
      <c r="B40" s="62" t="s">
        <v>2411</v>
      </c>
      <c r="C40" s="62" t="s">
        <v>2431</v>
      </c>
      <c r="D40" s="62">
        <v>2</v>
      </c>
    </row>
    <row r="41" spans="1:4" x14ac:dyDescent="0.25">
      <c r="A41" s="62">
        <v>3010583</v>
      </c>
      <c r="B41" s="62" t="s">
        <v>2411</v>
      </c>
      <c r="C41" s="62" t="s">
        <v>2432</v>
      </c>
      <c r="D41" s="62">
        <v>3</v>
      </c>
    </row>
    <row r="42" spans="1:4" x14ac:dyDescent="0.25">
      <c r="A42" s="62">
        <v>3011892</v>
      </c>
      <c r="B42" s="62" t="s">
        <v>2411</v>
      </c>
      <c r="C42" s="62" t="s">
        <v>2433</v>
      </c>
      <c r="D42" s="62">
        <v>3</v>
      </c>
    </row>
    <row r="43" spans="1:4" x14ac:dyDescent="0.25">
      <c r="A43" s="62">
        <v>4001382</v>
      </c>
      <c r="B43" s="62" t="s">
        <v>2411</v>
      </c>
      <c r="C43" s="62" t="s">
        <v>2434</v>
      </c>
      <c r="D43" s="62">
        <v>2</v>
      </c>
    </row>
    <row r="44" spans="1:4" x14ac:dyDescent="0.25">
      <c r="A44" s="62">
        <v>5018675</v>
      </c>
      <c r="B44" s="62" t="s">
        <v>2411</v>
      </c>
      <c r="C44" s="62" t="s">
        <v>2405</v>
      </c>
      <c r="D44" s="62">
        <v>1</v>
      </c>
    </row>
    <row r="45" spans="1:4" x14ac:dyDescent="0.25">
      <c r="A45" s="62">
        <v>5006592</v>
      </c>
      <c r="B45" s="62" t="s">
        <v>2411</v>
      </c>
      <c r="C45" s="62" t="s">
        <v>2435</v>
      </c>
      <c r="D45" s="62">
        <v>3</v>
      </c>
    </row>
    <row r="46" spans="1:4" x14ac:dyDescent="0.25">
      <c r="A46" s="62">
        <v>5007274</v>
      </c>
      <c r="B46" s="62" t="s">
        <v>2411</v>
      </c>
      <c r="C46" s="62" t="s">
        <v>2436</v>
      </c>
      <c r="D46" s="62">
        <v>2</v>
      </c>
    </row>
    <row r="47" spans="1:4" x14ac:dyDescent="0.25">
      <c r="A47" s="62">
        <v>5015851</v>
      </c>
      <c r="B47" s="62" t="s">
        <v>2411</v>
      </c>
      <c r="C47" s="62" t="s">
        <v>2437</v>
      </c>
      <c r="D47" s="62">
        <v>4</v>
      </c>
    </row>
    <row r="48" spans="1:4" x14ac:dyDescent="0.25">
      <c r="A48" s="62">
        <v>6015647</v>
      </c>
      <c r="B48" s="62" t="s">
        <v>2411</v>
      </c>
      <c r="C48" s="62" t="s">
        <v>2438</v>
      </c>
      <c r="D48" s="62">
        <v>12</v>
      </c>
    </row>
    <row r="49" spans="1:4" x14ac:dyDescent="0.25">
      <c r="A49" s="62">
        <v>6056633</v>
      </c>
      <c r="B49" s="62" t="s">
        <v>2411</v>
      </c>
      <c r="C49" s="62" t="s">
        <v>760</v>
      </c>
      <c r="D49" s="62">
        <v>1</v>
      </c>
    </row>
    <row r="50" spans="1:4" x14ac:dyDescent="0.25">
      <c r="A50" s="62">
        <v>7086224</v>
      </c>
      <c r="B50" s="62" t="s">
        <v>2411</v>
      </c>
      <c r="C50" s="62" t="s">
        <v>2439</v>
      </c>
      <c r="D50" s="62">
        <v>4</v>
      </c>
    </row>
    <row r="51" spans="1:4" x14ac:dyDescent="0.25">
      <c r="A51">
        <v>8124044</v>
      </c>
      <c r="B51" s="62" t="s">
        <v>2411</v>
      </c>
      <c r="C51" t="s">
        <v>2440</v>
      </c>
      <c r="D51">
        <v>6</v>
      </c>
    </row>
    <row r="52" spans="1:4" x14ac:dyDescent="0.25">
      <c r="A52">
        <v>8142949</v>
      </c>
      <c r="B52" s="62" t="s">
        <v>2411</v>
      </c>
      <c r="C52" t="s">
        <v>2441</v>
      </c>
      <c r="D52">
        <v>4</v>
      </c>
    </row>
    <row r="53" spans="1:4" x14ac:dyDescent="0.25">
      <c r="A53">
        <v>9023306</v>
      </c>
      <c r="B53" s="62" t="s">
        <v>2411</v>
      </c>
      <c r="C53" t="s">
        <v>943</v>
      </c>
      <c r="D53">
        <v>1</v>
      </c>
    </row>
    <row r="54" spans="1:4" x14ac:dyDescent="0.25">
      <c r="A54">
        <v>9054567</v>
      </c>
      <c r="B54" s="62" t="s">
        <v>2411</v>
      </c>
      <c r="C54" t="s">
        <v>2402</v>
      </c>
      <c r="D54">
        <v>1</v>
      </c>
    </row>
    <row r="55" spans="1:4" x14ac:dyDescent="0.25">
      <c r="A55">
        <v>9083682</v>
      </c>
      <c r="B55" s="62" t="s">
        <v>2411</v>
      </c>
      <c r="C55" t="s">
        <v>2442</v>
      </c>
      <c r="D55">
        <v>2</v>
      </c>
    </row>
    <row r="56" spans="1:4" x14ac:dyDescent="0.25">
      <c r="A56">
        <v>9102044</v>
      </c>
      <c r="B56" s="62" t="s">
        <v>2411</v>
      </c>
      <c r="C56" t="s">
        <v>2443</v>
      </c>
      <c r="D56">
        <v>4</v>
      </c>
    </row>
    <row r="57" spans="1:4" x14ac:dyDescent="0.25">
      <c r="A57">
        <v>9119854</v>
      </c>
      <c r="B57" s="62" t="s">
        <v>2411</v>
      </c>
      <c r="C57" t="s">
        <v>2444</v>
      </c>
      <c r="D57">
        <v>3</v>
      </c>
    </row>
    <row r="58" spans="1:4" x14ac:dyDescent="0.25">
      <c r="A58">
        <v>9125126</v>
      </c>
      <c r="B58" s="62" t="s">
        <v>2411</v>
      </c>
      <c r="C58" t="s">
        <v>2445</v>
      </c>
      <c r="D58">
        <v>2</v>
      </c>
    </row>
    <row r="59" spans="1:4" x14ac:dyDescent="0.25">
      <c r="A59">
        <v>9174811</v>
      </c>
      <c r="B59" s="62" t="s">
        <v>2411</v>
      </c>
      <c r="C59" t="s">
        <v>2446</v>
      </c>
      <c r="D59">
        <v>2</v>
      </c>
    </row>
    <row r="60" spans="1:4" x14ac:dyDescent="0.25">
      <c r="A60">
        <v>10002875</v>
      </c>
      <c r="B60" s="62" t="s">
        <v>2411</v>
      </c>
      <c r="C60" t="s">
        <v>2447</v>
      </c>
      <c r="D60">
        <v>10</v>
      </c>
    </row>
    <row r="61" spans="1:4" x14ac:dyDescent="0.25">
      <c r="A61">
        <v>10023080</v>
      </c>
      <c r="B61" s="62" t="s">
        <v>2411</v>
      </c>
      <c r="C61" t="s">
        <v>2448</v>
      </c>
      <c r="D61">
        <v>2</v>
      </c>
    </row>
    <row r="62" spans="1:4" x14ac:dyDescent="0.25">
      <c r="A62">
        <v>10025212</v>
      </c>
      <c r="B62" s="62" t="s">
        <v>2411</v>
      </c>
      <c r="C62" t="s">
        <v>2449</v>
      </c>
      <c r="D62">
        <v>3</v>
      </c>
    </row>
    <row r="63" spans="1:4" x14ac:dyDescent="0.25">
      <c r="A63">
        <v>10069407</v>
      </c>
      <c r="B63" s="62" t="s">
        <v>2411</v>
      </c>
      <c r="C63" t="s">
        <v>1170</v>
      </c>
      <c r="D63">
        <v>1</v>
      </c>
    </row>
    <row r="64" spans="1:4" x14ac:dyDescent="0.25">
      <c r="A64">
        <v>10071135</v>
      </c>
      <c r="B64" s="62" t="s">
        <v>2411</v>
      </c>
      <c r="C64" t="s">
        <v>2450</v>
      </c>
      <c r="D64">
        <v>3</v>
      </c>
    </row>
    <row r="65" spans="1:4" x14ac:dyDescent="0.25">
      <c r="A65">
        <v>10123729</v>
      </c>
      <c r="B65" s="62" t="s">
        <v>2411</v>
      </c>
      <c r="C65" t="s">
        <v>2451</v>
      </c>
      <c r="D65">
        <v>4</v>
      </c>
    </row>
    <row r="66" spans="1:4" x14ac:dyDescent="0.25">
      <c r="A66">
        <v>10144736</v>
      </c>
      <c r="B66" s="62" t="s">
        <v>2411</v>
      </c>
      <c r="C66" t="s">
        <v>2418</v>
      </c>
      <c r="D66">
        <v>1</v>
      </c>
    </row>
    <row r="67" spans="1:4" x14ac:dyDescent="0.25">
      <c r="A67">
        <v>10157275</v>
      </c>
      <c r="B67" s="62" t="s">
        <v>2411</v>
      </c>
      <c r="C67" t="s">
        <v>1177</v>
      </c>
      <c r="D67">
        <v>1</v>
      </c>
    </row>
    <row r="68" spans="1:4" x14ac:dyDescent="0.25">
      <c r="A68">
        <v>5281</v>
      </c>
      <c r="B68" s="62" t="s">
        <v>2411</v>
      </c>
      <c r="C68" t="s">
        <v>2402</v>
      </c>
      <c r="D68">
        <v>1</v>
      </c>
    </row>
    <row r="69" spans="1:4" x14ac:dyDescent="0.25">
      <c r="A69">
        <v>200085</v>
      </c>
      <c r="B69" s="62" t="s">
        <v>2411</v>
      </c>
      <c r="C69" t="s">
        <v>2452</v>
      </c>
      <c r="D69">
        <v>10</v>
      </c>
    </row>
    <row r="70" spans="1:4" x14ac:dyDescent="0.25">
      <c r="A70">
        <v>500129</v>
      </c>
      <c r="B70" s="62" t="s">
        <v>2411</v>
      </c>
      <c r="C70" t="s">
        <v>2453</v>
      </c>
      <c r="D70">
        <v>6</v>
      </c>
    </row>
    <row r="71" spans="1:4" x14ac:dyDescent="0.25">
      <c r="A71">
        <v>2005223</v>
      </c>
      <c r="B71" s="62" t="s">
        <v>2411</v>
      </c>
      <c r="C71" t="s">
        <v>2454</v>
      </c>
      <c r="D71">
        <v>3</v>
      </c>
    </row>
    <row r="72" spans="1:4" x14ac:dyDescent="0.25">
      <c r="A72">
        <v>2006107</v>
      </c>
      <c r="B72" s="62" t="s">
        <v>2411</v>
      </c>
      <c r="C72" t="s">
        <v>2418</v>
      </c>
      <c r="D72">
        <v>1</v>
      </c>
    </row>
    <row r="73" spans="1:4" x14ac:dyDescent="0.25">
      <c r="A73">
        <v>2012014</v>
      </c>
      <c r="B73" s="62" t="s">
        <v>2411</v>
      </c>
      <c r="C73" t="s">
        <v>1377</v>
      </c>
      <c r="D73">
        <v>1</v>
      </c>
    </row>
    <row r="74" spans="1:4" x14ac:dyDescent="0.25">
      <c r="A74">
        <v>3000152</v>
      </c>
      <c r="B74" s="62" t="s">
        <v>2411</v>
      </c>
      <c r="C74" t="s">
        <v>2424</v>
      </c>
      <c r="D74">
        <v>2</v>
      </c>
    </row>
    <row r="75" spans="1:4" x14ac:dyDescent="0.25">
      <c r="A75">
        <v>3015058</v>
      </c>
      <c r="B75" s="62" t="s">
        <v>2411</v>
      </c>
      <c r="C75" t="s">
        <v>2455</v>
      </c>
      <c r="D75">
        <v>5</v>
      </c>
    </row>
    <row r="76" spans="1:4" x14ac:dyDescent="0.25">
      <c r="A76">
        <v>4000996</v>
      </c>
      <c r="B76" s="62" t="s">
        <v>2411</v>
      </c>
      <c r="C76" t="s">
        <v>2456</v>
      </c>
      <c r="D76">
        <v>3</v>
      </c>
    </row>
    <row r="77" spans="1:4" x14ac:dyDescent="0.25">
      <c r="A77">
        <v>4003768</v>
      </c>
      <c r="B77" s="62" t="s">
        <v>2411</v>
      </c>
      <c r="C77" t="s">
        <v>2457</v>
      </c>
      <c r="D77">
        <v>6</v>
      </c>
    </row>
    <row r="78" spans="1:4" x14ac:dyDescent="0.25">
      <c r="A78">
        <v>4006540</v>
      </c>
      <c r="B78" s="62" t="s">
        <v>2411</v>
      </c>
      <c r="C78" t="s">
        <v>2458</v>
      </c>
      <c r="D78">
        <v>4</v>
      </c>
    </row>
    <row r="79" spans="1:4" x14ac:dyDescent="0.25">
      <c r="A79">
        <v>4007054</v>
      </c>
      <c r="B79" s="62" t="s">
        <v>2411</v>
      </c>
      <c r="C79" t="s">
        <v>2459</v>
      </c>
      <c r="D79">
        <v>2</v>
      </c>
    </row>
    <row r="80" spans="1:4" x14ac:dyDescent="0.25">
      <c r="A80">
        <v>4011002</v>
      </c>
      <c r="B80" s="62" t="s">
        <v>2411</v>
      </c>
      <c r="C80" t="s">
        <v>2460</v>
      </c>
      <c r="D80">
        <v>3</v>
      </c>
    </row>
    <row r="81" spans="1:4" x14ac:dyDescent="0.25">
      <c r="A81">
        <v>5001097</v>
      </c>
      <c r="B81" s="62" t="s">
        <v>2411</v>
      </c>
      <c r="C81" t="s">
        <v>2461</v>
      </c>
      <c r="D81">
        <v>2</v>
      </c>
    </row>
    <row r="82" spans="1:4" x14ac:dyDescent="0.25">
      <c r="A82">
        <v>5001098</v>
      </c>
      <c r="B82" s="62" t="s">
        <v>2411</v>
      </c>
      <c r="C82" t="s">
        <v>2462</v>
      </c>
      <c r="D82">
        <v>3</v>
      </c>
    </row>
    <row r="83" spans="1:4" x14ac:dyDescent="0.25">
      <c r="A83">
        <v>5006152</v>
      </c>
      <c r="B83" s="62" t="s">
        <v>2411</v>
      </c>
      <c r="C83" t="s">
        <v>2463</v>
      </c>
      <c r="D83">
        <v>2</v>
      </c>
    </row>
    <row r="84" spans="1:4" x14ac:dyDescent="0.25">
      <c r="A84">
        <v>6012361</v>
      </c>
      <c r="B84" s="62" t="s">
        <v>2411</v>
      </c>
      <c r="C84" t="s">
        <v>2464</v>
      </c>
      <c r="D84">
        <v>2</v>
      </c>
    </row>
    <row r="85" spans="1:4" x14ac:dyDescent="0.25">
      <c r="A85">
        <v>6015793</v>
      </c>
      <c r="B85" s="62" t="s">
        <v>2411</v>
      </c>
      <c r="C85" t="s">
        <v>2465</v>
      </c>
      <c r="D85">
        <v>4</v>
      </c>
    </row>
    <row r="86" spans="1:4" x14ac:dyDescent="0.25">
      <c r="A86">
        <v>7011435</v>
      </c>
      <c r="B86" s="62" t="s">
        <v>2411</v>
      </c>
      <c r="C86" t="s">
        <v>2466</v>
      </c>
      <c r="D86">
        <v>3</v>
      </c>
    </row>
    <row r="87" spans="1:4" x14ac:dyDescent="0.25">
      <c r="A87">
        <v>7071198</v>
      </c>
      <c r="B87" s="62" t="s">
        <v>2411</v>
      </c>
      <c r="C87" t="s">
        <v>2467</v>
      </c>
      <c r="D87">
        <v>3</v>
      </c>
    </row>
    <row r="88" spans="1:4" x14ac:dyDescent="0.25">
      <c r="A88">
        <v>7101143</v>
      </c>
      <c r="B88" s="62" t="s">
        <v>2411</v>
      </c>
      <c r="C88" t="s">
        <v>2468</v>
      </c>
      <c r="D88">
        <v>6</v>
      </c>
    </row>
    <row r="89" spans="1:4" x14ac:dyDescent="0.25">
      <c r="A89">
        <v>8073350</v>
      </c>
      <c r="B89" s="62" t="s">
        <v>2411</v>
      </c>
      <c r="C89" t="s">
        <v>2402</v>
      </c>
      <c r="D89">
        <v>1</v>
      </c>
    </row>
    <row r="90" spans="1:4" x14ac:dyDescent="0.25">
      <c r="A90">
        <v>8073645</v>
      </c>
      <c r="B90" s="62" t="s">
        <v>2411</v>
      </c>
      <c r="C90" t="s">
        <v>764</v>
      </c>
      <c r="D90">
        <v>1</v>
      </c>
    </row>
    <row r="91" spans="1:4" x14ac:dyDescent="0.25">
      <c r="A91">
        <v>8089666</v>
      </c>
      <c r="B91" s="62" t="s">
        <v>2411</v>
      </c>
      <c r="C91" t="s">
        <v>2469</v>
      </c>
      <c r="D91">
        <v>5</v>
      </c>
    </row>
    <row r="92" spans="1:4" x14ac:dyDescent="0.25">
      <c r="A92">
        <v>8124816</v>
      </c>
      <c r="B92" s="62" t="s">
        <v>2411</v>
      </c>
      <c r="C92" t="s">
        <v>2470</v>
      </c>
      <c r="D92">
        <v>3</v>
      </c>
    </row>
    <row r="93" spans="1:4" x14ac:dyDescent="0.25">
      <c r="A93">
        <v>9036964</v>
      </c>
      <c r="B93" s="62" t="s">
        <v>2411</v>
      </c>
      <c r="C93" t="s">
        <v>2471</v>
      </c>
      <c r="D93">
        <v>3</v>
      </c>
    </row>
    <row r="94" spans="1:4" x14ac:dyDescent="0.25">
      <c r="A94">
        <v>9090287</v>
      </c>
      <c r="B94" s="62" t="s">
        <v>2411</v>
      </c>
      <c r="C94" t="s">
        <v>2472</v>
      </c>
      <c r="D94">
        <v>5</v>
      </c>
    </row>
    <row r="95" spans="1:4" x14ac:dyDescent="0.25">
      <c r="A95">
        <v>9104979</v>
      </c>
      <c r="B95" s="62" t="s">
        <v>2411</v>
      </c>
      <c r="C95" t="s">
        <v>2473</v>
      </c>
      <c r="D95">
        <v>6</v>
      </c>
    </row>
    <row r="96" spans="1:4" x14ac:dyDescent="0.25">
      <c r="A96">
        <v>9139514</v>
      </c>
      <c r="B96" s="62" t="s">
        <v>2411</v>
      </c>
      <c r="C96" t="s">
        <v>2474</v>
      </c>
      <c r="D96">
        <v>7</v>
      </c>
    </row>
    <row r="97" spans="1:4" x14ac:dyDescent="0.25">
      <c r="A97">
        <v>10020659</v>
      </c>
      <c r="B97" s="62" t="s">
        <v>2411</v>
      </c>
      <c r="C97" t="s">
        <v>1169</v>
      </c>
      <c r="D97">
        <v>1</v>
      </c>
    </row>
    <row r="98" spans="1:4" x14ac:dyDescent="0.25">
      <c r="A98">
        <v>10025902</v>
      </c>
      <c r="B98" s="62" t="s">
        <v>2411</v>
      </c>
      <c r="C98" t="s">
        <v>2446</v>
      </c>
      <c r="D98">
        <v>2</v>
      </c>
    </row>
    <row r="99" spans="1:4" x14ac:dyDescent="0.25">
      <c r="A99">
        <v>10027654</v>
      </c>
      <c r="B99" s="62" t="s">
        <v>2411</v>
      </c>
      <c r="C99" t="s">
        <v>2475</v>
      </c>
      <c r="D99">
        <v>2</v>
      </c>
    </row>
    <row r="100" spans="1:4" x14ac:dyDescent="0.25">
      <c r="A100">
        <v>10098420</v>
      </c>
      <c r="B100" s="62" t="s">
        <v>2411</v>
      </c>
      <c r="C100" t="s">
        <v>2476</v>
      </c>
      <c r="D100">
        <v>2</v>
      </c>
    </row>
    <row r="101" spans="1:4" x14ac:dyDescent="0.25">
      <c r="A101">
        <v>10146828</v>
      </c>
      <c r="B101" s="62" t="s">
        <v>2411</v>
      </c>
      <c r="C101" t="s">
        <v>2477</v>
      </c>
      <c r="D101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8BF28A-384D-4C01-8E35-FC11E3D5D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27</vt:i4>
      </vt:variant>
    </vt:vector>
  </HeadingPairs>
  <TitlesOfParts>
    <vt:vector size="27" baseType="lpstr">
      <vt:lpstr>Arbeitsmaterial Literaturfälle</vt:lpstr>
      <vt:lpstr>CK</vt:lpstr>
      <vt:lpstr>CK Table</vt:lpstr>
      <vt:lpstr>CK-MB</vt:lpstr>
      <vt:lpstr>CK-MB Tabelle</vt:lpstr>
      <vt:lpstr>Quick</vt:lpstr>
      <vt:lpstr>Quick Tabelle</vt:lpstr>
      <vt:lpstr>INR</vt:lpstr>
      <vt:lpstr>INR Tabelle</vt:lpstr>
      <vt:lpstr>PTT</vt:lpstr>
      <vt:lpstr>PTT Tabelle</vt:lpstr>
      <vt:lpstr>Leukozyten</vt:lpstr>
      <vt:lpstr>Leukozyten Tabelle</vt:lpstr>
      <vt:lpstr>GOT</vt:lpstr>
      <vt:lpstr>GOT Tabelle</vt:lpstr>
      <vt:lpstr>GPT</vt:lpstr>
      <vt:lpstr>GPT Tabelle</vt:lpstr>
      <vt:lpstr>GGT</vt:lpstr>
      <vt:lpstr>GGT Tabelle</vt:lpstr>
      <vt:lpstr>LDH</vt:lpstr>
      <vt:lpstr>LDH Tabelle</vt:lpstr>
      <vt:lpstr>Lymphozyten</vt:lpstr>
      <vt:lpstr>Lymphozyten Tabelle</vt:lpstr>
      <vt:lpstr>Hb</vt:lpstr>
      <vt:lpstr>Hb Tabelle</vt:lpstr>
      <vt:lpstr>Bilirubin</vt:lpstr>
      <vt:lpstr>Bilirubin 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2023-04-18T15:11:56Z</dcterms:modified>
</cp:coreProperties>
</file>